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7aur\Desktop\CND\CNP\"/>
    </mc:Choice>
  </mc:AlternateContent>
  <xr:revisionPtr revIDLastSave="0" documentId="13_ncr:1_{6D6C5E84-F2F9-481D-A66A-4E4FD0E158CD}" xr6:coauthVersionLast="47" xr6:coauthVersionMax="47" xr10:uidLastSave="{00000000-0000-0000-0000-000000000000}"/>
  <bookViews>
    <workbookView xWindow="-108" yWindow="-108" windowWidth="23256" windowHeight="12456" activeTab="6" xr2:uid="{00000000-000D-0000-FFFF-FFFF00000000}"/>
  </bookViews>
  <sheets>
    <sheet name="Cable" sheetId="1" r:id="rId1"/>
    <sheet name="Fiber" sheetId="5" r:id="rId2"/>
    <sheet name="Tech Stack" sheetId="7" r:id="rId3"/>
    <sheet name="MDF" sheetId="2" r:id="rId4"/>
    <sheet name="IDF1" sheetId="3" r:id="rId5"/>
    <sheet name="IDF2" sheetId="4" r:id="rId6"/>
    <sheet name="IDF3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vpr7gDjkRN8q9Ys7u63eYmPyQWwZa9TAs42YaznsvzY="/>
    </ext>
  </extLst>
</workbook>
</file>

<file path=xl/calcChain.xml><?xml version="1.0" encoding="utf-8"?>
<calcChain xmlns="http://schemas.openxmlformats.org/spreadsheetml/2006/main">
  <c r="F36" i="8" l="1"/>
  <c r="F36" i="4"/>
  <c r="F36" i="3"/>
  <c r="F44" i="2"/>
  <c r="C44" i="8"/>
  <c r="C45" i="8"/>
  <c r="E42" i="8"/>
  <c r="D42" i="8"/>
  <c r="F37" i="8"/>
  <c r="B35" i="8"/>
  <c r="G23" i="8"/>
  <c r="G22" i="8"/>
  <c r="G21" i="8"/>
  <c r="G20" i="8"/>
  <c r="G19" i="8"/>
  <c r="G18" i="8"/>
  <c r="G17" i="8"/>
  <c r="G16" i="8"/>
  <c r="G15" i="8"/>
  <c r="F14" i="8"/>
  <c r="G14" i="8" s="1"/>
  <c r="D14" i="8"/>
  <c r="F13" i="8"/>
  <c r="G13" i="8" s="1"/>
  <c r="D13" i="8"/>
  <c r="F12" i="8"/>
  <c r="G12" i="8" s="1"/>
  <c r="D12" i="8"/>
  <c r="F11" i="8"/>
  <c r="G11" i="8" s="1"/>
  <c r="D11" i="8"/>
  <c r="F10" i="8"/>
  <c r="G10" i="8" s="1"/>
  <c r="D10" i="8"/>
  <c r="F9" i="8"/>
  <c r="G9" i="8" s="1"/>
  <c r="D9" i="8"/>
  <c r="F8" i="8"/>
  <c r="G8" i="8" s="1"/>
  <c r="G35" i="8" s="1"/>
  <c r="D8" i="8"/>
  <c r="G7" i="8"/>
  <c r="D7" i="8"/>
  <c r="G6" i="8"/>
  <c r="G5" i="8"/>
  <c r="D5" i="8"/>
  <c r="C44" i="4"/>
  <c r="C45" i="4"/>
  <c r="E42" i="4"/>
  <c r="D42" i="4"/>
  <c r="F37" i="4"/>
  <c r="B35" i="4"/>
  <c r="G23" i="4"/>
  <c r="G22" i="4"/>
  <c r="G21" i="4"/>
  <c r="G20" i="4"/>
  <c r="G19" i="4"/>
  <c r="G18" i="4"/>
  <c r="G17" i="4"/>
  <c r="G16" i="4"/>
  <c r="G15" i="4"/>
  <c r="F14" i="4"/>
  <c r="G14" i="4" s="1"/>
  <c r="D14" i="4"/>
  <c r="F13" i="4"/>
  <c r="G13" i="4" s="1"/>
  <c r="D13" i="4"/>
  <c r="F12" i="4"/>
  <c r="G12" i="4" s="1"/>
  <c r="D12" i="4"/>
  <c r="F11" i="4"/>
  <c r="G11" i="4" s="1"/>
  <c r="D11" i="4"/>
  <c r="F10" i="4"/>
  <c r="G10" i="4" s="1"/>
  <c r="D10" i="4"/>
  <c r="F9" i="4"/>
  <c r="G9" i="4" s="1"/>
  <c r="D9" i="4"/>
  <c r="F8" i="4"/>
  <c r="G8" i="4" s="1"/>
  <c r="D8" i="4"/>
  <c r="G7" i="4"/>
  <c r="D7" i="4"/>
  <c r="G6" i="4"/>
  <c r="G5" i="4"/>
  <c r="D5" i="4"/>
  <c r="C44" i="3"/>
  <c r="C45" i="3"/>
  <c r="E42" i="3"/>
  <c r="D42" i="3"/>
  <c r="F37" i="3"/>
  <c r="B35" i="3"/>
  <c r="G23" i="3"/>
  <c r="G22" i="3"/>
  <c r="G21" i="3"/>
  <c r="G20" i="3"/>
  <c r="G19" i="3"/>
  <c r="G18" i="3"/>
  <c r="G17" i="3"/>
  <c r="G16" i="3"/>
  <c r="G15" i="3"/>
  <c r="F14" i="3"/>
  <c r="G14" i="3" s="1"/>
  <c r="D14" i="3"/>
  <c r="F13" i="3"/>
  <c r="G13" i="3" s="1"/>
  <c r="D13" i="3"/>
  <c r="F12" i="3"/>
  <c r="G12" i="3" s="1"/>
  <c r="D12" i="3"/>
  <c r="F11" i="3"/>
  <c r="G11" i="3" s="1"/>
  <c r="D11" i="3"/>
  <c r="F10" i="3"/>
  <c r="G10" i="3" s="1"/>
  <c r="D10" i="3"/>
  <c r="F9" i="3"/>
  <c r="G9" i="3" s="1"/>
  <c r="D9" i="3"/>
  <c r="F8" i="3"/>
  <c r="F35" i="3" s="1"/>
  <c r="D8" i="3"/>
  <c r="G7" i="3"/>
  <c r="D7" i="3"/>
  <c r="G6" i="3"/>
  <c r="G5" i="3"/>
  <c r="D5" i="3"/>
  <c r="C53" i="2"/>
  <c r="C52" i="2"/>
  <c r="F8" i="2"/>
  <c r="G8" i="2" s="1"/>
  <c r="F9" i="2"/>
  <c r="G9" i="2" s="1"/>
  <c r="F10" i="2"/>
  <c r="G10" i="2" s="1"/>
  <c r="F11" i="2"/>
  <c r="G11" i="2" s="1"/>
  <c r="F12" i="2"/>
  <c r="G12" i="2" s="1"/>
  <c r="F13" i="2"/>
  <c r="G13" i="2" s="1"/>
  <c r="F45" i="2"/>
  <c r="F14" i="2"/>
  <c r="G14" i="2" s="1"/>
  <c r="G23" i="2"/>
  <c r="G33" i="2"/>
  <c r="G34" i="2"/>
  <c r="G35" i="2"/>
  <c r="G36" i="2"/>
  <c r="G6" i="2"/>
  <c r="G7" i="2"/>
  <c r="G15" i="2"/>
  <c r="G16" i="2"/>
  <c r="G17" i="2"/>
  <c r="G18" i="2"/>
  <c r="G19" i="2"/>
  <c r="G20" i="2"/>
  <c r="G21" i="2"/>
  <c r="G22" i="2"/>
  <c r="G5" i="2"/>
  <c r="D33" i="2"/>
  <c r="D14" i="2"/>
  <c r="D13" i="2"/>
  <c r="D12" i="2"/>
  <c r="D11" i="2"/>
  <c r="D10" i="2"/>
  <c r="D9" i="2"/>
  <c r="D8" i="2"/>
  <c r="D5" i="2"/>
  <c r="D7" i="2"/>
  <c r="C55" i="7"/>
  <c r="D40" i="7" a="1"/>
  <c r="D40" i="7" s="1"/>
  <c r="C58" i="7" s="1"/>
  <c r="B40" i="7" a="1"/>
  <c r="B40" i="7" s="1"/>
  <c r="E41" i="7" a="1"/>
  <c r="E41" i="7" s="1"/>
  <c r="E42" i="7" a="1"/>
  <c r="E42" i="7" s="1"/>
  <c r="E43" i="7" a="1"/>
  <c r="E43" i="7" s="1"/>
  <c r="E40" i="7" a="1"/>
  <c r="E40" i="7" s="1"/>
  <c r="D41" i="7" a="1"/>
  <c r="D41" i="7" s="1"/>
  <c r="C67" i="7" s="1"/>
  <c r="D42" i="7" a="1"/>
  <c r="D42" i="7" s="1"/>
  <c r="D43" i="7" a="1"/>
  <c r="D43" i="7" s="1"/>
  <c r="G85" i="7" s="1"/>
  <c r="B41" i="7" a="1"/>
  <c r="B41" i="7" s="1"/>
  <c r="B42" i="7" a="1"/>
  <c r="B42" i="7" s="1"/>
  <c r="B43" i="7" a="1"/>
  <c r="B43" i="7" s="1"/>
  <c r="G81" i="7" s="1"/>
  <c r="J37" i="7"/>
  <c r="J35" i="7"/>
  <c r="J36" i="7"/>
  <c r="F22" i="7"/>
  <c r="E22" i="7" s="1"/>
  <c r="F23" i="7"/>
  <c r="E23" i="7" s="1"/>
  <c r="F24" i="7"/>
  <c r="E24" i="7" s="1"/>
  <c r="F25" i="7"/>
  <c r="E25" i="7" s="1"/>
  <c r="F26" i="7"/>
  <c r="E26" i="7" s="1"/>
  <c r="F27" i="7"/>
  <c r="E27" i="7" s="1"/>
  <c r="F28" i="7"/>
  <c r="E28" i="7" s="1"/>
  <c r="F29" i="7"/>
  <c r="E29" i="7" s="1"/>
  <c r="F30" i="7"/>
  <c r="E30" i="7" s="1"/>
  <c r="F31" i="7"/>
  <c r="E31" i="7" s="1"/>
  <c r="F32" i="7"/>
  <c r="E32" i="7" s="1"/>
  <c r="F33" i="7"/>
  <c r="E33" i="7" s="1"/>
  <c r="F11" i="7"/>
  <c r="E11" i="7" s="1"/>
  <c r="F12" i="7"/>
  <c r="E12" i="7" s="1"/>
  <c r="F13" i="7"/>
  <c r="E13" i="7" s="1"/>
  <c r="F14" i="7"/>
  <c r="E14" i="7" s="1"/>
  <c r="F15" i="7"/>
  <c r="E15" i="7" s="1"/>
  <c r="F16" i="7"/>
  <c r="E16" i="7" s="1"/>
  <c r="F17" i="7"/>
  <c r="E17" i="7" s="1"/>
  <c r="F18" i="7"/>
  <c r="E18" i="7" s="1"/>
  <c r="F19" i="7"/>
  <c r="E19" i="7" s="1"/>
  <c r="F20" i="7"/>
  <c r="E20" i="7" s="1"/>
  <c r="F21" i="7"/>
  <c r="E21" i="7" s="1"/>
  <c r="F10" i="7"/>
  <c r="E10" i="7" s="1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10" i="7"/>
  <c r="E12" i="5"/>
  <c r="H61" i="1" a="1"/>
  <c r="H61" i="1" s="1"/>
  <c r="H60" i="1" a="1"/>
  <c r="H60" i="1" s="1"/>
  <c r="H59" i="1" a="1"/>
  <c r="H59" i="1" s="1"/>
  <c r="H58" i="1" a="1"/>
  <c r="H58" i="1" s="1"/>
  <c r="H57" i="1" a="1"/>
  <c r="H57" i="1" s="1"/>
  <c r="H54" i="1" a="1"/>
  <c r="H54" i="1" s="1"/>
  <c r="H53" i="1" a="1"/>
  <c r="H53" i="1" s="1"/>
  <c r="H52" i="1" a="1"/>
  <c r="H52" i="1" s="1"/>
  <c r="H51" i="1" a="1"/>
  <c r="H51" i="1" s="1"/>
  <c r="H50" i="1" a="1"/>
  <c r="H50" i="1"/>
  <c r="H48" i="1" a="1"/>
  <c r="H48" i="1" s="1"/>
  <c r="H47" i="1" a="1"/>
  <c r="H47" i="1" s="1"/>
  <c r="H44" i="1" a="1"/>
  <c r="H44" i="1" s="1"/>
  <c r="H43" i="1" a="1"/>
  <c r="H43" i="1" s="1"/>
  <c r="H42" i="1" a="1"/>
  <c r="H42" i="1" s="1"/>
  <c r="H41" i="1" a="1"/>
  <c r="H41" i="1" s="1"/>
  <c r="H40" i="1" a="1"/>
  <c r="H40" i="1" s="1"/>
  <c r="H39" i="1" a="1"/>
  <c r="H39" i="1" s="1"/>
  <c r="H36" i="1" a="1"/>
  <c r="H36" i="1" s="1"/>
  <c r="H35" i="1" a="1"/>
  <c r="H35" i="1" s="1"/>
  <c r="H34" i="1" a="1"/>
  <c r="H34" i="1" s="1"/>
  <c r="H33" i="1" a="1"/>
  <c r="H33" i="1" s="1"/>
  <c r="H32" i="1" a="1"/>
  <c r="H32" i="1" s="1"/>
  <c r="H30" i="1" a="1"/>
  <c r="H30" i="1" s="1"/>
  <c r="H28" i="1" a="1"/>
  <c r="H28" i="1" s="1"/>
  <c r="H29" i="1" a="1"/>
  <c r="H29" i="1" s="1"/>
  <c r="H27" i="1" a="1"/>
  <c r="H27" i="1" s="1"/>
  <c r="H26" i="1" a="1"/>
  <c r="H26" i="1" s="1"/>
  <c r="H23" i="1" a="1"/>
  <c r="H23" i="1" s="1"/>
  <c r="H22" i="1" a="1"/>
  <c r="H22" i="1" s="1"/>
  <c r="H17" i="1" a="1"/>
  <c r="H17" i="1" s="1"/>
  <c r="H19" i="1" a="1"/>
  <c r="H19" i="1" s="1"/>
  <c r="H18" i="1" a="1"/>
  <c r="H18" i="1" s="1"/>
  <c r="H16" i="1" a="1"/>
  <c r="H16" i="1" s="1"/>
  <c r="H15" i="1" a="1"/>
  <c r="H15" i="1"/>
  <c r="H14" i="1" a="1"/>
  <c r="H14" i="1" s="1"/>
  <c r="H62" i="1" a="1"/>
  <c r="H62" i="1"/>
  <c r="H63" i="1" a="1"/>
  <c r="H63" i="1" s="1"/>
  <c r="H64" i="1" a="1"/>
  <c r="H64" i="1" s="1"/>
  <c r="H67" i="1" a="1"/>
  <c r="H67" i="1" s="1"/>
  <c r="H68" i="1" a="1"/>
  <c r="H68" i="1" s="1"/>
  <c r="H71" i="1" a="1"/>
  <c r="H71" i="1" s="1"/>
  <c r="H72" i="1" a="1"/>
  <c r="H72" i="1" s="1"/>
  <c r="H73" i="1" a="1"/>
  <c r="H73" i="1"/>
  <c r="H74" i="1" a="1"/>
  <c r="H74" i="1" s="1"/>
  <c r="H76" i="1" a="1"/>
  <c r="H76" i="1" s="1"/>
  <c r="H77" i="1" a="1"/>
  <c r="H77" i="1" s="1"/>
  <c r="H78" i="1" a="1"/>
  <c r="H78" i="1" s="1"/>
  <c r="H79" i="1" a="1"/>
  <c r="H79" i="1" s="1"/>
  <c r="H80" i="1" a="1"/>
  <c r="H80" i="1" s="1"/>
  <c r="H83" i="1" a="1"/>
  <c r="H83" i="1" s="1"/>
  <c r="H84" i="1" a="1"/>
  <c r="H84" i="1" s="1"/>
  <c r="H85" i="1" a="1"/>
  <c r="H85" i="1" s="1"/>
  <c r="H87" i="1" a="1"/>
  <c r="H87" i="1" s="1"/>
  <c r="H88" i="1" a="1"/>
  <c r="H88" i="1" s="1"/>
  <c r="H86" i="1" a="1"/>
  <c r="H86" i="1" s="1"/>
  <c r="H13" i="1" a="1"/>
  <c r="H13" i="1" s="1"/>
  <c r="H12" i="1" a="1"/>
  <c r="H12" i="1" s="1"/>
  <c r="H9" i="1" a="1"/>
  <c r="H9" i="1" s="1"/>
  <c r="H8" i="1" a="1"/>
  <c r="H8" i="1" s="1"/>
  <c r="H7" i="1" a="1"/>
  <c r="H7" i="1" s="1"/>
  <c r="H5" i="1" a="1"/>
  <c r="H5" i="1"/>
  <c r="H6" i="1" a="1"/>
  <c r="H6" i="1" s="1"/>
  <c r="H3" i="1" a="1"/>
  <c r="H3" i="1" s="1"/>
  <c r="H2" i="1" a="1"/>
  <c r="H2" i="1" s="1"/>
  <c r="E50" i="2"/>
  <c r="D50" i="2"/>
  <c r="B43" i="2"/>
  <c r="E88" i="1"/>
  <c r="F88" i="1" s="1"/>
  <c r="E87" i="1"/>
  <c r="F87" i="1" s="1"/>
  <c r="E86" i="1"/>
  <c r="F86" i="1" s="1"/>
  <c r="E85" i="1"/>
  <c r="F85" i="1" s="1"/>
  <c r="E84" i="1"/>
  <c r="F84" i="1" s="1"/>
  <c r="E83" i="1"/>
  <c r="F83" i="1" s="1"/>
  <c r="E80" i="1"/>
  <c r="F80" i="1" s="1"/>
  <c r="E79" i="1"/>
  <c r="F79" i="1" s="1"/>
  <c r="E78" i="1"/>
  <c r="F78" i="1" s="1"/>
  <c r="E77" i="1"/>
  <c r="F77" i="1" s="1"/>
  <c r="E76" i="1"/>
  <c r="F76" i="1" s="1"/>
  <c r="E74" i="1"/>
  <c r="F74" i="1" s="1"/>
  <c r="E73" i="1"/>
  <c r="F73" i="1" s="1"/>
  <c r="F72" i="1"/>
  <c r="E72" i="1"/>
  <c r="E71" i="1"/>
  <c r="F71" i="1" s="1"/>
  <c r="E68" i="1"/>
  <c r="F68" i="1" s="1"/>
  <c r="E67" i="1"/>
  <c r="F67" i="1" s="1"/>
  <c r="E64" i="1"/>
  <c r="F64" i="1" s="1"/>
  <c r="E63" i="1"/>
  <c r="F63" i="1" s="1"/>
  <c r="E62" i="1"/>
  <c r="F62" i="1" s="1"/>
  <c r="E61" i="1"/>
  <c r="F61" i="1" s="1"/>
  <c r="E60" i="1"/>
  <c r="F60" i="1" s="1"/>
  <c r="E59" i="1"/>
  <c r="F59" i="1" s="1"/>
  <c r="E58" i="1"/>
  <c r="F58" i="1" s="1"/>
  <c r="E57" i="1"/>
  <c r="F57" i="1" s="1"/>
  <c r="E54" i="1"/>
  <c r="F54" i="1" s="1"/>
  <c r="F53" i="1"/>
  <c r="E53" i="1"/>
  <c r="E52" i="1"/>
  <c r="F52" i="1" s="1"/>
  <c r="E51" i="1"/>
  <c r="F51" i="1" s="1"/>
  <c r="E50" i="1"/>
  <c r="F50" i="1" s="1"/>
  <c r="E48" i="1"/>
  <c r="F48" i="1" s="1"/>
  <c r="E47" i="1"/>
  <c r="F47" i="1" s="1"/>
  <c r="F44" i="1"/>
  <c r="E44" i="1"/>
  <c r="E43" i="1"/>
  <c r="F43" i="1" s="1"/>
  <c r="E42" i="1"/>
  <c r="F42" i="1" s="1"/>
  <c r="E41" i="1"/>
  <c r="F41" i="1" s="1"/>
  <c r="E40" i="1"/>
  <c r="F40" i="1" s="1"/>
  <c r="E39" i="1"/>
  <c r="F39" i="1" s="1"/>
  <c r="E36" i="1"/>
  <c r="F36" i="1" s="1"/>
  <c r="E35" i="1"/>
  <c r="F35" i="1" s="1"/>
  <c r="E34" i="1"/>
  <c r="F34" i="1" s="1"/>
  <c r="E33" i="1"/>
  <c r="F33" i="1" s="1"/>
  <c r="E32" i="1"/>
  <c r="F32" i="1" s="1"/>
  <c r="E30" i="1"/>
  <c r="F30" i="1" s="1"/>
  <c r="E29" i="1"/>
  <c r="F29" i="1" s="1"/>
  <c r="E28" i="1"/>
  <c r="F28" i="1" s="1"/>
  <c r="E27" i="1"/>
  <c r="F27" i="1" s="1"/>
  <c r="E26" i="1"/>
  <c r="F26" i="1" s="1"/>
  <c r="E23" i="1"/>
  <c r="F23" i="1" s="1"/>
  <c r="E22" i="1"/>
  <c r="F22" i="1" s="1"/>
  <c r="E19" i="1"/>
  <c r="F19" i="1" s="1"/>
  <c r="E18" i="1"/>
  <c r="F18" i="1" s="1"/>
  <c r="E17" i="1"/>
  <c r="F17" i="1" s="1"/>
  <c r="E16" i="1"/>
  <c r="F16" i="1" s="1"/>
  <c r="E15" i="1"/>
  <c r="F15" i="1" s="1"/>
  <c r="E14" i="1"/>
  <c r="F14" i="1" s="1"/>
  <c r="E13" i="1"/>
  <c r="F13" i="1" s="1"/>
  <c r="E12" i="1"/>
  <c r="F12" i="1" s="1"/>
  <c r="E9" i="1"/>
  <c r="F9" i="1" s="1"/>
  <c r="F8" i="1"/>
  <c r="E8" i="1"/>
  <c r="E7" i="1"/>
  <c r="F7" i="1" s="1"/>
  <c r="E6" i="1"/>
  <c r="F6" i="1" s="1"/>
  <c r="E5" i="1"/>
  <c r="F5" i="1" s="1"/>
  <c r="E3" i="1"/>
  <c r="F3" i="1" s="1"/>
  <c r="E2" i="1"/>
  <c r="F2" i="1" s="1"/>
  <c r="F35" i="8" l="1"/>
  <c r="G35" i="4"/>
  <c r="F35" i="4"/>
  <c r="G8" i="3"/>
  <c r="G35" i="3" s="1"/>
  <c r="G43" i="2"/>
  <c r="F43" i="2"/>
  <c r="G53" i="7"/>
  <c r="G67" i="7"/>
  <c r="C63" i="7"/>
  <c r="G69" i="7"/>
  <c r="C69" i="7"/>
  <c r="G78" i="7"/>
  <c r="C78" i="7"/>
  <c r="G87" i="7"/>
  <c r="C87" i="7"/>
  <c r="C60" i="7"/>
  <c r="G60" i="7"/>
  <c r="C68" i="7"/>
  <c r="G76" i="7"/>
  <c r="G77" i="7"/>
  <c r="C77" i="7"/>
  <c r="C76" i="7"/>
  <c r="C72" i="7"/>
  <c r="G72" i="7"/>
  <c r="C53" i="7"/>
  <c r="C81" i="7"/>
  <c r="C85" i="7"/>
  <c r="G63" i="7"/>
  <c r="C86" i="7"/>
  <c r="G68" i="7"/>
  <c r="G86" i="7"/>
  <c r="G57" i="7"/>
  <c r="G58" i="7"/>
  <c r="F99" i="7"/>
  <c r="B44" i="7"/>
  <c r="C57" i="7"/>
  <c r="J34" i="7"/>
  <c r="E34" i="7"/>
  <c r="I5" i="1"/>
  <c r="I47" i="1"/>
  <c r="I8" i="1"/>
  <c r="I77" i="1"/>
  <c r="I39" i="1"/>
  <c r="I59" i="1"/>
  <c r="I64" i="1"/>
  <c r="I51" i="1"/>
  <c r="I26" i="1"/>
  <c r="I43" i="1"/>
  <c r="I52" i="1"/>
  <c r="I71" i="1"/>
  <c r="I61" i="1"/>
  <c r="I88" i="1"/>
  <c r="I74" i="1"/>
  <c r="I34" i="1"/>
  <c r="I60" i="1"/>
  <c r="I18" i="1"/>
  <c r="I36" i="1"/>
  <c r="I83" i="1"/>
  <c r="I68" i="1"/>
  <c r="I29" i="1"/>
  <c r="I53" i="1"/>
  <c r="I80" i="1"/>
  <c r="I73" i="1"/>
  <c r="I76" i="1"/>
  <c r="I58" i="1"/>
  <c r="I13" i="1"/>
  <c r="I30" i="1"/>
  <c r="I84" i="1"/>
  <c r="I44" i="1"/>
  <c r="I15" i="1"/>
  <c r="I23" i="1"/>
  <c r="I32" i="1"/>
  <c r="I79" i="1"/>
  <c r="I87" i="1"/>
  <c r="I7" i="1"/>
  <c r="I9" i="1"/>
  <c r="I16" i="1"/>
  <c r="I40" i="1"/>
  <c r="I85" i="1"/>
  <c r="I3" i="1"/>
  <c r="I62" i="1"/>
  <c r="I33" i="1"/>
  <c r="I17" i="1"/>
  <c r="I48" i="1"/>
  <c r="I12" i="1"/>
  <c r="I27" i="1"/>
  <c r="I41" i="1"/>
  <c r="I57" i="1"/>
  <c r="I6" i="1"/>
  <c r="I28" i="1"/>
  <c r="I78" i="1"/>
  <c r="I19" i="1"/>
  <c r="I42" i="1"/>
  <c r="I50" i="1"/>
  <c r="I86" i="1"/>
  <c r="I14" i="1"/>
  <c r="I35" i="1"/>
  <c r="I63" i="1"/>
  <c r="I72" i="1"/>
  <c r="F65" i="1"/>
  <c r="I2" i="1"/>
  <c r="F20" i="1"/>
  <c r="F89" i="1"/>
  <c r="I67" i="1"/>
  <c r="I54" i="1"/>
  <c r="I22" i="1"/>
  <c r="F45" i="1"/>
  <c r="H88" i="7" l="1"/>
  <c r="D88" i="7"/>
  <c r="I89" i="1"/>
  <c r="I65" i="1"/>
  <c r="I45" i="1"/>
  <c r="I20" i="1"/>
  <c r="F91" i="1"/>
  <c r="I91" i="1" l="1"/>
  <c r="C97" i="1" s="1"/>
  <c r="I93" i="1" l="1"/>
  <c r="I9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1" authorId="0" shapeId="0" xr:uid="{00000000-0006-0000-0000-000002000000}">
      <text>
        <r>
          <rPr>
            <sz val="11"/>
            <color theme="1"/>
            <rFont val="Calibri"/>
            <scheme val="minor"/>
          </rPr>
          <t>======
ID#AAAB25SOS0w
Emil Cebuc    (2026-04-01 14:28:17)
From detaild design</t>
        </r>
      </text>
    </comment>
    <comment ref="I1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ID#AAAB25SOS00
Emil Cebuc    (2026-04-01 14:28:17)
3m for in rack cabling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q3c4KQOOLpkQlWoXbJ9lmgDKqvQ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l7aur</author>
  </authors>
  <commentList>
    <comment ref="D15" authorId="0" shapeId="0" xr:uid="{78333882-881D-40D8-80CA-0FEF2E5E8C25}">
      <text>
        <r>
          <rPr>
            <b/>
            <sz val="9"/>
            <color indexed="81"/>
            <rFont val="Tahoma"/>
            <family val="2"/>
          </rPr>
          <t>l7aur:</t>
        </r>
        <r>
          <rPr>
            <sz val="9"/>
            <color indexed="81"/>
            <rFont val="Tahoma"/>
            <family val="2"/>
          </rPr>
          <t xml:space="preserve">
2 X WS Line Card</t>
        </r>
      </text>
    </comment>
    <comment ref="D16" authorId="0" shapeId="0" xr:uid="{29A3396E-2DF7-4AA6-B83D-A657DD59FFB2}">
      <text>
        <r>
          <rPr>
            <b/>
            <sz val="9"/>
            <color indexed="81"/>
            <rFont val="Tahoma"/>
            <family val="2"/>
          </rPr>
          <t>l7aur:</t>
        </r>
        <r>
          <rPr>
            <sz val="9"/>
            <color indexed="81"/>
            <rFont val="Tahoma"/>
            <family val="2"/>
          </rPr>
          <t xml:space="preserve">
2 X WS Line Card</t>
        </r>
      </text>
    </comment>
    <comment ref="D17" authorId="0" shapeId="0" xr:uid="{7136181E-9E56-46F2-9AC4-DD9BB2FD4C88}">
      <text>
        <r>
          <rPr>
            <b/>
            <sz val="9"/>
            <color indexed="81"/>
            <rFont val="Tahoma"/>
            <family val="2"/>
          </rPr>
          <t>l7aur:</t>
        </r>
        <r>
          <rPr>
            <sz val="9"/>
            <color indexed="81"/>
            <rFont val="Tahoma"/>
            <family val="2"/>
          </rPr>
          <t xml:space="preserve">
WS Line Card + IP Phone Line Card</t>
        </r>
      </text>
    </comment>
    <comment ref="D18" authorId="0" shapeId="0" xr:uid="{C68D5A9C-3BF9-4135-8917-65F86FA20BF0}">
      <text>
        <r>
          <rPr>
            <b/>
            <sz val="9"/>
            <color indexed="81"/>
            <rFont val="Tahoma"/>
            <family val="2"/>
          </rPr>
          <t>l7aur:</t>
        </r>
        <r>
          <rPr>
            <sz val="9"/>
            <color indexed="81"/>
            <rFont val="Tahoma"/>
            <family val="2"/>
          </rPr>
          <t xml:space="preserve">
Supervisor + OF Line Card</t>
        </r>
      </text>
    </comment>
    <comment ref="D19" authorId="0" shapeId="0" xr:uid="{AFEA8A72-B0F7-4E89-A735-5C666BF0F8B5}">
      <text>
        <r>
          <rPr>
            <b/>
            <sz val="9"/>
            <color indexed="81"/>
            <rFont val="Tahoma"/>
            <family val="2"/>
          </rPr>
          <t>l7aur:</t>
        </r>
        <r>
          <rPr>
            <sz val="9"/>
            <color indexed="81"/>
            <rFont val="Tahoma"/>
            <family val="2"/>
          </rPr>
          <t xml:space="preserve">
AP Line Card</t>
        </r>
      </text>
    </comment>
    <comment ref="D20" authorId="0" shapeId="0" xr:uid="{1842A3E3-8B5B-46C1-A3CE-7F99D35086CE}">
      <text>
        <r>
          <rPr>
            <b/>
            <sz val="9"/>
            <color indexed="81"/>
            <rFont val="Tahoma"/>
            <family val="2"/>
          </rPr>
          <t>l7aur:</t>
        </r>
        <r>
          <rPr>
            <sz val="9"/>
            <color indexed="81"/>
            <rFont val="Tahoma"/>
            <family val="2"/>
          </rPr>
          <t xml:space="preserve">
Redundancy</t>
        </r>
      </text>
    </comment>
    <comment ref="C39" authorId="0" shapeId="0" xr:uid="{838B595F-FCDB-49B6-BB50-6029930758E6}">
      <text>
        <r>
          <rPr>
            <b/>
            <sz val="9"/>
            <color indexed="81"/>
            <rFont val="Tahoma"/>
            <family val="2"/>
          </rPr>
          <t>l7aur:</t>
        </r>
        <r>
          <rPr>
            <sz val="9"/>
            <color indexed="81"/>
            <rFont val="Tahoma"/>
            <family val="2"/>
          </rPr>
          <t xml:space="preserve">
+2 x APC SRT192BP2
=&gt; 20 minutes running time on failure
</t>
        </r>
      </text>
    </comment>
    <comment ref="C40" authorId="0" shapeId="0" xr:uid="{FAD43235-4324-4C5D-A624-0FE18391DEE6}">
      <text>
        <r>
          <rPr>
            <b/>
            <sz val="9"/>
            <color indexed="81"/>
            <rFont val="Tahoma"/>
            <family val="2"/>
          </rPr>
          <t>l7aur:</t>
        </r>
        <r>
          <rPr>
            <sz val="9"/>
            <color indexed="81"/>
            <rFont val="Tahoma"/>
            <family val="2"/>
          </rPr>
          <t xml:space="preserve">
+2 x APC SRT192BP2
=&gt; 20 minutes running time on failure
</t>
        </r>
      </text>
    </comment>
    <comment ref="C41" authorId="0" shapeId="0" xr:uid="{2091E0DE-F0E7-4FAB-A13D-1E14AD34920C}">
      <text>
        <r>
          <rPr>
            <b/>
            <sz val="9"/>
            <color indexed="81"/>
            <rFont val="Tahoma"/>
            <family val="2"/>
          </rPr>
          <t>l7aur:</t>
        </r>
        <r>
          <rPr>
            <sz val="9"/>
            <color indexed="81"/>
            <rFont val="Tahoma"/>
            <family val="2"/>
          </rPr>
          <t xml:space="preserve">
+2 x APC SRT192BP2
=&gt; 20 minutes running time on failure
</t>
        </r>
      </text>
    </comment>
    <comment ref="C42" authorId="0" shapeId="0" xr:uid="{B19E7CBC-E015-48E2-9037-D719722434D8}">
      <text>
        <r>
          <rPr>
            <b/>
            <sz val="9"/>
            <color indexed="81"/>
            <rFont val="Tahoma"/>
            <family val="2"/>
          </rPr>
          <t>l7aur:</t>
        </r>
        <r>
          <rPr>
            <sz val="9"/>
            <color indexed="81"/>
            <rFont val="Tahoma"/>
            <family val="2"/>
          </rPr>
          <t xml:space="preserve">
+2 x APC SRT192BP2
=&gt; 20 minutes running time on failure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l7aur</author>
  </authors>
  <commentList>
    <comment ref="D15" authorId="0" shapeId="0" xr:uid="{66ACBCBD-9AE0-4292-9E2D-AD5F94ACB562}">
      <text>
        <r>
          <rPr>
            <b/>
            <sz val="9"/>
            <color indexed="81"/>
            <rFont val="Tahoma"/>
            <family val="2"/>
          </rPr>
          <t>l7aur:</t>
        </r>
        <r>
          <rPr>
            <sz val="9"/>
            <color indexed="81"/>
            <rFont val="Tahoma"/>
            <family val="2"/>
          </rPr>
          <t xml:space="preserve">
2 X WS Line Card</t>
        </r>
      </text>
    </comment>
    <comment ref="D16" authorId="0" shapeId="0" xr:uid="{86B5B3E1-743F-42CD-B4E3-1A4D59E54B19}">
      <text>
        <r>
          <rPr>
            <b/>
            <sz val="9"/>
            <color indexed="81"/>
            <rFont val="Tahoma"/>
            <family val="2"/>
          </rPr>
          <t>l7aur:</t>
        </r>
        <r>
          <rPr>
            <sz val="9"/>
            <color indexed="81"/>
            <rFont val="Tahoma"/>
            <family val="2"/>
          </rPr>
          <t xml:space="preserve">
2 X WS Line Card</t>
        </r>
      </text>
    </comment>
    <comment ref="D17" authorId="0" shapeId="0" xr:uid="{B5FB6507-E28C-46B6-8373-37A9B6173F3A}">
      <text>
        <r>
          <rPr>
            <b/>
            <sz val="9"/>
            <color indexed="81"/>
            <rFont val="Tahoma"/>
            <family val="2"/>
          </rPr>
          <t>l7aur:</t>
        </r>
        <r>
          <rPr>
            <sz val="9"/>
            <color indexed="81"/>
            <rFont val="Tahoma"/>
            <family val="2"/>
          </rPr>
          <t xml:space="preserve">
WS Line Card + IP Phone Line Card</t>
        </r>
      </text>
    </comment>
    <comment ref="D18" authorId="0" shapeId="0" xr:uid="{2DD48082-EB66-4529-A930-2DCF4407F483}">
      <text>
        <r>
          <rPr>
            <b/>
            <sz val="9"/>
            <color indexed="81"/>
            <rFont val="Tahoma"/>
            <family val="2"/>
          </rPr>
          <t>l7aur:</t>
        </r>
        <r>
          <rPr>
            <sz val="9"/>
            <color indexed="81"/>
            <rFont val="Tahoma"/>
            <family val="2"/>
          </rPr>
          <t xml:space="preserve">
Supervisor + OF Line Card</t>
        </r>
      </text>
    </comment>
    <comment ref="D19" authorId="0" shapeId="0" xr:uid="{4BD7CAA3-0D67-4DF4-A009-C75C25EEFA31}">
      <text>
        <r>
          <rPr>
            <b/>
            <sz val="9"/>
            <color indexed="81"/>
            <rFont val="Tahoma"/>
            <family val="2"/>
          </rPr>
          <t>l7aur:</t>
        </r>
        <r>
          <rPr>
            <sz val="9"/>
            <color indexed="81"/>
            <rFont val="Tahoma"/>
            <family val="2"/>
          </rPr>
          <t xml:space="preserve">
AP Line Card</t>
        </r>
      </text>
    </comment>
    <comment ref="D20" authorId="0" shapeId="0" xr:uid="{BA124A80-B69E-4E10-A89F-31346A54426D}">
      <text>
        <r>
          <rPr>
            <b/>
            <sz val="9"/>
            <color indexed="81"/>
            <rFont val="Tahoma"/>
            <family val="2"/>
          </rPr>
          <t>l7aur:</t>
        </r>
        <r>
          <rPr>
            <sz val="9"/>
            <color indexed="81"/>
            <rFont val="Tahoma"/>
            <family val="2"/>
          </rPr>
          <t xml:space="preserve">
Redundancy</t>
        </r>
      </text>
    </comment>
    <comment ref="C31" authorId="0" shapeId="0" xr:uid="{2E2E7C9C-27C7-48D7-BEB9-FE37CA7976D6}">
      <text>
        <r>
          <rPr>
            <b/>
            <sz val="9"/>
            <color indexed="81"/>
            <rFont val="Tahoma"/>
            <family val="2"/>
          </rPr>
          <t>l7aur:</t>
        </r>
        <r>
          <rPr>
            <sz val="9"/>
            <color indexed="81"/>
            <rFont val="Tahoma"/>
            <family val="2"/>
          </rPr>
          <t xml:space="preserve">
+2 x APC SRT192BP2
=&gt; 20 minutes running time on failure
</t>
        </r>
      </text>
    </comment>
    <comment ref="C32" authorId="0" shapeId="0" xr:uid="{EB7C7E5F-6332-4972-8512-0F6CD08C8387}">
      <text>
        <r>
          <rPr>
            <b/>
            <sz val="9"/>
            <color indexed="81"/>
            <rFont val="Tahoma"/>
            <family val="2"/>
          </rPr>
          <t>l7aur:</t>
        </r>
        <r>
          <rPr>
            <sz val="9"/>
            <color indexed="81"/>
            <rFont val="Tahoma"/>
            <family val="2"/>
          </rPr>
          <t xml:space="preserve">
+2 x APC SRT192BP2
=&gt; 20 minutes running time on failure
</t>
        </r>
      </text>
    </comment>
    <comment ref="C33" authorId="0" shapeId="0" xr:uid="{89F14577-C86A-47AA-B3B1-B43F4F6764C3}">
      <text>
        <r>
          <rPr>
            <b/>
            <sz val="9"/>
            <color indexed="81"/>
            <rFont val="Tahoma"/>
            <family val="2"/>
          </rPr>
          <t>l7aur:</t>
        </r>
        <r>
          <rPr>
            <sz val="9"/>
            <color indexed="81"/>
            <rFont val="Tahoma"/>
            <family val="2"/>
          </rPr>
          <t xml:space="preserve">
+2 x APC SRT192BP2
=&gt; 20 minutes running time on failure
</t>
        </r>
      </text>
    </comment>
    <comment ref="C34" authorId="0" shapeId="0" xr:uid="{660DD41A-09D0-41BE-B7BA-CD9AA0F4B643}">
      <text>
        <r>
          <rPr>
            <b/>
            <sz val="9"/>
            <color indexed="81"/>
            <rFont val="Tahoma"/>
            <family val="2"/>
          </rPr>
          <t>l7aur:</t>
        </r>
        <r>
          <rPr>
            <sz val="9"/>
            <color indexed="81"/>
            <rFont val="Tahoma"/>
            <family val="2"/>
          </rPr>
          <t xml:space="preserve">
+2 x APC SRT192BP2
=&gt; 20 minutes running time on failure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l7aur</author>
  </authors>
  <commentList>
    <comment ref="D15" authorId="0" shapeId="0" xr:uid="{F9503739-2D4D-4572-90D7-F5EDEB2D2E7C}">
      <text>
        <r>
          <rPr>
            <b/>
            <sz val="9"/>
            <color indexed="81"/>
            <rFont val="Tahoma"/>
            <family val="2"/>
          </rPr>
          <t>l7aur:</t>
        </r>
        <r>
          <rPr>
            <sz val="9"/>
            <color indexed="81"/>
            <rFont val="Tahoma"/>
            <family val="2"/>
          </rPr>
          <t xml:space="preserve">
2 X WS Line Card</t>
        </r>
      </text>
    </comment>
    <comment ref="D16" authorId="0" shapeId="0" xr:uid="{442A7E36-14D0-4CB2-B70B-EEBA41E38925}">
      <text>
        <r>
          <rPr>
            <b/>
            <sz val="9"/>
            <color indexed="81"/>
            <rFont val="Tahoma"/>
            <family val="2"/>
          </rPr>
          <t>l7aur:</t>
        </r>
        <r>
          <rPr>
            <sz val="9"/>
            <color indexed="81"/>
            <rFont val="Tahoma"/>
            <family val="2"/>
          </rPr>
          <t xml:space="preserve">
2 X WS Line Card</t>
        </r>
      </text>
    </comment>
    <comment ref="D17" authorId="0" shapeId="0" xr:uid="{D7E13077-9564-4907-8BEF-18C707FC0A58}">
      <text>
        <r>
          <rPr>
            <b/>
            <sz val="9"/>
            <color indexed="81"/>
            <rFont val="Tahoma"/>
            <family val="2"/>
          </rPr>
          <t>l7aur:</t>
        </r>
        <r>
          <rPr>
            <sz val="9"/>
            <color indexed="81"/>
            <rFont val="Tahoma"/>
            <family val="2"/>
          </rPr>
          <t xml:space="preserve">
WS Line Card + IP Phone Line Card</t>
        </r>
      </text>
    </comment>
    <comment ref="D18" authorId="0" shapeId="0" xr:uid="{094D65CD-0F58-4E04-BC04-E1F3AA6BB84A}">
      <text>
        <r>
          <rPr>
            <b/>
            <sz val="9"/>
            <color indexed="81"/>
            <rFont val="Tahoma"/>
            <family val="2"/>
          </rPr>
          <t>l7aur:</t>
        </r>
        <r>
          <rPr>
            <sz val="9"/>
            <color indexed="81"/>
            <rFont val="Tahoma"/>
            <family val="2"/>
          </rPr>
          <t xml:space="preserve">
Supervisor + OF Line Card</t>
        </r>
      </text>
    </comment>
    <comment ref="D19" authorId="0" shapeId="0" xr:uid="{38400FDB-616C-4C9C-9C88-07157C9C383B}">
      <text>
        <r>
          <rPr>
            <b/>
            <sz val="9"/>
            <color indexed="81"/>
            <rFont val="Tahoma"/>
            <family val="2"/>
          </rPr>
          <t>l7aur:</t>
        </r>
        <r>
          <rPr>
            <sz val="9"/>
            <color indexed="81"/>
            <rFont val="Tahoma"/>
            <family val="2"/>
          </rPr>
          <t xml:space="preserve">
AP Line Card</t>
        </r>
      </text>
    </comment>
    <comment ref="D20" authorId="0" shapeId="0" xr:uid="{FA80ABC9-F997-484C-B77C-BB8FC0F2302C}">
      <text>
        <r>
          <rPr>
            <b/>
            <sz val="9"/>
            <color indexed="81"/>
            <rFont val="Tahoma"/>
            <family val="2"/>
          </rPr>
          <t>l7aur:</t>
        </r>
        <r>
          <rPr>
            <sz val="9"/>
            <color indexed="81"/>
            <rFont val="Tahoma"/>
            <family val="2"/>
          </rPr>
          <t xml:space="preserve">
Redundancy</t>
        </r>
      </text>
    </comment>
    <comment ref="C31" authorId="0" shapeId="0" xr:uid="{D4DFC2E7-7772-4C1B-9283-E79677E11B0B}">
      <text>
        <r>
          <rPr>
            <b/>
            <sz val="9"/>
            <color indexed="81"/>
            <rFont val="Tahoma"/>
            <family val="2"/>
          </rPr>
          <t>l7aur:</t>
        </r>
        <r>
          <rPr>
            <sz val="9"/>
            <color indexed="81"/>
            <rFont val="Tahoma"/>
            <family val="2"/>
          </rPr>
          <t xml:space="preserve">
+2 x APC SRT192BP2
=&gt; 20 minutes running time on failure
</t>
        </r>
      </text>
    </comment>
    <comment ref="C32" authorId="0" shapeId="0" xr:uid="{66719296-91DB-42A9-B1D6-5ADCE4AE3FBB}">
      <text>
        <r>
          <rPr>
            <b/>
            <sz val="9"/>
            <color indexed="81"/>
            <rFont val="Tahoma"/>
            <family val="2"/>
          </rPr>
          <t>l7aur:</t>
        </r>
        <r>
          <rPr>
            <sz val="9"/>
            <color indexed="81"/>
            <rFont val="Tahoma"/>
            <family val="2"/>
          </rPr>
          <t xml:space="preserve">
+2 x APC SRT192BP2
=&gt; 20 minutes running time on failure
</t>
        </r>
      </text>
    </comment>
    <comment ref="C33" authorId="0" shapeId="0" xr:uid="{3C1D19C0-75BF-4A62-9228-BC96F64D1545}">
      <text>
        <r>
          <rPr>
            <b/>
            <sz val="9"/>
            <color indexed="81"/>
            <rFont val="Tahoma"/>
            <family val="2"/>
          </rPr>
          <t>l7aur:</t>
        </r>
        <r>
          <rPr>
            <sz val="9"/>
            <color indexed="81"/>
            <rFont val="Tahoma"/>
            <family val="2"/>
          </rPr>
          <t xml:space="preserve">
+2 x APC SRT192BP2
=&gt; 20 minutes running time on failure
</t>
        </r>
      </text>
    </comment>
    <comment ref="C34" authorId="0" shapeId="0" xr:uid="{7F94A6CA-AF82-4943-BCB8-DD2B92D5BDBB}">
      <text>
        <r>
          <rPr>
            <b/>
            <sz val="9"/>
            <color indexed="81"/>
            <rFont val="Tahoma"/>
            <family val="2"/>
          </rPr>
          <t>l7aur:</t>
        </r>
        <r>
          <rPr>
            <sz val="9"/>
            <color indexed="81"/>
            <rFont val="Tahoma"/>
            <family val="2"/>
          </rPr>
          <t xml:space="preserve">
+2 x APC SRT192BP2
=&gt; 20 minutes running time on failure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l7aur</author>
  </authors>
  <commentList>
    <comment ref="D15" authorId="0" shapeId="0" xr:uid="{DE24F68C-8C03-4EB3-A8A3-817444827BB6}">
      <text>
        <r>
          <rPr>
            <b/>
            <sz val="9"/>
            <color indexed="81"/>
            <rFont val="Tahoma"/>
            <family val="2"/>
          </rPr>
          <t>l7aur:</t>
        </r>
        <r>
          <rPr>
            <sz val="9"/>
            <color indexed="81"/>
            <rFont val="Tahoma"/>
            <family val="2"/>
          </rPr>
          <t xml:space="preserve">
2 X WS Line Card</t>
        </r>
      </text>
    </comment>
    <comment ref="D16" authorId="0" shapeId="0" xr:uid="{F8AFBA10-0760-4884-92DD-D85EEF168518}">
      <text>
        <r>
          <rPr>
            <b/>
            <sz val="9"/>
            <color indexed="81"/>
            <rFont val="Tahoma"/>
            <family val="2"/>
          </rPr>
          <t>l7aur:</t>
        </r>
        <r>
          <rPr>
            <sz val="9"/>
            <color indexed="81"/>
            <rFont val="Tahoma"/>
            <family val="2"/>
          </rPr>
          <t xml:space="preserve">
2 X WS Line Card</t>
        </r>
      </text>
    </comment>
    <comment ref="D17" authorId="0" shapeId="0" xr:uid="{E492F5D3-BCEF-48C8-B61B-5F283AC087A6}">
      <text>
        <r>
          <rPr>
            <b/>
            <sz val="9"/>
            <color indexed="81"/>
            <rFont val="Tahoma"/>
            <family val="2"/>
          </rPr>
          <t>l7aur:</t>
        </r>
        <r>
          <rPr>
            <sz val="9"/>
            <color indexed="81"/>
            <rFont val="Tahoma"/>
            <family val="2"/>
          </rPr>
          <t xml:space="preserve">
WS Line Card + IP Phone Line Card</t>
        </r>
      </text>
    </comment>
    <comment ref="D18" authorId="0" shapeId="0" xr:uid="{FD767F90-C2AF-42CF-A4D7-E7DF8012044C}">
      <text>
        <r>
          <rPr>
            <b/>
            <sz val="9"/>
            <color indexed="81"/>
            <rFont val="Tahoma"/>
            <family val="2"/>
          </rPr>
          <t>l7aur:</t>
        </r>
        <r>
          <rPr>
            <sz val="9"/>
            <color indexed="81"/>
            <rFont val="Tahoma"/>
            <family val="2"/>
          </rPr>
          <t xml:space="preserve">
Supervisor + OF Line Card</t>
        </r>
      </text>
    </comment>
    <comment ref="D19" authorId="0" shapeId="0" xr:uid="{F5300DB5-29B5-40D0-AF53-9AC81CCB0493}">
      <text>
        <r>
          <rPr>
            <b/>
            <sz val="9"/>
            <color indexed="81"/>
            <rFont val="Tahoma"/>
            <family val="2"/>
          </rPr>
          <t>l7aur:</t>
        </r>
        <r>
          <rPr>
            <sz val="9"/>
            <color indexed="81"/>
            <rFont val="Tahoma"/>
            <family val="2"/>
          </rPr>
          <t xml:space="preserve">
AP Line Card</t>
        </r>
      </text>
    </comment>
    <comment ref="D20" authorId="0" shapeId="0" xr:uid="{371289DE-B794-492D-AAB4-643ED4F63B6F}">
      <text>
        <r>
          <rPr>
            <b/>
            <sz val="9"/>
            <color indexed="81"/>
            <rFont val="Tahoma"/>
            <family val="2"/>
          </rPr>
          <t>l7aur:</t>
        </r>
        <r>
          <rPr>
            <sz val="9"/>
            <color indexed="81"/>
            <rFont val="Tahoma"/>
            <family val="2"/>
          </rPr>
          <t xml:space="preserve">
Redundancy</t>
        </r>
      </text>
    </comment>
    <comment ref="C31" authorId="0" shapeId="0" xr:uid="{6C4C07B3-C88D-4B7C-B74E-AE4DD4B339BE}">
      <text>
        <r>
          <rPr>
            <b/>
            <sz val="9"/>
            <color indexed="81"/>
            <rFont val="Tahoma"/>
            <family val="2"/>
          </rPr>
          <t>l7aur:</t>
        </r>
        <r>
          <rPr>
            <sz val="9"/>
            <color indexed="81"/>
            <rFont val="Tahoma"/>
            <family val="2"/>
          </rPr>
          <t xml:space="preserve">
+2 x APC SRT192BP2
=&gt; 20 minutes running time on failure
</t>
        </r>
      </text>
    </comment>
    <comment ref="C32" authorId="0" shapeId="0" xr:uid="{7C2E0DEF-D889-434E-B84F-B9766A158F8C}">
      <text>
        <r>
          <rPr>
            <b/>
            <sz val="9"/>
            <color indexed="81"/>
            <rFont val="Tahoma"/>
            <family val="2"/>
          </rPr>
          <t>l7aur:</t>
        </r>
        <r>
          <rPr>
            <sz val="9"/>
            <color indexed="81"/>
            <rFont val="Tahoma"/>
            <family val="2"/>
          </rPr>
          <t xml:space="preserve">
+2 x APC SRT192BP2
=&gt; 20 minutes running time on failure
</t>
        </r>
      </text>
    </comment>
    <comment ref="C33" authorId="0" shapeId="0" xr:uid="{ED446AA3-7CC9-46ED-AD1A-F290B4C448EC}">
      <text>
        <r>
          <rPr>
            <b/>
            <sz val="9"/>
            <color indexed="81"/>
            <rFont val="Tahoma"/>
            <family val="2"/>
          </rPr>
          <t>l7aur:</t>
        </r>
        <r>
          <rPr>
            <sz val="9"/>
            <color indexed="81"/>
            <rFont val="Tahoma"/>
            <family val="2"/>
          </rPr>
          <t xml:space="preserve">
+2 x APC SRT192BP2
=&gt; 20 minutes running time on failure
</t>
        </r>
      </text>
    </comment>
    <comment ref="C34" authorId="0" shapeId="0" xr:uid="{2AAC298B-F9AC-4D60-B277-F3A8393AAD25}">
      <text>
        <r>
          <rPr>
            <b/>
            <sz val="9"/>
            <color indexed="81"/>
            <rFont val="Tahoma"/>
            <family val="2"/>
          </rPr>
          <t>l7aur:</t>
        </r>
        <r>
          <rPr>
            <sz val="9"/>
            <color indexed="81"/>
            <rFont val="Tahoma"/>
            <family val="2"/>
          </rPr>
          <t xml:space="preserve">
+2 x APC SRT192BP2
=&gt; 20 minutes running time on failure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<sst xmlns="http://schemas.openxmlformats.org/spreadsheetml/2006/main" count="901" uniqueCount="307">
  <si>
    <t>Room Nr</t>
  </si>
  <si>
    <t>Connected to DF</t>
  </si>
  <si>
    <t>Length m</t>
  </si>
  <si>
    <t>Width m</t>
  </si>
  <si>
    <t>Size sqm</t>
  </si>
  <si>
    <t>Nr Dou_Outlets</t>
  </si>
  <si>
    <t>Dist_To_DF</t>
  </si>
  <si>
    <t>AVG_In Room</t>
  </si>
  <si>
    <t>Cable for room</t>
  </si>
  <si>
    <t>Room Type</t>
  </si>
  <si>
    <t>1.1</t>
  </si>
  <si>
    <t>MDF</t>
  </si>
  <si>
    <t>A</t>
  </si>
  <si>
    <t>1.2</t>
  </si>
  <si>
    <t>B</t>
  </si>
  <si>
    <t>1.3</t>
  </si>
  <si>
    <t>1.4</t>
  </si>
  <si>
    <t>C</t>
  </si>
  <si>
    <t>1.5</t>
  </si>
  <si>
    <t>1.6</t>
  </si>
  <si>
    <t>1.7</t>
  </si>
  <si>
    <t>1.8</t>
  </si>
  <si>
    <t>1.9</t>
  </si>
  <si>
    <t>BATHROOM</t>
  </si>
  <si>
    <t>1.10</t>
  </si>
  <si>
    <t>1.11</t>
  </si>
  <si>
    <t>D</t>
  </si>
  <si>
    <t>1.12</t>
  </si>
  <si>
    <t>F</t>
  </si>
  <si>
    <t>1.13</t>
  </si>
  <si>
    <t>E</t>
  </si>
  <si>
    <t>1.14</t>
  </si>
  <si>
    <t>1.15</t>
  </si>
  <si>
    <t>1.16</t>
  </si>
  <si>
    <t>1.17</t>
  </si>
  <si>
    <t>1.22</t>
  </si>
  <si>
    <t>G</t>
  </si>
  <si>
    <t>Subtotal MDF</t>
  </si>
  <si>
    <t>1.18</t>
  </si>
  <si>
    <t>IDF1</t>
  </si>
  <si>
    <t>1.19</t>
  </si>
  <si>
    <t>1.20</t>
  </si>
  <si>
    <t>1.21</t>
  </si>
  <si>
    <t>1.23</t>
  </si>
  <si>
    <t>1.24</t>
  </si>
  <si>
    <t>H</t>
  </si>
  <si>
    <t>1.25</t>
  </si>
  <si>
    <t>1.26</t>
  </si>
  <si>
    <t>I</t>
  </si>
  <si>
    <t>1.27</t>
  </si>
  <si>
    <t>1.28</t>
  </si>
  <si>
    <t>1.29</t>
  </si>
  <si>
    <t>J</t>
  </si>
  <si>
    <t>1.30</t>
  </si>
  <si>
    <t>1.31</t>
  </si>
  <si>
    <t>1.32</t>
  </si>
  <si>
    <t>1.33</t>
  </si>
  <si>
    <t>1.34</t>
  </si>
  <si>
    <t>1.35</t>
  </si>
  <si>
    <t>1.36</t>
  </si>
  <si>
    <t>K</t>
  </si>
  <si>
    <t>1.37</t>
  </si>
  <si>
    <t>1.38</t>
  </si>
  <si>
    <t>1.39</t>
  </si>
  <si>
    <t>1.40</t>
  </si>
  <si>
    <t>1.41</t>
  </si>
  <si>
    <t>Subtotal IDF1</t>
  </si>
  <si>
    <t>2.1</t>
  </si>
  <si>
    <t>IDF2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</si>
  <si>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</si>
  <si>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</si>
  <si>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</si>
  <si>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</si>
  <si>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</si>
  <si>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</si>
  <si>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</si>
  <si>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</si>
  <si>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</si>
  <si>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</si>
  <si>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</si>
  <si>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</si>
  <si>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</si>
  <si>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</si>
  <si>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</si>
  <si>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</si>
  <si>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2.22</t>
  </si>
  <si>
    <t>Subtotal IDF2</t>
  </si>
  <si>
    <t>2.18</t>
  </si>
  <si>
    <t>IDF3</t>
  </si>
  <si>
    <t>2.19</t>
  </si>
  <si>
    <t>2.20</t>
  </si>
  <si>
    <t>2.21</t>
  </si>
  <si>
    <t>2.23</t>
  </si>
  <si>
    <t>2.24/25</t>
  </si>
  <si>
    <t>L</t>
  </si>
  <si>
    <t>2.26</t>
  </si>
  <si>
    <t>2.27</t>
  </si>
  <si>
    <t>2.28</t>
  </si>
  <si>
    <t>2.29</t>
  </si>
  <si>
    <t>2.30</t>
  </si>
  <si>
    <t>2.31</t>
  </si>
  <si>
    <t>2.32</t>
  </si>
  <si>
    <t>2.33</t>
  </si>
  <si>
    <t>2.34</t>
  </si>
  <si>
    <t>2.35</t>
  </si>
  <si>
    <t>2.36</t>
  </si>
  <si>
    <t>2.37</t>
  </si>
  <si>
    <t>2.38</t>
  </si>
  <si>
    <t>2.39</t>
  </si>
  <si>
    <t>2.40</t>
  </si>
  <si>
    <t>2.41</t>
  </si>
  <si>
    <t>Subtotal IDF3</t>
  </si>
  <si>
    <t>Total_Build</t>
  </si>
  <si>
    <t>305M Boxes</t>
  </si>
  <si>
    <t>2km Rols</t>
  </si>
  <si>
    <t>Fiber optic cable length</t>
  </si>
  <si>
    <t>Length (m)</t>
  </si>
  <si>
    <t>A0</t>
  </si>
  <si>
    <t>B0</t>
  </si>
  <si>
    <t>B1</t>
  </si>
  <si>
    <t>A1</t>
  </si>
  <si>
    <t>C0</t>
  </si>
  <si>
    <t>D0</t>
  </si>
  <si>
    <t>D1</t>
  </si>
  <si>
    <t>C1</t>
  </si>
  <si>
    <t>Total fiber optic cable length</t>
  </si>
  <si>
    <t>To check AVG linkspan</t>
  </si>
  <si>
    <t>Adapt technical reserve amount of cable according to design, example is for 3m, could be more</t>
  </si>
  <si>
    <t>Do not change</t>
  </si>
  <si>
    <t>From your design</t>
  </si>
  <si>
    <t>From detailed calcullus of prototype room/rooms</t>
  </si>
  <si>
    <t>ORG Vert</t>
  </si>
  <si>
    <t>Spatiu ocupat in U</t>
  </si>
  <si>
    <t>Denumire/ tip echipament</t>
  </si>
  <si>
    <t xml:space="preserve">Model </t>
  </si>
  <si>
    <t>Scurta descriere/ nr porturi</t>
  </si>
  <si>
    <t>Organizator de cabluri vertical</t>
  </si>
  <si>
    <t>Firewall</t>
  </si>
  <si>
    <t>Total</t>
  </si>
  <si>
    <t>Consum  electric AC</t>
  </si>
  <si>
    <t>Racire AC</t>
  </si>
  <si>
    <t>AC 1</t>
  </si>
  <si>
    <t>AC 2</t>
  </si>
  <si>
    <t>Nr prize simple de conectat la acest DF, valoarea se ia din etapa 2</t>
  </si>
  <si>
    <t>Nr prize disponibil in PP UTP in acest rack</t>
  </si>
  <si>
    <t>Note</t>
  </si>
  <si>
    <t>Se lasa loc liber in Rack cca 10-20% din spatiu pentru dezvoltari ulterioare</t>
  </si>
  <si>
    <t>Daca nu incape intrun singur Rack se pot pune mai multe in fieacre DF, UPS /uri se pun in fiecare Rack</t>
  </si>
  <si>
    <t>Rack sunt de maxim 48 U sau 52 U inaltime</t>
  </si>
  <si>
    <t>Puterea disponibila in UPS sa fie cu 30% mai mare decat total putere necesar</t>
  </si>
  <si>
    <t>Daca sunt mai multe UPS-uri se distribuie sarcina intre ele</t>
  </si>
  <si>
    <t>Capacitatea bateriilor/acumultorilor din UPS se determina in asa fel incat sa asigure o functionare de 30 la 60 minute la sarcina medie</t>
  </si>
  <si>
    <t>Total porturi UTP din Switchuri intre 70 si 100 % din nr de prize simple care se conecteaza la un DF, functie de strategia aleasa</t>
  </si>
  <si>
    <t xml:space="preserve"> nr de porturi total din Patch Pannel UTP trebuie sa fie mai mare sau egal cu nr de prize simple care se conecteaza la un DF</t>
  </si>
  <si>
    <t>Echipamentele de racire se pun in fiecare DF si vor trebuii sa aibe capacitatea de racire cu cca 30% mai mare decat total Caldura dispata</t>
  </si>
  <si>
    <t>Echipamentele de racire, Aer Conditionat de uz industrial nu sunt alimentate din UPS</t>
  </si>
  <si>
    <t>Foia de calcul se replica pentru fiecare DF in parte</t>
  </si>
  <si>
    <t>Cable Source</t>
  </si>
  <si>
    <t>Target</t>
  </si>
  <si>
    <t>Type</t>
  </si>
  <si>
    <t>Choice 2</t>
  </si>
  <si>
    <t>Equipment</t>
  </si>
  <si>
    <t>Name</t>
  </si>
  <si>
    <t>Link</t>
  </si>
  <si>
    <t>Choice 1 (CISCO)</t>
  </si>
  <si>
    <t>Number of workstations</t>
  </si>
  <si>
    <t>Number of IP phones</t>
  </si>
  <si>
    <t>Number of access points</t>
  </si>
  <si>
    <t>Device</t>
  </si>
  <si>
    <t>Workstation</t>
  </si>
  <si>
    <t>IP phone</t>
  </si>
  <si>
    <t>Access Point</t>
  </si>
  <si>
    <t>Number of rooms</t>
  </si>
  <si>
    <t>Floor</t>
  </si>
  <si>
    <t>GROUND FLOOR</t>
  </si>
  <si>
    <t>FIRST FLOOR</t>
  </si>
  <si>
    <t>Total Estimated Traffic [Gbps]</t>
  </si>
  <si>
    <t>Estimated Traffic/Room [Gbps]</t>
  </si>
  <si>
    <t>Number of simple outlets</t>
  </si>
  <si>
    <t>Estimated Average Traffic [Mpbs]</t>
  </si>
  <si>
    <t>Concurrency factor</t>
  </si>
  <si>
    <t>Estimated peak traffic value in network [Gbps]</t>
  </si>
  <si>
    <t>Total number of simple outlets</t>
  </si>
  <si>
    <t>DF</t>
  </si>
  <si>
    <t>ACCESS POINT</t>
  </si>
  <si>
    <t>FIREWALL</t>
  </si>
  <si>
    <t>CHASSIS</t>
  </si>
  <si>
    <t>SUPERVISOR</t>
  </si>
  <si>
    <t>link</t>
  </si>
  <si>
    <t>Required number/DF</t>
  </si>
  <si>
    <t>IP PHONES</t>
  </si>
  <si>
    <t>C9400-SUP-1XL</t>
  </si>
  <si>
    <t>LINE CARD (AP)</t>
  </si>
  <si>
    <t>LINE CARD (WS)</t>
  </si>
  <si>
    <t>C9400-LC-48P</t>
  </si>
  <si>
    <t>LINE CARD (IPPHONE)</t>
  </si>
  <si>
    <t>Cisco Wireless 9179F</t>
  </si>
  <si>
    <t>Cisco Catalyst 9410R</t>
  </si>
  <si>
    <t>LINE CARD (OF)</t>
  </si>
  <si>
    <t>C9400-LC-12QC</t>
  </si>
  <si>
    <t>Price</t>
  </si>
  <si>
    <t>Cisco IP Phone 8861</t>
  </si>
  <si>
    <t>Total number of IP Phones</t>
  </si>
  <si>
    <t>Total number of AP</t>
  </si>
  <si>
    <t>Total number of WS</t>
  </si>
  <si>
    <t>Cisco Wireless 9178</t>
  </si>
  <si>
    <t>Number of WS</t>
  </si>
  <si>
    <t>Number of AP</t>
  </si>
  <si>
    <t>Number of IP Phones</t>
  </si>
  <si>
    <t>Number of Room Types Covered</t>
  </si>
  <si>
    <t>Total outlets</t>
  </si>
  <si>
    <t>HPE Aruba Networking CX 6410 v2 Switch</t>
  </si>
  <si>
    <t>HPE Aruba Networking CX 6400 Management Module</t>
  </si>
  <si>
    <t>HPE Aruba Networking CX 6400 R0X39C</t>
  </si>
  <si>
    <t>HPE Aruba Networking CX 6400 R0X45C</t>
  </si>
  <si>
    <t>HPE Aruba Networking CX 6400 24p S1T83A</t>
  </si>
  <si>
    <t>HPE Aruba Networking AP‑765 </t>
  </si>
  <si>
    <t>PALO-ALTO PA-3440</t>
  </si>
  <si>
    <t>HP 82M93AA</t>
  </si>
  <si>
    <t>VLANs</t>
  </si>
  <si>
    <t>Number of hosts</t>
  </si>
  <si>
    <t>Mask</t>
  </si>
  <si>
    <t>Public Ip</t>
  </si>
  <si>
    <t>109.103.42.124</t>
  </si>
  <si>
    <t>Private Ip</t>
  </si>
  <si>
    <t>Management</t>
  </si>
  <si>
    <t>IP phones</t>
  </si>
  <si>
    <t>WLAN</t>
  </si>
  <si>
    <t>MDF_VLAN</t>
  </si>
  <si>
    <t>IDF1_VLAN</t>
  </si>
  <si>
    <t>IDF2_VLAN</t>
  </si>
  <si>
    <t>IDF3_VLAN</t>
  </si>
  <si>
    <t>&gt;=75</t>
  </si>
  <si>
    <t>128 = /25</t>
  </si>
  <si>
    <t>10.10.10.0</t>
  </si>
  <si>
    <t>10.10.10.126</t>
  </si>
  <si>
    <t>Network</t>
  </si>
  <si>
    <t>Gateway</t>
  </si>
  <si>
    <t>Last IP</t>
  </si>
  <si>
    <t>10.10.10.1</t>
  </si>
  <si>
    <t>Broadcast</t>
  </si>
  <si>
    <t>10.10.10.127</t>
  </si>
  <si>
    <t>10.10.20.0</t>
  </si>
  <si>
    <t>10.10.20.1</t>
  </si>
  <si>
    <t>10.10.20.126</t>
  </si>
  <si>
    <t>10.10.20.127</t>
  </si>
  <si>
    <t>10.10.30.0</t>
  </si>
  <si>
    <t>10.10.30.1</t>
  </si>
  <si>
    <t>10.10.30.255</t>
  </si>
  <si>
    <t>&lt;= 2022</t>
  </si>
  <si>
    <t>2024= /22</t>
  </si>
  <si>
    <t>10.10.40.0</t>
  </si>
  <si>
    <t>10.10.50.0</t>
  </si>
  <si>
    <t>10.10.60.0</t>
  </si>
  <si>
    <t>10.10.70.0</t>
  </si>
  <si>
    <t>10.10.50.1</t>
  </si>
  <si>
    <t>10.10.60.1</t>
  </si>
  <si>
    <t>10.10.70.1</t>
  </si>
  <si>
    <t>10.10.40.1</t>
  </si>
  <si>
    <t>10.10.33.254</t>
  </si>
  <si>
    <t>10.10.41.254</t>
  </si>
  <si>
    <t>10.10.51.254</t>
  </si>
  <si>
    <t>10.10.61.254</t>
  </si>
  <si>
    <t>10.10.71.254</t>
  </si>
  <si>
    <t>10.10.41.255</t>
  </si>
  <si>
    <t>10.10.51.255</t>
  </si>
  <si>
    <t>10.10.61.255</t>
  </si>
  <si>
    <t>10.10.71.255</t>
  </si>
  <si>
    <t>512 = /23</t>
  </si>
  <si>
    <t>Wireless Mangement</t>
  </si>
  <si>
    <t>CW9800L</t>
  </si>
  <si>
    <t>HPE Aruba Networking Central</t>
  </si>
  <si>
    <t>10.10.0.0</t>
  </si>
  <si>
    <t>C9400-LC-48UX</t>
  </si>
  <si>
    <t>subscription</t>
  </si>
  <si>
    <t>OF CONNECTOR</t>
  </si>
  <si>
    <t>QSFP+</t>
  </si>
  <si>
    <t>C9400-LC-12QC (12x40GE)</t>
  </si>
  <si>
    <t>HP JL310A</t>
  </si>
  <si>
    <t>Cisco Secure Firewall 4245</t>
  </si>
  <si>
    <t>152,257.81</t>
  </si>
  <si>
    <t>Chassis</t>
  </si>
  <si>
    <t>Supervisor</t>
  </si>
  <si>
    <t>OF Line Card</t>
  </si>
  <si>
    <t>Line Card (WS)</t>
  </si>
  <si>
    <t>Line Card (IP Phone)</t>
  </si>
  <si>
    <t>Line Card (AP)</t>
  </si>
  <si>
    <t>Power Supply</t>
  </si>
  <si>
    <t>Caldura disipata BTU/h</t>
  </si>
  <si>
    <t>PWR-C4-3200WAC</t>
  </si>
  <si>
    <t>Putere electrica W</t>
  </si>
  <si>
    <t>C9410-FAN</t>
  </si>
  <si>
    <t>FPR4200-FAN</t>
  </si>
  <si>
    <t>Firewall 4245 Fan Module</t>
  </si>
  <si>
    <t>Catalyst 9410R Fan Tray</t>
  </si>
  <si>
    <t>PP-72X100G-MMF</t>
  </si>
  <si>
    <t>OF Patch Panel</t>
  </si>
  <si>
    <t>CPPKL6ATG48WBL</t>
  </si>
  <si>
    <t>UTP Patch Panel</t>
  </si>
  <si>
    <t>EMPTY SPACE FOR VENTILATION</t>
  </si>
  <si>
    <t>UPS</t>
  </si>
  <si>
    <t>Required UPS power [W]</t>
  </si>
  <si>
    <t>SRT10KXLT</t>
  </si>
  <si>
    <t>Available UPS power [W]</t>
  </si>
  <si>
    <t>Daikin DFC090</t>
  </si>
  <si>
    <t>Open Frame Server 55U Rack</t>
  </si>
  <si>
    <t>Open Frame Server 52U Rack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</si>
</sst>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[$EUR]"/>
  </numFmts>
  <fonts count="2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</font>
    <font>
      <sz val="11"/>
      <color theme="1"/>
      <name val="Calibri"/>
    </font>
    <font>
      <sz val="11"/>
      <name val="Calibri"/>
    </font>
    <font>
      <b/>
      <sz val="12"/>
      <color theme="1"/>
      <name val="Calibri"/>
    </font>
    <font>
      <sz val="11"/>
      <color theme="1"/>
      <name val="Calibri"/>
      <scheme val="minor"/>
    </font>
    <font>
      <sz val="12"/>
      <color rgb="FF000000"/>
      <name val="Calibri"/>
    </font>
    <font>
      <b/>
      <sz val="14"/>
      <color theme="1"/>
      <name val="Calibri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ajor"/>
    </font>
    <font>
      <b/>
      <sz val="11"/>
      <color theme="1"/>
      <name val="Calibri"/>
      <family val="2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theme="0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B4C6E7"/>
        <bgColor rgb="FFB4C6E7"/>
      </patternFill>
    </fill>
    <fill>
      <patternFill patternType="solid">
        <fgColor rgb="FFFFFF00"/>
        <bgColor rgb="FFFFFF00"/>
      </patternFill>
    </fill>
    <fill>
      <patternFill patternType="solid">
        <fgColor rgb="FFFBE4D5"/>
        <bgColor rgb="FFFBE4D5"/>
      </patternFill>
    </fill>
    <fill>
      <patternFill patternType="solid">
        <fgColor rgb="FFD6DCE4"/>
        <bgColor rgb="FFD6DCE4"/>
      </patternFill>
    </fill>
    <fill>
      <patternFill patternType="solid">
        <fgColor rgb="FFC5E0B3"/>
        <bgColor rgb="FFC5E0B3"/>
      </patternFill>
    </fill>
    <fill>
      <patternFill patternType="solid">
        <fgColor rgb="FF9999FF"/>
        <bgColor rgb="FF9999FF"/>
      </patternFill>
    </fill>
    <fill>
      <patternFill patternType="solid">
        <fgColor rgb="FFC00000"/>
        <bgColor rgb="FFC00000"/>
      </patternFill>
    </fill>
    <fill>
      <patternFill patternType="solid">
        <fgColor rgb="FFF7CAAC"/>
        <bgColor rgb="FFF7CAAC"/>
      </patternFill>
    </fill>
    <fill>
      <patternFill patternType="solid">
        <fgColor rgb="FF92D050"/>
        <bgColor rgb="FF92D050"/>
      </patternFill>
    </fill>
    <fill>
      <patternFill patternType="solid">
        <fgColor rgb="FF00B0F0"/>
        <bgColor rgb="FF00B0F0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E59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6400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E598"/>
      </patternFill>
    </fill>
    <fill>
      <patternFill patternType="solid">
        <fgColor theme="2" tint="-0.14999847407452621"/>
        <bgColor rgb="FFD9E2F3"/>
      </patternFill>
    </fill>
    <fill>
      <patternFill patternType="solid">
        <fgColor theme="2" tint="-0.14999847407452621"/>
        <bgColor rgb="FFFFFF00"/>
      </patternFill>
    </fill>
  </fills>
  <borders count="10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 style="medium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305">
    <xf numFmtId="0" fontId="0" fillId="0" borderId="0" xfId="0"/>
    <xf numFmtId="0" fontId="2" fillId="0" borderId="1" xfId="0" applyFont="1" applyBorder="1"/>
    <xf numFmtId="2" fontId="2" fillId="0" borderId="1" xfId="0" applyNumberFormat="1" applyFont="1" applyBorder="1"/>
    <xf numFmtId="49" fontId="2" fillId="0" borderId="1" xfId="0" applyNumberFormat="1" applyFont="1" applyBorder="1"/>
    <xf numFmtId="49" fontId="3" fillId="2" borderId="1" xfId="0" applyNumberFormat="1" applyFont="1" applyFill="1" applyBorder="1"/>
    <xf numFmtId="2" fontId="3" fillId="2" borderId="1" xfId="0" applyNumberFormat="1" applyFont="1" applyFill="1" applyBorder="1"/>
    <xf numFmtId="0" fontId="3" fillId="3" borderId="1" xfId="0" applyFont="1" applyFill="1" applyBorder="1"/>
    <xf numFmtId="0" fontId="3" fillId="2" borderId="1" xfId="0" applyFont="1" applyFill="1" applyBorder="1"/>
    <xf numFmtId="2" fontId="3" fillId="4" borderId="1" xfId="0" applyNumberFormat="1" applyFont="1" applyFill="1" applyBorder="1"/>
    <xf numFmtId="0" fontId="3" fillId="5" borderId="1" xfId="0" applyFont="1" applyFill="1" applyBorder="1"/>
    <xf numFmtId="49" fontId="3" fillId="6" borderId="1" xfId="0" applyNumberFormat="1" applyFont="1" applyFill="1" applyBorder="1"/>
    <xf numFmtId="49" fontId="3" fillId="7" borderId="1" xfId="0" applyNumberFormat="1" applyFont="1" applyFill="1" applyBorder="1"/>
    <xf numFmtId="49" fontId="3" fillId="8" borderId="1" xfId="0" applyNumberFormat="1" applyFont="1" applyFill="1" applyBorder="1"/>
    <xf numFmtId="0" fontId="2" fillId="0" borderId="0" xfId="0" applyFont="1"/>
    <xf numFmtId="2" fontId="2" fillId="0" borderId="0" xfId="0" applyNumberFormat="1" applyFont="1"/>
    <xf numFmtId="49" fontId="3" fillId="0" borderId="0" xfId="0" applyNumberFormat="1" applyFont="1"/>
    <xf numFmtId="2" fontId="3" fillId="9" borderId="1" xfId="0" applyNumberFormat="1" applyFont="1" applyFill="1" applyBorder="1"/>
    <xf numFmtId="2" fontId="3" fillId="0" borderId="0" xfId="0" applyNumberFormat="1" applyFont="1"/>
    <xf numFmtId="0" fontId="5" fillId="0" borderId="0" xfId="0" applyFont="1"/>
    <xf numFmtId="2" fontId="5" fillId="0" borderId="0" xfId="0" applyNumberFormat="1" applyFont="1"/>
    <xf numFmtId="0" fontId="6" fillId="0" borderId="0" xfId="0" applyFont="1"/>
    <xf numFmtId="0" fontId="2" fillId="11" borderId="16" xfId="0" applyFont="1" applyFill="1" applyBorder="1"/>
    <xf numFmtId="0" fontId="2" fillId="0" borderId="0" xfId="0" applyFont="1" applyAlignment="1">
      <alignment wrapText="1"/>
    </xf>
    <xf numFmtId="0" fontId="6" fillId="0" borderId="16" xfId="0" applyFont="1" applyBorder="1"/>
    <xf numFmtId="2" fontId="6" fillId="0" borderId="16" xfId="0" applyNumberFormat="1" applyFont="1" applyBorder="1"/>
    <xf numFmtId="49" fontId="6" fillId="0" borderId="16" xfId="0" applyNumberFormat="1" applyFont="1" applyBorder="1"/>
    <xf numFmtId="0" fontId="11" fillId="0" borderId="16" xfId="0" applyFont="1" applyBorder="1"/>
    <xf numFmtId="0" fontId="10" fillId="0" borderId="16" xfId="0" applyFont="1" applyBorder="1" applyAlignment="1">
      <alignment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46" xfId="0" applyFont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12" fillId="0" borderId="60" xfId="0" applyFont="1" applyBorder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12" fillId="0" borderId="36" xfId="0" applyFont="1" applyBorder="1" applyAlignment="1">
      <alignment horizontal="center" vertical="center"/>
    </xf>
    <xf numFmtId="0" fontId="12" fillId="0" borderId="42" xfId="0" applyFont="1" applyBorder="1" applyAlignment="1">
      <alignment horizontal="center" vertical="center"/>
    </xf>
    <xf numFmtId="0" fontId="1" fillId="0" borderId="68" xfId="0" applyFont="1" applyBorder="1" applyAlignment="1">
      <alignment horizontal="center" vertical="center"/>
    </xf>
    <xf numFmtId="0" fontId="1" fillId="0" borderId="40" xfId="0" applyFont="1" applyBorder="1" applyAlignment="1">
      <alignment horizontal="center" vertical="center"/>
    </xf>
    <xf numFmtId="0" fontId="1" fillId="0" borderId="44" xfId="0" applyFont="1" applyBorder="1" applyAlignment="1">
      <alignment horizontal="center" vertical="center"/>
    </xf>
    <xf numFmtId="0" fontId="1" fillId="0" borderId="45" xfId="0" applyFont="1" applyBorder="1" applyAlignment="1">
      <alignment horizontal="center" vertical="center"/>
    </xf>
    <xf numFmtId="0" fontId="1" fillId="0" borderId="43" xfId="0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13" fillId="0" borderId="69" xfId="1" applyNumberFormat="1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12" fillId="0" borderId="69" xfId="0" applyFont="1" applyBorder="1" applyAlignment="1">
      <alignment horizontal="center" vertical="center"/>
    </xf>
    <xf numFmtId="164" fontId="15" fillId="0" borderId="69" xfId="1" applyNumberFormat="1" applyFont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164" fontId="13" fillId="0" borderId="60" xfId="1" applyNumberFormat="1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164" fontId="13" fillId="0" borderId="69" xfId="1" applyNumberFormat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62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2" fillId="0" borderId="57" xfId="0" applyFont="1" applyBorder="1" applyAlignment="1">
      <alignment horizontal="center" vertical="center"/>
    </xf>
    <xf numFmtId="0" fontId="12" fillId="0" borderId="63" xfId="0" applyFont="1" applyBorder="1" applyAlignment="1">
      <alignment horizontal="center" vertical="center"/>
    </xf>
    <xf numFmtId="0" fontId="12" fillId="0" borderId="64" xfId="0" applyFont="1" applyBorder="1" applyAlignment="1">
      <alignment horizontal="center" vertical="center"/>
    </xf>
    <xf numFmtId="0" fontId="12" fillId="0" borderId="66" xfId="0" applyFont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0" fontId="0" fillId="0" borderId="72" xfId="0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65" xfId="0" applyFont="1" applyBorder="1" applyAlignment="1">
      <alignment horizontal="center" vertical="center"/>
    </xf>
    <xf numFmtId="0" fontId="12" fillId="0" borderId="22" xfId="0" applyFont="1" applyBorder="1" applyAlignment="1">
      <alignment horizontal="center" vertical="center"/>
    </xf>
    <xf numFmtId="0" fontId="12" fillId="0" borderId="67" xfId="0" applyFont="1" applyBorder="1" applyAlignment="1">
      <alignment horizontal="center" vertical="center"/>
    </xf>
    <xf numFmtId="0" fontId="12" fillId="0" borderId="61" xfId="0" applyFont="1" applyBorder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0" fontId="12" fillId="0" borderId="58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4" fillId="0" borderId="3" xfId="0" applyFont="1" applyBorder="1"/>
    <xf numFmtId="0" fontId="4" fillId="0" borderId="4" xfId="0" applyFont="1" applyBorder="1"/>
    <xf numFmtId="49" fontId="2" fillId="8" borderId="5" xfId="0" applyNumberFormat="1" applyFont="1" applyFill="1" applyBorder="1" applyAlignment="1">
      <alignment horizontal="center" vertical="center"/>
    </xf>
    <xf numFmtId="0" fontId="4" fillId="0" borderId="6" xfId="0" applyFont="1" applyBorder="1"/>
    <xf numFmtId="0" fontId="4" fillId="0" borderId="7" xfId="0" applyFont="1" applyBorder="1"/>
    <xf numFmtId="0" fontId="4" fillId="0" borderId="8" xfId="0" applyFont="1" applyBorder="1"/>
    <xf numFmtId="0" fontId="4" fillId="0" borderId="9" xfId="0" applyFont="1" applyBorder="1"/>
    <xf numFmtId="0" fontId="4" fillId="0" borderId="10" xfId="0" applyFont="1" applyBorder="1"/>
    <xf numFmtId="49" fontId="3" fillId="7" borderId="2" xfId="0" applyNumberFormat="1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4" fillId="0" borderId="12" xfId="0" applyFont="1" applyBorder="1"/>
    <xf numFmtId="0" fontId="4" fillId="0" borderId="13" xfId="0" applyFont="1" applyBorder="1"/>
    <xf numFmtId="0" fontId="5" fillId="2" borderId="11" xfId="0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5" fillId="5" borderId="11" xfId="0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0" fillId="0" borderId="0" xfId="0"/>
    <xf numFmtId="0" fontId="9" fillId="0" borderId="36" xfId="0" applyFont="1" applyBorder="1" applyAlignment="1">
      <alignment horizontal="center"/>
    </xf>
    <xf numFmtId="0" fontId="9" fillId="0" borderId="37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0" fontId="9" fillId="0" borderId="19" xfId="0" applyFont="1" applyBorder="1" applyAlignment="1">
      <alignment horizontal="center"/>
    </xf>
    <xf numFmtId="0" fontId="9" fillId="0" borderId="20" xfId="0" applyFont="1" applyBorder="1" applyAlignment="1">
      <alignment horizontal="center"/>
    </xf>
    <xf numFmtId="0" fontId="7" fillId="0" borderId="16" xfId="0" applyFont="1" applyBorder="1" applyAlignment="1">
      <alignment horizontal="center"/>
    </xf>
    <xf numFmtId="0" fontId="9" fillId="0" borderId="27" xfId="0" applyFont="1" applyBorder="1" applyAlignment="1">
      <alignment horizontal="center"/>
    </xf>
    <xf numFmtId="0" fontId="10" fillId="0" borderId="21" xfId="0" applyFont="1" applyBorder="1" applyAlignment="1">
      <alignment horizontal="center" vertical="center"/>
    </xf>
    <xf numFmtId="0" fontId="10" fillId="0" borderId="22" xfId="0" applyFont="1" applyBorder="1" applyAlignment="1">
      <alignment horizontal="center" vertical="center"/>
    </xf>
    <xf numFmtId="0" fontId="10" fillId="0" borderId="23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5" xfId="0" applyFont="1" applyBorder="1" applyAlignment="1">
      <alignment horizontal="center"/>
    </xf>
    <xf numFmtId="0" fontId="9" fillId="0" borderId="34" xfId="0" applyFont="1" applyBorder="1" applyAlignment="1">
      <alignment horizontal="center"/>
    </xf>
    <xf numFmtId="0" fontId="9" fillId="0" borderId="31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26" xfId="0" applyFont="1" applyBorder="1" applyAlignment="1">
      <alignment horizontal="center"/>
    </xf>
    <xf numFmtId="0" fontId="9" fillId="0" borderId="32" xfId="0" applyFont="1" applyBorder="1" applyAlignment="1">
      <alignment horizontal="center"/>
    </xf>
    <xf numFmtId="0" fontId="9" fillId="0" borderId="33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29" xfId="0" applyFont="1" applyBorder="1" applyAlignment="1">
      <alignment horizontal="center"/>
    </xf>
    <xf numFmtId="0" fontId="9" fillId="0" borderId="24" xfId="0" applyFont="1" applyBorder="1" applyAlignment="1">
      <alignment horizontal="center"/>
    </xf>
    <xf numFmtId="0" fontId="9" fillId="0" borderId="25" xfId="0" applyFont="1" applyBorder="1" applyAlignment="1">
      <alignment horizontal="center"/>
    </xf>
    <xf numFmtId="0" fontId="11" fillId="0" borderId="32" xfId="0" applyFont="1" applyBorder="1" applyAlignment="1">
      <alignment horizontal="center"/>
    </xf>
    <xf numFmtId="0" fontId="11" fillId="0" borderId="34" xfId="0" applyFont="1" applyBorder="1" applyAlignment="1">
      <alignment horizontal="center"/>
    </xf>
    <xf numFmtId="0" fontId="1" fillId="0" borderId="73" xfId="0" applyFont="1" applyBorder="1" applyAlignment="1">
      <alignment horizontal="center" vertical="center"/>
    </xf>
    <xf numFmtId="0" fontId="0" fillId="0" borderId="74" xfId="0" applyBorder="1" applyAlignment="1">
      <alignment horizontal="center" vertical="center"/>
    </xf>
    <xf numFmtId="164" fontId="13" fillId="0" borderId="74" xfId="1" applyNumberFormat="1" applyBorder="1" applyAlignment="1">
      <alignment horizontal="center" vertical="center"/>
    </xf>
    <xf numFmtId="164" fontId="1" fillId="0" borderId="74" xfId="0" applyNumberFormat="1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68" xfId="0" applyBorder="1" applyAlignment="1">
      <alignment horizontal="center" vertical="center"/>
    </xf>
    <xf numFmtId="164" fontId="13" fillId="0" borderId="68" xfId="1" applyNumberFormat="1" applyBorder="1" applyAlignment="1">
      <alignment horizontal="center" vertical="center"/>
    </xf>
    <xf numFmtId="0" fontId="1" fillId="0" borderId="70" xfId="0" applyFont="1" applyBorder="1" applyAlignment="1">
      <alignment horizontal="center" vertical="center"/>
    </xf>
    <xf numFmtId="164" fontId="13" fillId="0" borderId="71" xfId="1" applyNumberFormat="1" applyBorder="1" applyAlignment="1">
      <alignment horizontal="center" vertical="center"/>
    </xf>
    <xf numFmtId="0" fontId="1" fillId="0" borderId="76" xfId="0" applyFont="1" applyBorder="1" applyAlignment="1">
      <alignment horizontal="center" vertical="center"/>
    </xf>
    <xf numFmtId="0" fontId="1" fillId="0" borderId="4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13" fillId="0" borderId="75" xfId="1" applyBorder="1" applyAlignment="1">
      <alignment horizontal="center" vertical="center"/>
    </xf>
    <xf numFmtId="0" fontId="12" fillId="0" borderId="70" xfId="0" applyFont="1" applyBorder="1" applyAlignment="1">
      <alignment horizontal="center" vertical="center"/>
    </xf>
    <xf numFmtId="0" fontId="13" fillId="0" borderId="72" xfId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3" fillId="0" borderId="18" xfId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3" fillId="0" borderId="18" xfId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16" fillId="0" borderId="19" xfId="0" applyFont="1" applyBorder="1" applyAlignment="1">
      <alignment horizontal="center" vertical="center"/>
    </xf>
    <xf numFmtId="0" fontId="13" fillId="0" borderId="20" xfId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2" fillId="0" borderId="28" xfId="0" applyFont="1" applyBorder="1" applyAlignment="1">
      <alignment horizontal="center" vertical="center"/>
    </xf>
    <xf numFmtId="0" fontId="13" fillId="0" borderId="30" xfId="1" applyBorder="1" applyAlignment="1">
      <alignment horizontal="center" vertical="center"/>
    </xf>
    <xf numFmtId="0" fontId="12" fillId="0" borderId="37" xfId="0" applyFont="1" applyBorder="1" applyAlignment="1">
      <alignment horizontal="center" vertical="center"/>
    </xf>
    <xf numFmtId="0" fontId="12" fillId="0" borderId="77" xfId="0" applyFont="1" applyBorder="1" applyAlignment="1">
      <alignment horizontal="center" vertical="center"/>
    </xf>
    <xf numFmtId="0" fontId="12" fillId="0" borderId="53" xfId="0" applyFont="1" applyBorder="1" applyAlignment="1">
      <alignment horizontal="center" vertical="center"/>
    </xf>
    <xf numFmtId="0" fontId="12" fillId="0" borderId="78" xfId="0" applyFont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0" fontId="17" fillId="0" borderId="87" xfId="0" applyFont="1" applyBorder="1" applyAlignment="1">
      <alignment horizontal="center" vertical="center"/>
    </xf>
    <xf numFmtId="0" fontId="17" fillId="0" borderId="54" xfId="0" applyFont="1" applyBorder="1" applyAlignment="1">
      <alignment horizontal="center" vertical="center" textRotation="255"/>
    </xf>
    <xf numFmtId="0" fontId="17" fillId="17" borderId="96" xfId="0" applyFont="1" applyFill="1" applyBorder="1" applyAlignment="1">
      <alignment horizontal="center" vertical="center"/>
    </xf>
    <xf numFmtId="0" fontId="17" fillId="0" borderId="49" xfId="0" applyFont="1" applyBorder="1" applyAlignment="1">
      <alignment horizontal="center" vertical="center" textRotation="255"/>
    </xf>
    <xf numFmtId="0" fontId="17" fillId="0" borderId="90" xfId="0" applyFont="1" applyBorder="1" applyAlignment="1">
      <alignment horizontal="center" vertical="center" textRotation="255"/>
    </xf>
    <xf numFmtId="0" fontId="17" fillId="17" borderId="17" xfId="0" applyFont="1" applyFill="1" applyBorder="1" applyAlignment="1">
      <alignment horizontal="center" vertical="center"/>
    </xf>
    <xf numFmtId="0" fontId="17" fillId="17" borderId="19" xfId="0" applyFont="1" applyFill="1" applyBorder="1" applyAlignment="1">
      <alignment horizontal="center" vertical="center"/>
    </xf>
    <xf numFmtId="0" fontId="17" fillId="18" borderId="57" xfId="0" applyFont="1" applyFill="1" applyBorder="1" applyAlignment="1">
      <alignment horizontal="center" vertical="center"/>
    </xf>
    <xf numFmtId="0" fontId="17" fillId="18" borderId="39" xfId="0" applyFont="1" applyFill="1" applyBorder="1" applyAlignment="1">
      <alignment horizontal="center" vertical="center"/>
    </xf>
    <xf numFmtId="0" fontId="17" fillId="18" borderId="64" xfId="0" applyFont="1" applyFill="1" applyBorder="1" applyAlignment="1">
      <alignment horizontal="center" vertical="center"/>
    </xf>
    <xf numFmtId="0" fontId="17" fillId="18" borderId="106" xfId="0" applyFont="1" applyFill="1" applyBorder="1" applyAlignment="1">
      <alignment horizontal="center" vertical="center"/>
    </xf>
    <xf numFmtId="0" fontId="17" fillId="0" borderId="55" xfId="0" applyFont="1" applyBorder="1" applyAlignment="1">
      <alignment horizontal="center" vertical="center" textRotation="255"/>
    </xf>
    <xf numFmtId="0" fontId="18" fillId="10" borderId="98" xfId="0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20" borderId="4" xfId="0" applyFont="1" applyFill="1" applyBorder="1" applyAlignment="1">
      <alignment horizontal="center" vertical="center"/>
    </xf>
    <xf numFmtId="0" fontId="0" fillId="0" borderId="0" xfId="0" applyFill="1"/>
    <xf numFmtId="0" fontId="1" fillId="0" borderId="0" xfId="0" applyFont="1" applyFill="1"/>
    <xf numFmtId="0" fontId="3" fillId="0" borderId="70" xfId="0" applyFont="1" applyBorder="1"/>
    <xf numFmtId="0" fontId="15" fillId="0" borderId="71" xfId="1" applyFont="1" applyFill="1" applyBorder="1"/>
    <xf numFmtId="0" fontId="3" fillId="0" borderId="71" xfId="0" applyFont="1" applyBorder="1"/>
    <xf numFmtId="0" fontId="3" fillId="0" borderId="72" xfId="0" applyFont="1" applyBorder="1"/>
    <xf numFmtId="0" fontId="3" fillId="0" borderId="19" xfId="0" applyFont="1" applyBorder="1"/>
    <xf numFmtId="0" fontId="15" fillId="0" borderId="60" xfId="1" applyFont="1" applyFill="1" applyBorder="1"/>
    <xf numFmtId="0" fontId="3" fillId="0" borderId="20" xfId="0" applyFont="1" applyBorder="1"/>
    <xf numFmtId="0" fontId="3" fillId="22" borderId="16" xfId="0" applyFont="1" applyFill="1" applyBorder="1" applyAlignment="1">
      <alignment vertical="top" wrapText="1"/>
    </xf>
    <xf numFmtId="0" fontId="3" fillId="22" borderId="16" xfId="0" applyFont="1" applyFill="1" applyBorder="1"/>
    <xf numFmtId="0" fontId="3" fillId="22" borderId="16" xfId="0" applyFont="1" applyFill="1" applyBorder="1" applyAlignment="1">
      <alignment wrapText="1"/>
    </xf>
    <xf numFmtId="0" fontId="3" fillId="23" borderId="16" xfId="0" applyFont="1" applyFill="1" applyBorder="1"/>
    <xf numFmtId="0" fontId="17" fillId="16" borderId="63" xfId="0" applyFont="1" applyFill="1" applyBorder="1" applyAlignment="1">
      <alignment horizontal="center" vertical="center"/>
    </xf>
    <xf numFmtId="0" fontId="21" fillId="19" borderId="106" xfId="1" applyFont="1" applyFill="1" applyBorder="1" applyAlignment="1">
      <alignment horizontal="center" vertical="center"/>
    </xf>
    <xf numFmtId="0" fontId="17" fillId="14" borderId="100" xfId="0" applyFont="1" applyFill="1" applyBorder="1" applyAlignment="1">
      <alignment horizontal="center" vertical="center"/>
    </xf>
    <xf numFmtId="0" fontId="17" fillId="0" borderId="48" xfId="0" applyFont="1" applyBorder="1" applyAlignment="1">
      <alignment horizontal="center" vertical="center"/>
    </xf>
    <xf numFmtId="0" fontId="17" fillId="0" borderId="88" xfId="0" applyFont="1" applyBorder="1" applyAlignment="1">
      <alignment horizontal="center" vertical="center"/>
    </xf>
    <xf numFmtId="0" fontId="17" fillId="0" borderId="89" xfId="0" applyFont="1" applyBorder="1" applyAlignment="1">
      <alignment horizontal="center" vertical="center"/>
    </xf>
    <xf numFmtId="0" fontId="17" fillId="0" borderId="105" xfId="0" applyFont="1" applyBorder="1" applyAlignment="1">
      <alignment horizontal="center" vertical="center"/>
    </xf>
    <xf numFmtId="0" fontId="17" fillId="17" borderId="93" xfId="0" applyFont="1" applyFill="1" applyBorder="1" applyAlignment="1">
      <alignment horizontal="center" vertical="center"/>
    </xf>
    <xf numFmtId="0" fontId="17" fillId="17" borderId="102" xfId="0" applyFont="1" applyFill="1" applyBorder="1" applyAlignment="1">
      <alignment horizontal="center" vertical="center"/>
    </xf>
    <xf numFmtId="0" fontId="17" fillId="14" borderId="97" xfId="0" applyFont="1" applyFill="1" applyBorder="1" applyAlignment="1">
      <alignment horizontal="center" vertical="center"/>
    </xf>
    <xf numFmtId="0" fontId="17" fillId="14" borderId="101" xfId="0" applyFont="1" applyFill="1" applyBorder="1" applyAlignment="1">
      <alignment horizontal="center" vertical="center"/>
    </xf>
    <xf numFmtId="0" fontId="17" fillId="12" borderId="69" xfId="0" applyFont="1" applyFill="1" applyBorder="1" applyAlignment="1">
      <alignment horizontal="center" vertical="center"/>
    </xf>
    <xf numFmtId="0" fontId="17" fillId="13" borderId="68" xfId="0" applyFont="1" applyFill="1" applyBorder="1" applyAlignment="1">
      <alignment horizontal="center" vertical="center"/>
    </xf>
    <xf numFmtId="0" fontId="17" fillId="13" borderId="10" xfId="0" applyFont="1" applyFill="1" applyBorder="1" applyAlignment="1">
      <alignment horizontal="center" vertical="center"/>
    </xf>
    <xf numFmtId="0" fontId="17" fillId="13" borderId="15" xfId="0" applyFont="1" applyFill="1" applyBorder="1" applyAlignment="1">
      <alignment horizontal="center" vertical="center"/>
    </xf>
    <xf numFmtId="0" fontId="17" fillId="13" borderId="8" xfId="0" applyFont="1" applyFill="1" applyBorder="1" applyAlignment="1">
      <alignment horizontal="center" vertical="center"/>
    </xf>
    <xf numFmtId="0" fontId="17" fillId="13" borderId="4" xfId="0" applyFont="1" applyFill="1" applyBorder="1" applyAlignment="1">
      <alignment horizontal="center" vertical="center"/>
    </xf>
    <xf numFmtId="0" fontId="17" fillId="13" borderId="2" xfId="0" applyFont="1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 vertical="center"/>
    </xf>
    <xf numFmtId="0" fontId="17" fillId="13" borderId="93" xfId="0" applyFont="1" applyFill="1" applyBorder="1" applyAlignment="1">
      <alignment horizontal="center" vertical="center"/>
    </xf>
    <xf numFmtId="0" fontId="17" fillId="13" borderId="7" xfId="0" applyFont="1" applyFill="1" applyBorder="1" applyAlignment="1">
      <alignment horizontal="center" vertical="center"/>
    </xf>
    <xf numFmtId="0" fontId="17" fillId="13" borderId="14" xfId="0" applyFont="1" applyFill="1" applyBorder="1" applyAlignment="1">
      <alignment horizontal="center" vertical="center"/>
    </xf>
    <xf numFmtId="0" fontId="17" fillId="13" borderId="5" xfId="0" applyFont="1" applyFill="1" applyBorder="1" applyAlignment="1">
      <alignment horizontal="center" vertical="center"/>
    </xf>
    <xf numFmtId="0" fontId="17" fillId="15" borderId="60" xfId="0" applyFont="1" applyFill="1" applyBorder="1" applyAlignment="1">
      <alignment horizontal="center" vertical="center"/>
    </xf>
    <xf numFmtId="0" fontId="17" fillId="17" borderId="71" xfId="0" applyFont="1" applyFill="1" applyBorder="1" applyAlignment="1">
      <alignment horizontal="center" vertical="center"/>
    </xf>
    <xf numFmtId="0" fontId="17" fillId="17" borderId="92" xfId="0" applyFont="1" applyFill="1" applyBorder="1" applyAlignment="1">
      <alignment horizontal="center" vertical="center"/>
    </xf>
    <xf numFmtId="0" fontId="17" fillId="17" borderId="79" xfId="0" applyFont="1" applyFill="1" applyBorder="1" applyAlignment="1">
      <alignment horizontal="center" vertical="center"/>
    </xf>
    <xf numFmtId="0" fontId="17" fillId="17" borderId="80" xfId="0" applyFont="1" applyFill="1" applyBorder="1" applyAlignment="1">
      <alignment horizontal="center" vertical="center"/>
    </xf>
    <xf numFmtId="0" fontId="17" fillId="17" borderId="68" xfId="0" applyFont="1" applyFill="1" applyBorder="1" applyAlignment="1">
      <alignment horizontal="center" vertical="center"/>
    </xf>
    <xf numFmtId="0" fontId="17" fillId="17" borderId="10" xfId="0" applyFont="1" applyFill="1" applyBorder="1" applyAlignment="1">
      <alignment horizontal="center" vertical="center"/>
    </xf>
    <xf numFmtId="0" fontId="17" fillId="17" borderId="15" xfId="0" applyFont="1" applyFill="1" applyBorder="1" applyAlignment="1">
      <alignment horizontal="center" vertical="center"/>
    </xf>
    <xf numFmtId="0" fontId="17" fillId="17" borderId="1" xfId="0" applyFont="1" applyFill="1" applyBorder="1" applyAlignment="1">
      <alignment horizontal="center" vertical="center"/>
    </xf>
    <xf numFmtId="0" fontId="17" fillId="17" borderId="81" xfId="0" applyFont="1" applyFill="1" applyBorder="1" applyAlignment="1">
      <alignment horizontal="center" vertical="center"/>
    </xf>
    <xf numFmtId="0" fontId="17" fillId="17" borderId="94" xfId="0" applyFont="1" applyFill="1" applyBorder="1" applyAlignment="1">
      <alignment horizontal="center" vertical="center"/>
    </xf>
    <xf numFmtId="0" fontId="17" fillId="17" borderId="95" xfId="0" applyFont="1" applyFill="1" applyBorder="1" applyAlignment="1">
      <alignment horizontal="center" vertical="center"/>
    </xf>
    <xf numFmtId="0" fontId="17" fillId="17" borderId="14" xfId="0" applyFont="1" applyFill="1" applyBorder="1" applyAlignment="1">
      <alignment horizontal="center" vertical="center"/>
    </xf>
    <xf numFmtId="0" fontId="17" fillId="17" borderId="86" xfId="0" applyFont="1" applyFill="1" applyBorder="1" applyAlignment="1">
      <alignment horizontal="center" vertical="center"/>
    </xf>
    <xf numFmtId="0" fontId="17" fillId="17" borderId="69" xfId="0" applyFont="1" applyFill="1" applyBorder="1" applyAlignment="1">
      <alignment horizontal="center" vertical="center"/>
    </xf>
    <xf numFmtId="0" fontId="17" fillId="17" borderId="18" xfId="0" applyFont="1" applyFill="1" applyBorder="1" applyAlignment="1">
      <alignment horizontal="center" vertical="center"/>
    </xf>
    <xf numFmtId="0" fontId="17" fillId="17" borderId="60" xfId="0" applyFont="1" applyFill="1" applyBorder="1" applyAlignment="1">
      <alignment horizontal="center" vertical="center"/>
    </xf>
    <xf numFmtId="0" fontId="17" fillId="17" borderId="20" xfId="0" applyFont="1" applyFill="1" applyBorder="1" applyAlignment="1">
      <alignment horizontal="center" vertical="center"/>
    </xf>
    <xf numFmtId="0" fontId="17" fillId="16" borderId="71" xfId="0" applyFont="1" applyFill="1" applyBorder="1" applyAlignment="1">
      <alignment horizontal="center" vertical="center"/>
    </xf>
    <xf numFmtId="0" fontId="17" fillId="16" borderId="92" xfId="0" applyFont="1" applyFill="1" applyBorder="1" applyAlignment="1">
      <alignment horizontal="center" vertical="center"/>
    </xf>
    <xf numFmtId="0" fontId="17" fillId="16" borderId="79" xfId="0" applyFont="1" applyFill="1" applyBorder="1" applyAlignment="1">
      <alignment horizontal="center" vertical="center"/>
    </xf>
    <xf numFmtId="0" fontId="17" fillId="16" borderId="57" xfId="0" applyFont="1" applyFill="1" applyBorder="1" applyAlignment="1">
      <alignment horizontal="center" vertical="center"/>
    </xf>
    <xf numFmtId="0" fontId="17" fillId="15" borderId="69" xfId="0" applyFont="1" applyFill="1" applyBorder="1" applyAlignment="1">
      <alignment horizontal="center" vertical="center"/>
    </xf>
    <xf numFmtId="0" fontId="17" fillId="15" borderId="10" xfId="0" applyFont="1" applyFill="1" applyBorder="1" applyAlignment="1">
      <alignment horizontal="center" vertical="center"/>
    </xf>
    <xf numFmtId="0" fontId="17" fillId="15" borderId="15" xfId="0" applyFont="1" applyFill="1" applyBorder="1" applyAlignment="1">
      <alignment horizontal="center" vertical="center"/>
    </xf>
    <xf numFmtId="0" fontId="17" fillId="15" borderId="1" xfId="0" applyFont="1" applyFill="1" applyBorder="1" applyAlignment="1">
      <alignment horizontal="center" vertical="center"/>
    </xf>
    <xf numFmtId="0" fontId="17" fillId="15" borderId="103" xfId="0" applyFont="1" applyFill="1" applyBorder="1" applyAlignment="1">
      <alignment horizontal="center" vertical="center"/>
    </xf>
    <xf numFmtId="0" fontId="17" fillId="15" borderId="84" xfId="0" applyFont="1" applyFill="1" applyBorder="1" applyAlignment="1">
      <alignment horizontal="center" vertical="center"/>
    </xf>
    <xf numFmtId="0" fontId="17" fillId="15" borderId="82" xfId="0" applyFont="1" applyFill="1" applyBorder="1" applyAlignment="1">
      <alignment horizontal="center" vertical="center"/>
    </xf>
    <xf numFmtId="0" fontId="17" fillId="15" borderId="25" xfId="0" applyFont="1" applyFill="1" applyBorder="1" applyAlignment="1">
      <alignment horizontal="center" vertical="center"/>
    </xf>
    <xf numFmtId="0" fontId="17" fillId="20" borderId="1" xfId="0" applyFont="1" applyFill="1" applyBorder="1" applyAlignment="1">
      <alignment horizontal="center" vertical="center"/>
    </xf>
    <xf numFmtId="0" fontId="15" fillId="20" borderId="1" xfId="1" applyFont="1" applyFill="1" applyBorder="1" applyAlignment="1">
      <alignment horizontal="center" vertical="center"/>
    </xf>
    <xf numFmtId="0" fontId="17" fillId="20" borderId="2" xfId="0" applyFont="1" applyFill="1" applyBorder="1" applyAlignment="1">
      <alignment horizontal="center" vertical="center"/>
    </xf>
    <xf numFmtId="0" fontId="13" fillId="20" borderId="1" xfId="1" applyFill="1" applyBorder="1" applyAlignment="1">
      <alignment horizontal="center" vertical="center"/>
    </xf>
    <xf numFmtId="0" fontId="18" fillId="10" borderId="104" xfId="0" applyFont="1" applyFill="1" applyBorder="1" applyAlignment="1">
      <alignment horizontal="center" vertical="center"/>
    </xf>
    <xf numFmtId="0" fontId="18" fillId="10" borderId="99" xfId="0" applyFont="1" applyFill="1" applyBorder="1" applyAlignment="1">
      <alignment horizontal="center" vertical="center"/>
    </xf>
    <xf numFmtId="0" fontId="18" fillId="10" borderId="85" xfId="0" applyFont="1" applyFill="1" applyBorder="1" applyAlignment="1">
      <alignment horizontal="center" vertical="center"/>
    </xf>
    <xf numFmtId="0" fontId="17" fillId="13" borderId="0" xfId="0" applyFont="1" applyFill="1" applyAlignment="1">
      <alignment horizontal="center" vertical="center"/>
    </xf>
    <xf numFmtId="0" fontId="17" fillId="21" borderId="16" xfId="0" applyFont="1" applyFill="1" applyBorder="1" applyAlignment="1">
      <alignment horizontal="center" vertical="center"/>
    </xf>
    <xf numFmtId="0" fontId="17" fillId="14" borderId="57" xfId="0" applyFont="1" applyFill="1" applyBorder="1" applyAlignment="1">
      <alignment horizontal="center" vertical="center"/>
    </xf>
    <xf numFmtId="0" fontId="17" fillId="12" borderId="24" xfId="0" applyFont="1" applyFill="1" applyBorder="1" applyAlignment="1">
      <alignment horizontal="center" vertical="center"/>
    </xf>
    <xf numFmtId="0" fontId="17" fillId="13" borderId="29" xfId="0" applyFont="1" applyFill="1" applyBorder="1" applyAlignment="1">
      <alignment horizontal="center" vertical="center"/>
    </xf>
    <xf numFmtId="0" fontId="17" fillId="13" borderId="24" xfId="0" applyFont="1" applyFill="1" applyBorder="1" applyAlignment="1">
      <alignment horizontal="center" vertical="center"/>
    </xf>
    <xf numFmtId="0" fontId="17" fillId="13" borderId="103" xfId="0" applyFont="1" applyFill="1" applyBorder="1" applyAlignment="1">
      <alignment horizontal="center" vertical="center"/>
    </xf>
    <xf numFmtId="0" fontId="17" fillId="17" borderId="91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0" fontId="17" fillId="17" borderId="5" xfId="0" applyFont="1" applyFill="1" applyBorder="1" applyAlignment="1">
      <alignment horizontal="center" vertical="center"/>
    </xf>
    <xf numFmtId="0" fontId="17" fillId="17" borderId="24" xfId="0" applyFont="1" applyFill="1" applyBorder="1" applyAlignment="1">
      <alignment horizontal="center" vertical="center"/>
    </xf>
    <xf numFmtId="0" fontId="17" fillId="17" borderId="25" xfId="0" applyFont="1" applyFill="1" applyBorder="1" applyAlignment="1">
      <alignment horizontal="center" vertical="center"/>
    </xf>
    <xf numFmtId="0" fontId="17" fillId="14" borderId="63" xfId="0" applyFont="1" applyFill="1" applyBorder="1" applyAlignment="1">
      <alignment horizontal="center" vertical="center"/>
    </xf>
    <xf numFmtId="0" fontId="17" fillId="14" borderId="96" xfId="0" applyFont="1" applyFill="1" applyBorder="1" applyAlignment="1">
      <alignment horizontal="center" vertical="center"/>
    </xf>
    <xf numFmtId="0" fontId="17" fillId="14" borderId="66" xfId="0" applyFont="1" applyFill="1" applyBorder="1" applyAlignment="1">
      <alignment horizontal="center" vertical="center"/>
    </xf>
    <xf numFmtId="0" fontId="17" fillId="16" borderId="96" xfId="0" applyFont="1" applyFill="1" applyBorder="1" applyAlignment="1">
      <alignment horizontal="center" vertical="center"/>
    </xf>
    <xf numFmtId="0" fontId="17" fillId="16" borderId="66" xfId="0" applyFont="1" applyFill="1" applyBorder="1" applyAlignment="1">
      <alignment horizontal="center" vertical="center"/>
    </xf>
    <xf numFmtId="0" fontId="17" fillId="17" borderId="27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6" fillId="0" borderId="16" xfId="0" applyFont="1" applyFill="1" applyBorder="1" applyAlignment="1">
      <alignment horizontal="left"/>
    </xf>
    <xf numFmtId="0" fontId="0" fillId="0" borderId="16" xfId="0" applyFill="1" applyBorder="1" applyAlignment="1">
      <alignment horizontal="left" vertical="center"/>
    </xf>
    <xf numFmtId="0" fontId="0" fillId="0" borderId="16" xfId="0" applyFill="1" applyBorder="1" applyAlignment="1">
      <alignment horizontal="left"/>
    </xf>
    <xf numFmtId="0" fontId="6" fillId="0" borderId="16" xfId="0" applyFont="1" applyFill="1" applyBorder="1" applyAlignment="1">
      <alignment horizontal="left" vertical="center"/>
    </xf>
    <xf numFmtId="0" fontId="3" fillId="0" borderId="16" xfId="0" applyFont="1" applyFill="1" applyBorder="1" applyAlignment="1">
      <alignment horizontal="left" vertical="center"/>
    </xf>
    <xf numFmtId="0" fontId="8" fillId="0" borderId="16" xfId="0" applyFont="1" applyFill="1" applyBorder="1" applyAlignment="1">
      <alignment horizontal="left" vertical="center"/>
    </xf>
    <xf numFmtId="0" fontId="6" fillId="0" borderId="16" xfId="0" applyFont="1" applyFill="1" applyBorder="1" applyAlignment="1">
      <alignment horizontal="center" vertical="center"/>
    </xf>
    <xf numFmtId="0" fontId="17" fillId="20" borderId="10" xfId="0" applyFont="1" applyFill="1" applyBorder="1" applyAlignment="1">
      <alignment horizontal="center" vertical="center"/>
    </xf>
    <xf numFmtId="0" fontId="17" fillId="20" borderId="15" xfId="0" applyFont="1" applyFill="1" applyBorder="1" applyAlignment="1">
      <alignment horizontal="center" vertical="center"/>
    </xf>
    <xf numFmtId="0" fontId="15" fillId="20" borderId="15" xfId="1" applyFont="1" applyFill="1" applyBorder="1" applyAlignment="1">
      <alignment horizontal="center" vertical="center"/>
    </xf>
    <xf numFmtId="0" fontId="17" fillId="20" borderId="8" xfId="0" applyFont="1" applyFill="1" applyBorder="1" applyAlignment="1">
      <alignment horizontal="center" vertical="center"/>
    </xf>
    <xf numFmtId="0" fontId="17" fillId="17" borderId="38" xfId="0" applyFont="1" applyFill="1" applyBorder="1" applyAlignment="1">
      <alignment horizontal="center" vertical="center"/>
    </xf>
    <xf numFmtId="0" fontId="17" fillId="17" borderId="83" xfId="0" applyFont="1" applyFill="1" applyBorder="1" applyAlignment="1">
      <alignment horizontal="center" vertical="center"/>
    </xf>
    <xf numFmtId="0" fontId="17" fillId="17" borderId="26" xfId="0" applyFont="1" applyFill="1" applyBorder="1" applyAlignment="1">
      <alignment horizontal="center" vertical="center"/>
    </xf>
    <xf numFmtId="0" fontId="17" fillId="18" borderId="16" xfId="0" applyFont="1" applyFill="1" applyBorder="1" applyAlignment="1">
      <alignment horizontal="center" vertical="center"/>
    </xf>
    <xf numFmtId="0" fontId="17" fillId="15" borderId="74" xfId="0" applyFont="1" applyFill="1" applyBorder="1" applyAlignment="1">
      <alignment horizontal="center" vertical="center"/>
    </xf>
    <xf numFmtId="0" fontId="17" fillId="18" borderId="102" xfId="0" applyFont="1" applyFill="1" applyBorder="1" applyAlignment="1">
      <alignment horizontal="center" vertical="center"/>
    </xf>
    <xf numFmtId="0" fontId="17" fillId="17" borderId="70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2">
    <dxf>
      <fill>
        <patternFill patternType="solid">
          <fgColor rgb="FF00B050"/>
          <bgColor rgb="FF00B050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colors>
    <mruColors>
      <color rgb="FFFFE598"/>
      <color rgb="FFFF64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fs.com/eu-en/products/36171.html?gad_source=1&amp;gad_campaignid=17958704370&amp;gbraid=0AAAAAoz-wfT_xbplSsDF5wnLt8v2Wzp2D&amp;gclid=CjwKCAjwtIfPBhAzEiwAv9RTJlKrkQBS8dOUVwOEDG8QDB1y0gEgpD_K3Km2f0GLubKbb3vLE1K1vxoCmsAQAvD_BwE" TargetMode="External"/><Relationship Id="rId21" Type="http://schemas.openxmlformats.org/officeDocument/2006/relationships/hyperlink" Target="https://buy.hpe.com/us/en/networking/wireless-devices/wlan-access-points/hpe-aruba-networking-ap%E2%80%91765-us-flex-radio-2x2-wi%E2%80%91fi-7-dynamic-omni%E2%80%91directional-outdoor-ap/p/s4k19a" TargetMode="External"/><Relationship Id="rId42" Type="http://schemas.openxmlformats.org/officeDocument/2006/relationships/hyperlink" Target="https://www.hp.com/ro-ro/products/accessories/product-details/2101722231" TargetMode="External"/><Relationship Id="rId63" Type="http://schemas.openxmlformats.org/officeDocument/2006/relationships/hyperlink" Target="https://www.cisco.com/c/en/us/products/collateral/switches/catalyst-9400-series-switches/nb-06-cat9400-ser-sup-eng-data-sheet-cte-en.html" TargetMode="External"/><Relationship Id="rId84" Type="http://schemas.openxmlformats.org/officeDocument/2006/relationships/hyperlink" Target="https://www.router-switch.com/c9400-lc-48ux.html" TargetMode="External"/><Relationship Id="rId16" Type="http://schemas.openxmlformats.org/officeDocument/2006/relationships/hyperlink" Target="https://www.hpe.com/us/en/collaterals/collateral.a00073541enw.html" TargetMode="External"/><Relationship Id="rId107" Type="http://schemas.openxmlformats.org/officeDocument/2006/relationships/hyperlink" Target="https://it-planet.com/en/p/hpearuba-r0x39c-460219.html" TargetMode="External"/><Relationship Id="rId11" Type="http://schemas.openxmlformats.org/officeDocument/2006/relationships/hyperlink" Target="https://www.cisco.com/c/en/us/products/collateral/switches/catalyst-9400-series-switches/nb-06-cat9400-series-line-data-sheet-cte-en.html" TargetMode="External"/><Relationship Id="rId32" Type="http://schemas.openxmlformats.org/officeDocument/2006/relationships/hyperlink" Target="https://buy.hpe.com/us/en/options/modules/switch-modules/hpe-aruba-networking-cx-6400-48%E2%80%91port-1gbe-class-4-poe-4%E2%80%91port-sfp56-v2-module/p/r0x39c" TargetMode="External"/><Relationship Id="rId37" Type="http://schemas.openxmlformats.org/officeDocument/2006/relationships/hyperlink" Target="https://www.hpe.com/us/en/collaterals/collateral.a00073541enw.html" TargetMode="External"/><Relationship Id="rId53" Type="http://schemas.openxmlformats.org/officeDocument/2006/relationships/hyperlink" Target="https://www.router-switch.com/c9400-lc-12qc.html" TargetMode="External"/><Relationship Id="rId58" Type="http://schemas.openxmlformats.org/officeDocument/2006/relationships/hyperlink" Target="https://www.router-switch.com/c9410r.html" TargetMode="External"/><Relationship Id="rId74" Type="http://schemas.openxmlformats.org/officeDocument/2006/relationships/hyperlink" Target="https://www.router-switch.com/c9800-l-c-k9.html" TargetMode="External"/><Relationship Id="rId79" Type="http://schemas.openxmlformats.org/officeDocument/2006/relationships/hyperlink" Target="https://www.router-switch.com/c9400-lc-12qc.html" TargetMode="External"/><Relationship Id="rId102" Type="http://schemas.openxmlformats.org/officeDocument/2006/relationships/hyperlink" Target="https://it-planet.com/en/p/hpearuba-r0x45c-462673.html" TargetMode="External"/><Relationship Id="rId123" Type="http://schemas.openxmlformats.org/officeDocument/2006/relationships/hyperlink" Target="https://www.cisco.com/c/en/us/products/collateral/switches/catalyst-9400-series-switches/nb-06-cat9400-series-line-data-sheet-cte-en.html" TargetMode="External"/><Relationship Id="rId128" Type="http://schemas.openxmlformats.org/officeDocument/2006/relationships/hyperlink" Target="https://www.fs.com/eu-en/products/36171.html?gad_source=1&amp;gad_campaignid=17958704370&amp;gbraid=0AAAAAoz-wfT_xbplSsDF5wnLt8v2Wzp2D&amp;gclid=CjwKCAjwtIfPBhAzEiwAv9RTJlKrkQBS8dOUVwOEDG8QDB1y0gEgpD_K3Km2f0GLubKbb3vLE1K1vxoCmsAQAvD_BwE" TargetMode="External"/><Relationship Id="rId5" Type="http://schemas.openxmlformats.org/officeDocument/2006/relationships/hyperlink" Target="https://www.router-switch.com/pdf/c9407r-datasheet.pdf" TargetMode="External"/><Relationship Id="rId90" Type="http://schemas.openxmlformats.org/officeDocument/2006/relationships/hyperlink" Target="https://it-planet.com/en/p/paloaltonetworks-pan-pa-3440-493898.html" TargetMode="External"/><Relationship Id="rId95" Type="http://schemas.openxmlformats.org/officeDocument/2006/relationships/hyperlink" Target="https://edshop.edsystem.eu/hpe-aruba-networking-cx-6400-management-module/product-1686459" TargetMode="External"/><Relationship Id="rId22" Type="http://schemas.openxmlformats.org/officeDocument/2006/relationships/hyperlink" Target="https://www.paloguard.com/firewall-pa-3440.asp" TargetMode="External"/><Relationship Id="rId27" Type="http://schemas.openxmlformats.org/officeDocument/2006/relationships/hyperlink" Target="https://buy.hpe.com/us/en/options/modules/switch-modules/hpe-aruba-networking-cx-6400-12%e2%80%91port-40-100gbe-qsfp28-v2-extended-tables-module/p/r0x45c" TargetMode="External"/><Relationship Id="rId43" Type="http://schemas.openxmlformats.org/officeDocument/2006/relationships/hyperlink" Target="https://buy.hpe.com/us/en/networking/wireless-devices/wlan-access-points/hpe-aruba-networking-ap%E2%80%91765-us-flex-radio-2x2-wi%E2%80%91fi-7-dynamic-omni%E2%80%91directional-outdoor-ap/p/s4k19a" TargetMode="External"/><Relationship Id="rId48" Type="http://schemas.openxmlformats.org/officeDocument/2006/relationships/hyperlink" Target="https://www.router-switch.com/c9400-sup-1xl.html" TargetMode="External"/><Relationship Id="rId64" Type="http://schemas.openxmlformats.org/officeDocument/2006/relationships/hyperlink" Target="https://www.cisco.com/c/en/us/products/collateral/switches/catalyst-9400-series-switches/nb-06-cat9400-ser-sup-eng-data-sheet-cte-en.html" TargetMode="External"/><Relationship Id="rId69" Type="http://schemas.openxmlformats.org/officeDocument/2006/relationships/hyperlink" Target="https://www.router-switch.com/pdf/c9407r-datasheet.pdf" TargetMode="External"/><Relationship Id="rId113" Type="http://schemas.openxmlformats.org/officeDocument/2006/relationships/hyperlink" Target="https://www.bechtle.com/de-en/shop/hpe-aruba-6410-v2-switch--4660077--p" TargetMode="External"/><Relationship Id="rId118" Type="http://schemas.openxmlformats.org/officeDocument/2006/relationships/hyperlink" Target="https://it-planet.com/en/p/hp-jl310a-381910.html?gad_source=1&amp;gad_campaignid=10637715501&amp;gbraid=0AAAAAC89HVSD4xsDqcS8K4yLzu4h2wxNL&amp;gclid=CjwKCAjwtIfPBhAzEiwAv9RTJmdJifTA0IO4YuKONqlSu9-0-NhG4gtUCkVckG220w8O7P4FV80FIxoCLaUQAvD_BwE" TargetMode="External"/><Relationship Id="rId134" Type="http://schemas.openxmlformats.org/officeDocument/2006/relationships/hyperlink" Target="https://it-planet.com/en/p/hp-jl310a-381910.html?gad_source=1&amp;gad_campaignid=10637715501&amp;gbraid=0AAAAAC89HVSD4xsDqcS8K4yLzu4h2wxNL&amp;gclid=CjwKCAjwtIfPBhAzEiwAv9RTJmdJifTA0IO4YuKONqlSu9-0-NhG4gtUCkVckG220w8O7P4FV80FIxoCLaUQAvD_BwE" TargetMode="External"/><Relationship Id="rId80" Type="http://schemas.openxmlformats.org/officeDocument/2006/relationships/hyperlink" Target="https://www.rhinonetworks.com/product/device/cisco-cw9179f" TargetMode="External"/><Relationship Id="rId85" Type="http://schemas.openxmlformats.org/officeDocument/2006/relationships/hyperlink" Target="https://www.router-switch.com/c9400-lc-48ux.html" TargetMode="External"/><Relationship Id="rId12" Type="http://schemas.openxmlformats.org/officeDocument/2006/relationships/hyperlink" Target="https://www.router-switch.com/pdf/c9407r-datasheet.pdf" TargetMode="External"/><Relationship Id="rId17" Type="http://schemas.openxmlformats.org/officeDocument/2006/relationships/hyperlink" Target="https://buy.hpe.com/us/en/options/modules/switch-modules/hpe-aruba-networking-cx-6400-management-module/p/r0x31a" TargetMode="External"/><Relationship Id="rId33" Type="http://schemas.openxmlformats.org/officeDocument/2006/relationships/hyperlink" Target="https://buy.hpe.com/us/en/options/modules/switch-modules/hpe-aruba-networking-cx-6400-12%e2%80%91port-40-100gbe-qsfp28-v2-extended-tables-module/p/r0x45c" TargetMode="External"/><Relationship Id="rId38" Type="http://schemas.openxmlformats.org/officeDocument/2006/relationships/hyperlink" Target="https://buy.hpe.com/us/en/options/modules/switch-modules/hpe-aruba-networking-cx-6400-management-module/p/r0x31a" TargetMode="External"/><Relationship Id="rId59" Type="http://schemas.openxmlformats.org/officeDocument/2006/relationships/hyperlink" Target="https://www.router-switch.com/c9410r.html" TargetMode="External"/><Relationship Id="rId103" Type="http://schemas.openxmlformats.org/officeDocument/2006/relationships/hyperlink" Target="https://it-planet.com/en/p/hpearuba-r0x45c-462673.html" TargetMode="External"/><Relationship Id="rId108" Type="http://schemas.openxmlformats.org/officeDocument/2006/relationships/hyperlink" Target="https://it-planet.com/en/p/hpearuba-r0x39c-460219.html" TargetMode="External"/><Relationship Id="rId124" Type="http://schemas.openxmlformats.org/officeDocument/2006/relationships/hyperlink" Target="https://www.fs.com/eu-en/products/36171.html?gad_source=1&amp;gad_campaignid=17958704370&amp;gbraid=0AAAAAoz-wfT_xbplSsDF5wnLt8v2Wzp2D&amp;gclid=CjwKCAjwtIfPBhAzEiwAv9RTJlKrkQBS8dOUVwOEDG8QDB1y0gEgpD_K3Km2f0GLubKbb3vLE1K1vxoCmsAQAvD_BwE" TargetMode="External"/><Relationship Id="rId129" Type="http://schemas.openxmlformats.org/officeDocument/2006/relationships/hyperlink" Target="https://www.fs.com/eu-en/products/36171.html?gad_source=1&amp;gad_campaignid=17958704370&amp;gbraid=0AAAAAoz-wfT_xbplSsDF5wnLt8v2Wzp2D&amp;gclid=CjwKCAjwtIfPBhAzEiwAv9RTJlKrkQBS8dOUVwOEDG8QDB1y0gEgpD_K3Km2f0GLubKbb3vLE1K1vxoCmsAQAvD_BwE" TargetMode="External"/><Relationship Id="rId54" Type="http://schemas.openxmlformats.org/officeDocument/2006/relationships/hyperlink" Target="https://www.router-switch.com/cp-8861-k9-p-21580.html" TargetMode="External"/><Relationship Id="rId70" Type="http://schemas.openxmlformats.org/officeDocument/2006/relationships/hyperlink" Target="https://www.cisco.com/c/en/us/products/collateral/collaboration-endpoints/unified-ip-phone-8800-series/datasheet-c78-731668.html" TargetMode="External"/><Relationship Id="rId75" Type="http://schemas.openxmlformats.org/officeDocument/2006/relationships/hyperlink" Target="https://www.router-switch.com/c9400-lc-48p.html" TargetMode="External"/><Relationship Id="rId91" Type="http://schemas.openxmlformats.org/officeDocument/2006/relationships/hyperlink" Target="https://www.cdw.com/product/poly-edge-ip-phone-corded-corded-desktop/7597468" TargetMode="External"/><Relationship Id="rId96" Type="http://schemas.openxmlformats.org/officeDocument/2006/relationships/hyperlink" Target="https://www.cdw.com/product/hpe-aruba-networking-ap-765-us-flex-wireless-access-point-built-in-dy/8538207" TargetMode="External"/><Relationship Id="rId1" Type="http://schemas.openxmlformats.org/officeDocument/2006/relationships/hyperlink" Target="https://www.cisco.com/c/en/us/products/collateral/security/firewalls/secure-firewall-4200-ds.html" TargetMode="External"/><Relationship Id="rId6" Type="http://schemas.openxmlformats.org/officeDocument/2006/relationships/hyperlink" Target="https://www.cisco.com/site/us/en/products/collateral/networking/wireless/access-points/catalyst-9100-series/wireless-9179f-access-point-ds.html" TargetMode="External"/><Relationship Id="rId23" Type="http://schemas.openxmlformats.org/officeDocument/2006/relationships/hyperlink" Target="https://www.hp.com/ro-ro/products/accessories/product-details/2101722231" TargetMode="External"/><Relationship Id="rId28" Type="http://schemas.openxmlformats.org/officeDocument/2006/relationships/hyperlink" Target="https://www.hp.com/ro-ro/products/accessories/product-details/2101722231" TargetMode="External"/><Relationship Id="rId49" Type="http://schemas.openxmlformats.org/officeDocument/2006/relationships/hyperlink" Target="https://www.router-switch.com/c9400-sup-1xl.html" TargetMode="External"/><Relationship Id="rId114" Type="http://schemas.openxmlformats.org/officeDocument/2006/relationships/hyperlink" Target="https://www.bechtle.com/de-en/shop/hpe-aruba-6410-v2-switch--4660077--p" TargetMode="External"/><Relationship Id="rId119" Type="http://schemas.openxmlformats.org/officeDocument/2006/relationships/hyperlink" Target="https://it-planet.com/en/p/hp-jl310a-381910.html?gad_source=1&amp;gad_campaignid=10637715501&amp;gbraid=0AAAAAC89HVSD4xsDqcS8K4yLzu4h2wxNL&amp;gclid=CjwKCAjwtIfPBhAzEiwAv9RTJmdJifTA0IO4YuKONqlSu9-0-NhG4gtUCkVckG220w8O7P4FV80FIxoCLaUQAvD_BwE" TargetMode="External"/><Relationship Id="rId44" Type="http://schemas.openxmlformats.org/officeDocument/2006/relationships/hyperlink" Target="https://www.cisco.com/c/en/us/products/collateral/wireless/cisco-cw9800l-wireless-controller-platform-aag.html" TargetMode="External"/><Relationship Id="rId60" Type="http://schemas.openxmlformats.org/officeDocument/2006/relationships/hyperlink" Target="https://www.router-switch.com/c9410r.html" TargetMode="External"/><Relationship Id="rId65" Type="http://schemas.openxmlformats.org/officeDocument/2006/relationships/hyperlink" Target="https://www.cisco.com/c/en/us/products/collateral/switches/catalyst-9400-series-switches/nb-06-cat9400-series-line-data-sheet-cte-en.html" TargetMode="External"/><Relationship Id="rId81" Type="http://schemas.openxmlformats.org/officeDocument/2006/relationships/hyperlink" Target="https://www.rhinonetworks.com/product/device/cisco-cw9179f" TargetMode="External"/><Relationship Id="rId86" Type="http://schemas.openxmlformats.org/officeDocument/2006/relationships/hyperlink" Target="https://www.router-switch.com/c9400-lc-48ux.html" TargetMode="External"/><Relationship Id="rId130" Type="http://schemas.openxmlformats.org/officeDocument/2006/relationships/hyperlink" Target="https://it-planet.com/en/p/hp-jl310a-381910.html?gad_source=1&amp;gad_campaignid=10637715501&amp;gbraid=0AAAAAC89HVSD4xsDqcS8K4yLzu4h2wxNL&amp;gclid=CjwKCAjwtIfPBhAzEiwAv9RTJmdJifTA0IO4YuKONqlSu9-0-NhG4gtUCkVckG220w8O7P4FV80FIxoCLaUQAvD_BwE" TargetMode="External"/><Relationship Id="rId135" Type="http://schemas.openxmlformats.org/officeDocument/2006/relationships/hyperlink" Target="https://it-planet.com/en/p/hp-jl310a-381910.html?gad_source=1&amp;gad_campaignid=10637715501&amp;gbraid=0AAAAAC89HVSD4xsDqcS8K4yLzu4h2wxNL&amp;gclid=CjwKCAjwtIfPBhAzEiwAv9RTJmdJifTA0IO4YuKONqlSu9-0-NhG4gtUCkVckG220w8O7P4FV80FIxoCLaUQAvD_BwE" TargetMode="External"/><Relationship Id="rId13" Type="http://schemas.openxmlformats.org/officeDocument/2006/relationships/hyperlink" Target="https://www.cisco.com/site/us/en/products/collateral/networking/wireless/access-points/catalyst-9100-series/wireless-9179f-access-point-ds.html" TargetMode="External"/><Relationship Id="rId18" Type="http://schemas.openxmlformats.org/officeDocument/2006/relationships/hyperlink" Target="https://buy.hpe.com/us/en/options/modules/switch-modules/hpe-aruba-networking-cx-6400-48%E2%80%91port-1gbe-class-4-poe-4%E2%80%91port-sfp56-v2-module/p/r0x39c" TargetMode="External"/><Relationship Id="rId39" Type="http://schemas.openxmlformats.org/officeDocument/2006/relationships/hyperlink" Target="https://buy.hpe.com/us/en/options/modules/switch-modules/hpe-aruba-networking-cx-6400-48%E2%80%91port-1gbe-class-4-poe-4%E2%80%91port-sfp56-v2-module/p/r0x39c" TargetMode="External"/><Relationship Id="rId109" Type="http://schemas.openxmlformats.org/officeDocument/2006/relationships/hyperlink" Target="https://it-planet.com/en/p/hpearuba-s1t83a-462820.html" TargetMode="External"/><Relationship Id="rId34" Type="http://schemas.openxmlformats.org/officeDocument/2006/relationships/hyperlink" Target="https://buy.hpe.com/us/en/options/modules/switch-modules/hpe-aruba-networking-cx-6400-v2-24p-smart-rate-1g-2-5g-5g-10g-class8-poe-4p-sfp56-50g-module/p/s1t83a" TargetMode="External"/><Relationship Id="rId50" Type="http://schemas.openxmlformats.org/officeDocument/2006/relationships/hyperlink" Target="https://www.router-switch.com/c9400-sup-1xl.html" TargetMode="External"/><Relationship Id="rId55" Type="http://schemas.openxmlformats.org/officeDocument/2006/relationships/hyperlink" Target="https://www.router-switch.com/cp-8861-k9-p-21580.html" TargetMode="External"/><Relationship Id="rId76" Type="http://schemas.openxmlformats.org/officeDocument/2006/relationships/hyperlink" Target="https://www.router-switch.com/c9400-lc-48p.html" TargetMode="External"/><Relationship Id="rId97" Type="http://schemas.openxmlformats.org/officeDocument/2006/relationships/hyperlink" Target="https://edshop.edsystem.eu/hpe-aruba-networking-cx-6400-management-module/product-1686459" TargetMode="External"/><Relationship Id="rId104" Type="http://schemas.openxmlformats.org/officeDocument/2006/relationships/hyperlink" Target="https://it-planet.com/en/p/hpearuba-r0x45c-462673.html" TargetMode="External"/><Relationship Id="rId120" Type="http://schemas.openxmlformats.org/officeDocument/2006/relationships/hyperlink" Target="https://it-planet.com/en/p/hpearuba-s1t83a-462820.html" TargetMode="External"/><Relationship Id="rId125" Type="http://schemas.openxmlformats.org/officeDocument/2006/relationships/hyperlink" Target="https://www.fs.com/eu-en/products/36171.html?gad_source=1&amp;gad_campaignid=17958704370&amp;gbraid=0AAAAAoz-wfT_xbplSsDF5wnLt8v2Wzp2D&amp;gclid=CjwKCAjwtIfPBhAzEiwAv9RTJlKrkQBS8dOUVwOEDG8QDB1y0gEgpD_K3Km2f0GLubKbb3vLE1K1vxoCmsAQAvD_BwE" TargetMode="External"/><Relationship Id="rId7" Type="http://schemas.openxmlformats.org/officeDocument/2006/relationships/hyperlink" Target="https://www.cisco.com/c/en/us/products/collateral/switches/catalyst-9400-series-switches/nb-06-cat9400-series-line-data-sheet-cte-en.html" TargetMode="External"/><Relationship Id="rId71" Type="http://schemas.openxmlformats.org/officeDocument/2006/relationships/hyperlink" Target="https://www.cisco.com/c/en/us/products/collateral/collaboration-endpoints/unified-ip-phone-8800-series/datasheet-c78-731668.html" TargetMode="External"/><Relationship Id="rId92" Type="http://schemas.openxmlformats.org/officeDocument/2006/relationships/hyperlink" Target="https://www.cdw.com/product/poly-edge-ip-phone-corded-corded-desktop/7597468" TargetMode="External"/><Relationship Id="rId2" Type="http://schemas.openxmlformats.org/officeDocument/2006/relationships/hyperlink" Target="https://www.cisco.com/site/us/en/products/collateral/networking/wireless/access-points/catalyst-9100-series/wireless-9179f-access-point-ds.html" TargetMode="External"/><Relationship Id="rId29" Type="http://schemas.openxmlformats.org/officeDocument/2006/relationships/hyperlink" Target="https://buy.hpe.com/us/en/networking/wireless-devices/wlan-access-points/hpe-aruba-networking-ap%E2%80%91765-us-flex-radio-2x2-wi%E2%80%91fi-7-dynamic-omni%E2%80%91directional-outdoor-ap/p/s4k19a" TargetMode="External"/><Relationship Id="rId24" Type="http://schemas.openxmlformats.org/officeDocument/2006/relationships/hyperlink" Target="https://www.hpe.com/us/en/collaterals/collateral.a00073541enw.html" TargetMode="External"/><Relationship Id="rId40" Type="http://schemas.openxmlformats.org/officeDocument/2006/relationships/hyperlink" Target="https://buy.hpe.com/us/en/options/modules/switch-modules/hpe-aruba-networking-cx-6400-12%e2%80%91port-40-100gbe-qsfp28-v2-extended-tables-module/p/r0x45c" TargetMode="External"/><Relationship Id="rId45" Type="http://schemas.openxmlformats.org/officeDocument/2006/relationships/hyperlink" Target="https://www.hpe.com/emea_europe/en/aruba-central.html" TargetMode="External"/><Relationship Id="rId66" Type="http://schemas.openxmlformats.org/officeDocument/2006/relationships/hyperlink" Target="https://www.cisco.com/c/en/us/products/collateral/switches/catalyst-9400-series-switches/nb-06-cat9400-series-line-data-sheet-cte-en.html" TargetMode="External"/><Relationship Id="rId87" Type="http://schemas.openxmlformats.org/officeDocument/2006/relationships/hyperlink" Target="https://www.router-switch.com/fpr4245-asa-k9.html" TargetMode="External"/><Relationship Id="rId110" Type="http://schemas.openxmlformats.org/officeDocument/2006/relationships/hyperlink" Target="https://it-planet.com/en/p/hpearuba-s1t83a-462820.html" TargetMode="External"/><Relationship Id="rId115" Type="http://schemas.openxmlformats.org/officeDocument/2006/relationships/hyperlink" Target="https://www.bechtle.com/de-en/shop/hpe-aruba-6410-v2-switch--4660077--p" TargetMode="External"/><Relationship Id="rId131" Type="http://schemas.openxmlformats.org/officeDocument/2006/relationships/hyperlink" Target="https://it-planet.com/en/p/hp-jl310a-381910.html?gad_source=1&amp;gad_campaignid=10637715501&amp;gbraid=0AAAAAC89HVSD4xsDqcS8K4yLzu4h2wxNL&amp;gclid=CjwKCAjwtIfPBhAzEiwAv9RTJmdJifTA0IO4YuKONqlSu9-0-NhG4gtUCkVckG220w8O7P4FV80FIxoCLaUQAvD_BwE" TargetMode="External"/><Relationship Id="rId136" Type="http://schemas.openxmlformats.org/officeDocument/2006/relationships/printerSettings" Target="../printerSettings/printerSettings1.bin"/><Relationship Id="rId61" Type="http://schemas.openxmlformats.org/officeDocument/2006/relationships/hyperlink" Target="https://www.cisco.com/c/en/us/products/collateral/switches/catalyst-9400-series-switches/nb-06-cat9400-ser-sup-eng-data-sheet-cte-en.html" TargetMode="External"/><Relationship Id="rId82" Type="http://schemas.openxmlformats.org/officeDocument/2006/relationships/hyperlink" Target="https://www.rhinonetworks.com/product/device/cisco-cw9179f" TargetMode="External"/><Relationship Id="rId19" Type="http://schemas.openxmlformats.org/officeDocument/2006/relationships/hyperlink" Target="https://buy.hpe.com/us/en/options/modules/switch-modules/hpe-aruba-networking-cx-6400-12%e2%80%91port-40-100gbe-qsfp28-v2-extended-tables-module/p/r0x45c" TargetMode="External"/><Relationship Id="rId14" Type="http://schemas.openxmlformats.org/officeDocument/2006/relationships/hyperlink" Target="https://www.cisco.com/c/en/us/products/collateral/switches/catalyst-9400-series-switches/nb-06-cat9400-series-line-data-sheet-cte-en.html" TargetMode="External"/><Relationship Id="rId30" Type="http://schemas.openxmlformats.org/officeDocument/2006/relationships/hyperlink" Target="https://www.hpe.com/us/en/collaterals/collateral.a00073541enw.html" TargetMode="External"/><Relationship Id="rId35" Type="http://schemas.openxmlformats.org/officeDocument/2006/relationships/hyperlink" Target="https://www.hp.com/ro-ro/products/accessories/product-details/2101722231" TargetMode="External"/><Relationship Id="rId56" Type="http://schemas.openxmlformats.org/officeDocument/2006/relationships/hyperlink" Target="https://www.router-switch.com/cp-8861-k9-p-21580.html" TargetMode="External"/><Relationship Id="rId77" Type="http://schemas.openxmlformats.org/officeDocument/2006/relationships/hyperlink" Target="https://www.router-switch.com/c9400-lc-48p.html" TargetMode="External"/><Relationship Id="rId100" Type="http://schemas.openxmlformats.org/officeDocument/2006/relationships/hyperlink" Target="https://www.cdw.com/product/hpe-aruba-networking-ap-765-us-flex-wireless-access-point-built-in-dy/8538207" TargetMode="External"/><Relationship Id="rId105" Type="http://schemas.openxmlformats.org/officeDocument/2006/relationships/hyperlink" Target="https://it-planet.com/en/p/hpearuba-r0x39c-460219.html" TargetMode="External"/><Relationship Id="rId126" Type="http://schemas.openxmlformats.org/officeDocument/2006/relationships/hyperlink" Target="https://it-planet.com/en/p/hp-jl310a-381910.html?gad_source=1&amp;gad_campaignid=10637715501&amp;gbraid=0AAAAAC89HVSD4xsDqcS8K4yLzu4h2wxNL&amp;gclid=CjwKCAjwtIfPBhAzEiwAv9RTJmdJifTA0IO4YuKONqlSu9-0-NhG4gtUCkVckG220w8O7P4FV80FIxoCLaUQAvD_BwE" TargetMode="External"/><Relationship Id="rId8" Type="http://schemas.openxmlformats.org/officeDocument/2006/relationships/hyperlink" Target="https://www.router-switch.com/pdf/c9407r-datasheet.pdf" TargetMode="External"/><Relationship Id="rId51" Type="http://schemas.openxmlformats.org/officeDocument/2006/relationships/hyperlink" Target="https://www.router-switch.com/c9400-sup-1xl.html" TargetMode="External"/><Relationship Id="rId72" Type="http://schemas.openxmlformats.org/officeDocument/2006/relationships/hyperlink" Target="https://www.cisco.com/c/en/us/products/collateral/collaboration-endpoints/unified-ip-phone-8800-series/datasheet-c78-731668.html" TargetMode="External"/><Relationship Id="rId93" Type="http://schemas.openxmlformats.org/officeDocument/2006/relationships/hyperlink" Target="https://www.cdw.com/product/poly-edge-ip-phone-corded-corded-desktop/7597468" TargetMode="External"/><Relationship Id="rId98" Type="http://schemas.openxmlformats.org/officeDocument/2006/relationships/hyperlink" Target="https://www.cdw.com/product/hpe-aruba-networking-ap-765-us-flex-wireless-access-point-built-in-dy/8538207" TargetMode="External"/><Relationship Id="rId121" Type="http://schemas.openxmlformats.org/officeDocument/2006/relationships/hyperlink" Target="https://www.router-switch.com/c9400-lc-48ux.html" TargetMode="External"/><Relationship Id="rId3" Type="http://schemas.openxmlformats.org/officeDocument/2006/relationships/hyperlink" Target="https://www.cisco.com/c/en/us/products/collateral/switches/catalyst-9400-series-switches/nb-06-cat9400-series-line-data-sheet-cte-en.html" TargetMode="External"/><Relationship Id="rId25" Type="http://schemas.openxmlformats.org/officeDocument/2006/relationships/hyperlink" Target="https://buy.hpe.com/us/en/options/modules/switch-modules/hpe-aruba-networking-cx-6400-management-module/p/r0x31a" TargetMode="External"/><Relationship Id="rId46" Type="http://schemas.openxmlformats.org/officeDocument/2006/relationships/hyperlink" Target="https://www.router-switch.com/c9400-lc-12qc.html" TargetMode="External"/><Relationship Id="rId67" Type="http://schemas.openxmlformats.org/officeDocument/2006/relationships/hyperlink" Target="https://www.cisco.com/c/en/us/products/collateral/switches/catalyst-9400-series-switches/nb-06-cat9400-series-line-data-sheet-cte-en.html" TargetMode="External"/><Relationship Id="rId116" Type="http://schemas.openxmlformats.org/officeDocument/2006/relationships/hyperlink" Target="https://www.fs.com/eu-en/products/36171.html?gad_source=1&amp;gad_campaignid=17958704370&amp;gbraid=0AAAAAoz-wfT_xbplSsDF5wnLt8v2Wzp2D&amp;gclid=CjwKCAjwtIfPBhAzEiwAv9RTJlKrkQBS8dOUVwOEDG8QDB1y0gEgpD_K3Km2f0GLubKbb3vLE1K1vxoCmsAQAvD_BwE" TargetMode="External"/><Relationship Id="rId20" Type="http://schemas.openxmlformats.org/officeDocument/2006/relationships/hyperlink" Target="https://buy.hpe.com/us/en/options/modules/switch-modules/hpe-aruba-networking-cx-6400-v2-24p-smart-rate-1g-2-5g-5g-10g-class8-poe-4p-sfp56-50g-module/p/s1t83a" TargetMode="External"/><Relationship Id="rId41" Type="http://schemas.openxmlformats.org/officeDocument/2006/relationships/hyperlink" Target="https://buy.hpe.com/us/en/options/modules/switch-modules/hpe-aruba-networking-cx-6400-v2-24p-smart-rate-1g-2-5g-5g-10g-class8-poe-4p-sfp56-50g-module/p/s1t83a" TargetMode="External"/><Relationship Id="rId62" Type="http://schemas.openxmlformats.org/officeDocument/2006/relationships/hyperlink" Target="https://www.cisco.com/c/en/us/products/collateral/switches/catalyst-9400-series-switches/nb-06-cat9400-ser-sup-eng-data-sheet-cte-en.html" TargetMode="External"/><Relationship Id="rId83" Type="http://schemas.openxmlformats.org/officeDocument/2006/relationships/hyperlink" Target="https://www.rhinonetworks.com/product/device/cisco-cw9179f" TargetMode="External"/><Relationship Id="rId88" Type="http://schemas.openxmlformats.org/officeDocument/2006/relationships/hyperlink" Target="https://edshop.edsystem.eu/hpe-aruba-networking-cx-6400-management-module/product-1686459" TargetMode="External"/><Relationship Id="rId111" Type="http://schemas.openxmlformats.org/officeDocument/2006/relationships/hyperlink" Target="https://it-planet.com/en/p/hpearuba-s1t83a-462820.html" TargetMode="External"/><Relationship Id="rId132" Type="http://schemas.openxmlformats.org/officeDocument/2006/relationships/hyperlink" Target="https://www.fs.com/eu-en/products/36171.html?gad_source=1&amp;gad_campaignid=17958704370&amp;gbraid=0AAAAAoz-wfT_xbplSsDF5wnLt8v2Wzp2D&amp;gclid=CjwKCAjwtIfPBhAzEiwAv9RTJlKrkQBS8dOUVwOEDG8QDB1y0gEgpD_K3Km2f0GLubKbb3vLE1K1vxoCmsAQAvD_BwE" TargetMode="External"/><Relationship Id="rId15" Type="http://schemas.openxmlformats.org/officeDocument/2006/relationships/hyperlink" Target="https://www.cisco.com/c/en/us/products/collateral/switches/catalyst-9400-series-switches/nb-06-cat9400-series-line-data-sheet-cte-en.html" TargetMode="External"/><Relationship Id="rId36" Type="http://schemas.openxmlformats.org/officeDocument/2006/relationships/hyperlink" Target="https://buy.hpe.com/us/en/networking/wireless-devices/wlan-access-points/hpe-aruba-networking-ap%E2%80%91765-us-flex-radio-2x2-wi%E2%80%91fi-7-dynamic-omni%E2%80%91directional-outdoor-ap/p/s4k19a" TargetMode="External"/><Relationship Id="rId57" Type="http://schemas.openxmlformats.org/officeDocument/2006/relationships/hyperlink" Target="https://www.router-switch.com/c9410r.html" TargetMode="External"/><Relationship Id="rId106" Type="http://schemas.openxmlformats.org/officeDocument/2006/relationships/hyperlink" Target="https://it-planet.com/en/p/hpearuba-r0x39c-460219.html" TargetMode="External"/><Relationship Id="rId127" Type="http://schemas.openxmlformats.org/officeDocument/2006/relationships/hyperlink" Target="https://it-planet.com/en/p/hp-jl310a-381910.html?gad_source=1&amp;gad_campaignid=10637715501&amp;gbraid=0AAAAAC89HVSD4xsDqcS8K4yLzu4h2wxNL&amp;gclid=CjwKCAjwtIfPBhAzEiwAv9RTJmdJifTA0IO4YuKONqlSu9-0-NhG4gtUCkVckG220w8O7P4FV80FIxoCLaUQAvD_BwE" TargetMode="External"/><Relationship Id="rId10" Type="http://schemas.openxmlformats.org/officeDocument/2006/relationships/hyperlink" Target="https://www.cisco.com/c/en/us/products/collateral/switches/catalyst-9400-series-switches/nb-06-cat9400-series-line-data-sheet-cte-en.html" TargetMode="External"/><Relationship Id="rId31" Type="http://schemas.openxmlformats.org/officeDocument/2006/relationships/hyperlink" Target="https://buy.hpe.com/us/en/options/modules/switch-modules/hpe-aruba-networking-cx-6400-management-module/p/r0x31a" TargetMode="External"/><Relationship Id="rId52" Type="http://schemas.openxmlformats.org/officeDocument/2006/relationships/hyperlink" Target="https://www.router-switch.com/c9400-lc-12qc.html" TargetMode="External"/><Relationship Id="rId73" Type="http://schemas.openxmlformats.org/officeDocument/2006/relationships/hyperlink" Target="https://www.cisco.com/c/en/us/products/collateral/collaboration-endpoints/unified-ip-phone-8800-series/datasheet-c78-731668.html" TargetMode="External"/><Relationship Id="rId78" Type="http://schemas.openxmlformats.org/officeDocument/2006/relationships/hyperlink" Target="https://www.router-switch.com/c9400-lc-48p.html" TargetMode="External"/><Relationship Id="rId94" Type="http://schemas.openxmlformats.org/officeDocument/2006/relationships/hyperlink" Target="https://www.cdw.com/product/poly-edge-ip-phone-corded-corded-desktop/7597468" TargetMode="External"/><Relationship Id="rId99" Type="http://schemas.openxmlformats.org/officeDocument/2006/relationships/hyperlink" Target="https://edshop.edsystem.eu/hpe-aruba-networking-cx-6400-management-module/product-1686459" TargetMode="External"/><Relationship Id="rId101" Type="http://schemas.openxmlformats.org/officeDocument/2006/relationships/hyperlink" Target="https://it-planet.com/en/p/hpearuba-r0x45c-462673.html" TargetMode="External"/><Relationship Id="rId122" Type="http://schemas.openxmlformats.org/officeDocument/2006/relationships/hyperlink" Target="https://buy.hpe.com/us/en/options/modules/switch-modules/hpe-aruba-networking-cx-6400-v2-24p-smart-rate-1g-2-5g-5g-10g-class8-poe-4p-sfp56-50g-module/p/s1t83a" TargetMode="External"/><Relationship Id="rId4" Type="http://schemas.openxmlformats.org/officeDocument/2006/relationships/hyperlink" Target="https://www.cisco.com/c/en/us/products/collateral/switches/catalyst-9400-series-switches/nb-06-cat9400-series-line-data-sheet-cte-en.html" TargetMode="External"/><Relationship Id="rId9" Type="http://schemas.openxmlformats.org/officeDocument/2006/relationships/hyperlink" Target="https://www.cisco.com/site/us/en/products/collateral/networking/wireless/access-points/catalyst-9100-series/wireless-9179f-access-point-ds.html" TargetMode="External"/><Relationship Id="rId26" Type="http://schemas.openxmlformats.org/officeDocument/2006/relationships/hyperlink" Target="https://buy.hpe.com/us/en/options/modules/switch-modules/hpe-aruba-networking-cx-6400-48%E2%80%91port-1gbe-class-4-poe-4%E2%80%91port-sfp56-v2-module/p/r0x39c" TargetMode="External"/><Relationship Id="rId47" Type="http://schemas.openxmlformats.org/officeDocument/2006/relationships/hyperlink" Target="https://www.router-switch.com/cp-8861-k9-p-21580.html" TargetMode="External"/><Relationship Id="rId68" Type="http://schemas.openxmlformats.org/officeDocument/2006/relationships/hyperlink" Target="https://www.cisco.com/c/en/us/products/collateral/switches/catalyst-9400-series-switches/nb-06-cat9400-series-line-data-sheet-cte-en.html" TargetMode="External"/><Relationship Id="rId89" Type="http://schemas.openxmlformats.org/officeDocument/2006/relationships/hyperlink" Target="https://www.cdw.com/product/hpe-aruba-networking-ap-765-us-flex-wireless-access-point-built-in-dy/8538207" TargetMode="External"/><Relationship Id="rId112" Type="http://schemas.openxmlformats.org/officeDocument/2006/relationships/hyperlink" Target="https://www.bechtle.com/de-en/shop/hpe-aruba-6410-v2-switch--4660077--p" TargetMode="External"/><Relationship Id="rId133" Type="http://schemas.openxmlformats.org/officeDocument/2006/relationships/hyperlink" Target="https://www.fs.com/eu-en/products/36171.html?gad_source=1&amp;gad_campaignid=17958704370&amp;gbraid=0AAAAAoz-wfT_xbplSsDF5wnLt8v2Wzp2D&amp;gclid=CjwKCAjwtIfPBhAzEiwAv9RTJlKrkQBS8dOUVwOEDG8QDB1y0gEgpD_K3Km2f0GLubKbb3vLE1K1vxoCmsAQAvD_BwE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aikincomfort.com/docs/default-source/dfc-series-7-5-12-5-tons/ss-dfc7.pdf" TargetMode="External"/><Relationship Id="rId7" Type="http://schemas.openxmlformats.org/officeDocument/2006/relationships/comments" Target="../comments2.xml"/><Relationship Id="rId2" Type="http://schemas.openxmlformats.org/officeDocument/2006/relationships/hyperlink" Target="https://www.se.com/us/en/products-runtime-graph/SRT10KXLT/apc-smartups-online-10kva-10kw-tower-208v-4x-l620r+2x-l630r-nema-outlets-network-card+smartslot-extended-runtime-w-o-rail-kit/" TargetMode="External"/><Relationship Id="rId1" Type="http://schemas.openxmlformats.org/officeDocument/2006/relationships/hyperlink" Target="https://www.se.com/us/en/products-runtime-graph/SRT10KXLT/apc-smartups-online-10kva-10kw-tower-208v-4x-l620r+2x-l630r-nema-outlets-network-card+smartslot-extended-runtime-w-o-rail-kit/" TargetMode="External"/><Relationship Id="rId6" Type="http://schemas.openxmlformats.org/officeDocument/2006/relationships/vmlDrawing" Target="../drawings/vmlDrawing2.vml"/><Relationship Id="rId5" Type="http://schemas.openxmlformats.org/officeDocument/2006/relationships/hyperlink" Target="https://www.racksolutions.com/server-racks-cabinets-enclosures.html?srsltid=AfmBOopAIm_qXSfkuie234lFSW5NAvs1KuJYjhkDLk8KHSg0sZ66zCOA" TargetMode="External"/><Relationship Id="rId4" Type="http://schemas.openxmlformats.org/officeDocument/2006/relationships/hyperlink" Target="https://daikincomfort.com/docs/default-source/dfc-series-7-5-12-5-tons/ss-dfc7.pdf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daikincomfort.com/docs/default-source/dfc-series-7-5-12-5-tons/ss-dfc7.pdf" TargetMode="External"/><Relationship Id="rId7" Type="http://schemas.openxmlformats.org/officeDocument/2006/relationships/comments" Target="../comments3.xml"/><Relationship Id="rId2" Type="http://schemas.openxmlformats.org/officeDocument/2006/relationships/hyperlink" Target="https://www.se.com/us/en/products-runtime-graph/SRT10KXLT/apc-smartups-online-10kva-10kw-tower-208v-4x-l620r+2x-l630r-nema-outlets-network-card+smartslot-extended-runtime-w-o-rail-kit/" TargetMode="External"/><Relationship Id="rId1" Type="http://schemas.openxmlformats.org/officeDocument/2006/relationships/hyperlink" Target="https://www.se.com/us/en/products-runtime-graph/SRT10KXLT/apc-smartups-online-10kva-10kw-tower-208v-4x-l620r+2x-l630r-nema-outlets-network-card+smartslot-extended-runtime-w-o-rail-kit/" TargetMode="External"/><Relationship Id="rId6" Type="http://schemas.openxmlformats.org/officeDocument/2006/relationships/vmlDrawing" Target="../drawings/vmlDrawing3.vml"/><Relationship Id="rId5" Type="http://schemas.openxmlformats.org/officeDocument/2006/relationships/hyperlink" Target="https://www.racksolutions.com/server-racks-cabinets-enclosures.html?srsltid=AfmBOopAIm_qXSfkuie234lFSW5NAvs1KuJYjhkDLk8KHSg0sZ66zCOA" TargetMode="External"/><Relationship Id="rId4" Type="http://schemas.openxmlformats.org/officeDocument/2006/relationships/hyperlink" Target="https://daikincomfort.com/docs/default-source/dfc-series-7-5-12-5-tons/ss-dfc7.pdf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aikincomfort.com/docs/default-source/dfc-series-7-5-12-5-tons/ss-dfc7.pdf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se.com/us/en/products-runtime-graph/SRT10KXLT/apc-smartups-online-10kva-10kw-tower-208v-4x-l620r+2x-l630r-nema-outlets-network-card+smartslot-extended-runtime-w-o-rail-kit/" TargetMode="External"/><Relationship Id="rId1" Type="http://schemas.openxmlformats.org/officeDocument/2006/relationships/hyperlink" Target="https://www.se.com/us/en/products-runtime-graph/SRT10KXLT/apc-smartups-online-10kva-10kw-tower-208v-4x-l620r+2x-l630r-nema-outlets-network-card+smartslot-extended-runtime-w-o-rail-kit/" TargetMode="External"/><Relationship Id="rId6" Type="http://schemas.openxmlformats.org/officeDocument/2006/relationships/vmlDrawing" Target="../drawings/vmlDrawing4.vml"/><Relationship Id="rId5" Type="http://schemas.openxmlformats.org/officeDocument/2006/relationships/hyperlink" Target="https://www.racksolutions.com/server-racks-cabinets-enclosures.html?srsltid=AfmBOopAIm_qXSfkuie234lFSW5NAvs1KuJYjhkDLk8KHSg0sZ66zCOA" TargetMode="External"/><Relationship Id="rId4" Type="http://schemas.openxmlformats.org/officeDocument/2006/relationships/hyperlink" Target="https://daikincomfort.com/docs/default-source/dfc-series-7-5-12-5-tons/ss-dfc7.pdf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aikincomfort.com/docs/default-source/dfc-series-7-5-12-5-tons/ss-dfc7.pdf" TargetMode="External"/><Relationship Id="rId7" Type="http://schemas.openxmlformats.org/officeDocument/2006/relationships/comments" Target="../comments5.xml"/><Relationship Id="rId2" Type="http://schemas.openxmlformats.org/officeDocument/2006/relationships/hyperlink" Target="https://www.se.com/us/en/products-runtime-graph/SRT10KXLT/apc-smartups-online-10kva-10kw-tower-208v-4x-l620r+2x-l630r-nema-outlets-network-card+smartslot-extended-runtime-w-o-rail-kit/" TargetMode="External"/><Relationship Id="rId1" Type="http://schemas.openxmlformats.org/officeDocument/2006/relationships/hyperlink" Target="https://www.se.com/us/en/products-runtime-graph/SRT10KXLT/apc-smartups-online-10kva-10kw-tower-208v-4x-l620r+2x-l630r-nema-outlets-network-card+smartslot-extended-runtime-w-o-rail-kit/" TargetMode="External"/><Relationship Id="rId6" Type="http://schemas.openxmlformats.org/officeDocument/2006/relationships/vmlDrawing" Target="../drawings/vmlDrawing5.vml"/><Relationship Id="rId5" Type="http://schemas.openxmlformats.org/officeDocument/2006/relationships/hyperlink" Target="https://www.racksolutions.com/server-racks-cabinets-enclosures.html?srsltid=AfmBOopAIm_qXSfkuie234lFSW5NAvs1KuJYjhkDLk8KHSg0sZ66zCOA" TargetMode="External"/><Relationship Id="rId4" Type="http://schemas.openxmlformats.org/officeDocument/2006/relationships/hyperlink" Target="https://daikincomfort.com/docs/default-source/dfc-series-7-5-12-5-tons/ss-dfc7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1"/>
  <sheetViews>
    <sheetView workbookViewId="0">
      <pane ySplit="1" topLeftCell="A69" activePane="bottomLeft" state="frozen"/>
      <selection pane="bottomLeft" activeCell="F20" sqref="F20"/>
    </sheetView>
  </sheetViews>
  <sheetFormatPr defaultColWidth="14.44140625" defaultRowHeight="15" customHeight="1" x14ac:dyDescent="0.3"/>
  <cols>
    <col min="1" max="1" width="12.44140625" customWidth="1"/>
    <col min="2" max="2" width="15" customWidth="1"/>
    <col min="3" max="3" width="8.6640625" customWidth="1"/>
    <col min="4" max="5" width="8.33203125" customWidth="1"/>
    <col min="6" max="6" width="14" customWidth="1"/>
    <col min="7" max="7" width="10.33203125" customWidth="1"/>
    <col min="8" max="8" width="12.6640625" customWidth="1"/>
    <col min="9" max="9" width="13.6640625" customWidth="1"/>
    <col min="10" max="10" width="12.6640625" customWidth="1"/>
    <col min="11" max="26" width="8.6640625" customWidth="1"/>
  </cols>
  <sheetData>
    <row r="1" spans="1:10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3" t="s">
        <v>9</v>
      </c>
    </row>
    <row r="2" spans="1:10" ht="14.25" customHeight="1" x14ac:dyDescent="0.3">
      <c r="A2" s="4" t="s">
        <v>10</v>
      </c>
      <c r="B2" s="4" t="s">
        <v>11</v>
      </c>
      <c r="C2" s="5">
        <v>6.5</v>
      </c>
      <c r="D2" s="5">
        <v>8.5</v>
      </c>
      <c r="E2" s="6">
        <f t="shared" ref="E2:E3" si="0">C2*D2</f>
        <v>55.25</v>
      </c>
      <c r="F2" s="6">
        <f t="shared" ref="F2:F3" si="1">ROUNDUP(E2/10,0)</f>
        <v>6</v>
      </c>
      <c r="G2" s="7">
        <v>9.4</v>
      </c>
      <c r="H2" s="8" cm="1">
        <f t="array" ref="H2">_xlfn.CEILING.MATH(_xlfn.SWITCH(J2, "A", 13.21, "B", 4.86, "C", 10.56, "D", 10.87, "E", 16.75, "F", 22, "G", 13.2, "H", 19.3, "I", 17.5, "J", 12.8, "K", 17.3, "L", 17, -1))</f>
        <v>14</v>
      </c>
      <c r="I2" s="9">
        <f t="shared" ref="I2:I3" si="2">2*F2*(G2+H2+6)</f>
        <v>352.79999999999995</v>
      </c>
      <c r="J2" s="10" t="s">
        <v>12</v>
      </c>
    </row>
    <row r="3" spans="1:10" ht="14.25" customHeight="1" x14ac:dyDescent="0.3">
      <c r="A3" s="4" t="s">
        <v>13</v>
      </c>
      <c r="B3" s="4" t="s">
        <v>11</v>
      </c>
      <c r="C3" s="5">
        <v>8.5</v>
      </c>
      <c r="D3" s="5">
        <v>6.5</v>
      </c>
      <c r="E3" s="6">
        <f t="shared" si="0"/>
        <v>55.25</v>
      </c>
      <c r="F3" s="6">
        <f t="shared" si="1"/>
        <v>6</v>
      </c>
      <c r="G3" s="7">
        <v>16.11</v>
      </c>
      <c r="H3" s="8" cm="1">
        <f t="array" ref="H3">_xlfn.CEILING.MATH(_xlfn.SWITCH(J3, "A", 13.21, "B", 4.86, "C", 10.56, "D", 10.87, "E", 16.75, "F", 22, "G", 13.2, "H", 19.3, "I", 17.5, "J", 12.8, "K", 17.3, "L", 17, -1))</f>
        <v>5</v>
      </c>
      <c r="I3" s="9">
        <f t="shared" si="2"/>
        <v>325.32</v>
      </c>
      <c r="J3" s="10" t="s">
        <v>14</v>
      </c>
    </row>
    <row r="4" spans="1:10" ht="14.25" customHeight="1" x14ac:dyDescent="0.3">
      <c r="A4" s="11" t="s">
        <v>15</v>
      </c>
      <c r="B4" s="113" t="s">
        <v>11</v>
      </c>
      <c r="C4" s="105"/>
      <c r="D4" s="105"/>
      <c r="E4" s="105"/>
      <c r="F4" s="105"/>
      <c r="G4" s="105"/>
      <c r="H4" s="105"/>
      <c r="I4" s="105"/>
      <c r="J4" s="106"/>
    </row>
    <row r="5" spans="1:10" ht="14.25" customHeight="1" x14ac:dyDescent="0.3">
      <c r="A5" s="4" t="s">
        <v>16</v>
      </c>
      <c r="B5" s="4" t="s">
        <v>11</v>
      </c>
      <c r="C5" s="5">
        <v>5.5</v>
      </c>
      <c r="D5" s="5">
        <v>8.5</v>
      </c>
      <c r="E5" s="6">
        <f t="shared" ref="E5:E9" si="3">C5*D5</f>
        <v>46.75</v>
      </c>
      <c r="F5" s="6">
        <f t="shared" ref="F5:F9" si="4">ROUNDUP(E5/10,0)</f>
        <v>5</v>
      </c>
      <c r="G5" s="7">
        <v>21.82</v>
      </c>
      <c r="H5" s="8" cm="1">
        <f t="array" ref="H5">_xlfn.CEILING.MATH(_xlfn.SWITCH(J5, "A", 13.21, "B", 4.86, "C", 10.56, "D", 10.87, "E", 16.75, "F", 22, "G", 13.2, "H", 19.3, "I", 17.5, "J", 12.8, "K", 17.3, "L", 17, -1))</f>
        <v>11</v>
      </c>
      <c r="I5" s="9">
        <f t="shared" ref="I5:I9" si="5">2*F5*(G5+H5+6)</f>
        <v>388.2</v>
      </c>
      <c r="J5" s="10" t="s">
        <v>17</v>
      </c>
    </row>
    <row r="6" spans="1:10" ht="14.25" customHeight="1" x14ac:dyDescent="0.3">
      <c r="A6" s="4" t="s">
        <v>18</v>
      </c>
      <c r="B6" s="4" t="s">
        <v>11</v>
      </c>
      <c r="C6" s="5">
        <v>5.5</v>
      </c>
      <c r="D6" s="5">
        <v>8.5</v>
      </c>
      <c r="E6" s="6">
        <f t="shared" si="3"/>
        <v>46.75</v>
      </c>
      <c r="F6" s="6">
        <f t="shared" si="4"/>
        <v>5</v>
      </c>
      <c r="G6" s="7">
        <v>27.82</v>
      </c>
      <c r="H6" s="8" cm="1">
        <f t="array" ref="H6">_xlfn.CEILING.MATH(_xlfn.SWITCH(J6, "A", 13.21, "B", 4.86, "C", 10.56, "D", 10.87, "E", 16.75, "F", 22, "G", 13.2, "H", 19.3, "I", 17.5, "J", 12.8, "K", 17.3, "L", 17, -1))</f>
        <v>11</v>
      </c>
      <c r="I6" s="9">
        <f t="shared" si="5"/>
        <v>448.2</v>
      </c>
      <c r="J6" s="10" t="s">
        <v>17</v>
      </c>
    </row>
    <row r="7" spans="1:10" ht="14.25" customHeight="1" x14ac:dyDescent="0.3">
      <c r="A7" s="4" t="s">
        <v>19</v>
      </c>
      <c r="B7" s="4" t="s">
        <v>11</v>
      </c>
      <c r="C7" s="5">
        <v>5.5</v>
      </c>
      <c r="D7" s="5">
        <v>8.5</v>
      </c>
      <c r="E7" s="6">
        <f t="shared" si="3"/>
        <v>46.75</v>
      </c>
      <c r="F7" s="6">
        <f t="shared" si="4"/>
        <v>5</v>
      </c>
      <c r="G7" s="7">
        <v>33.53</v>
      </c>
      <c r="H7" s="8" cm="1">
        <f t="array" ref="H7">_xlfn.CEILING.MATH(_xlfn.SWITCH(J7, "A", 13.21, "B", 4.86, "C", 10.56, "D", 10.87, "E", 16.75, "F", 22, "G", 13.2, "H", 19.3, "I", 17.5, "J", 12.8, "K", 17.3, "L", 17, -1))</f>
        <v>11</v>
      </c>
      <c r="I7" s="9">
        <f t="shared" si="5"/>
        <v>505.3</v>
      </c>
      <c r="J7" s="10" t="s">
        <v>17</v>
      </c>
    </row>
    <row r="8" spans="1:10" ht="14.25" customHeight="1" x14ac:dyDescent="0.3">
      <c r="A8" s="4" t="s">
        <v>20</v>
      </c>
      <c r="B8" s="4" t="s">
        <v>11</v>
      </c>
      <c r="C8" s="5">
        <v>5.5</v>
      </c>
      <c r="D8" s="5">
        <v>8.5</v>
      </c>
      <c r="E8" s="6">
        <f t="shared" si="3"/>
        <v>46.75</v>
      </c>
      <c r="F8" s="6">
        <f t="shared" si="4"/>
        <v>5</v>
      </c>
      <c r="G8" s="7">
        <v>39.53</v>
      </c>
      <c r="H8" s="8" cm="1">
        <f t="array" ref="H8">_xlfn.CEILING.MATH(_xlfn.SWITCH(J8, "A", 13.21, "B", 4.86, "C", 10.56, "D", 10.87, "E", 16.75, "F", 22, "G", 13.2, "H", 19.3, "I", 17.5, "J", 12.8, "K", 17.3, "L", 17, -1))</f>
        <v>11</v>
      </c>
      <c r="I8" s="9">
        <f t="shared" si="5"/>
        <v>565.29999999999995</v>
      </c>
      <c r="J8" s="10" t="s">
        <v>17</v>
      </c>
    </row>
    <row r="9" spans="1:10" ht="14.25" customHeight="1" x14ac:dyDescent="0.3">
      <c r="A9" s="4" t="s">
        <v>21</v>
      </c>
      <c r="B9" s="4" t="s">
        <v>11</v>
      </c>
      <c r="C9" s="5">
        <v>5.5</v>
      </c>
      <c r="D9" s="5">
        <v>8.5</v>
      </c>
      <c r="E9" s="6">
        <f t="shared" si="3"/>
        <v>46.75</v>
      </c>
      <c r="F9" s="6">
        <f t="shared" si="4"/>
        <v>5</v>
      </c>
      <c r="G9" s="7">
        <v>45.24</v>
      </c>
      <c r="H9" s="8" cm="1">
        <f t="array" ref="H9">_xlfn.CEILING.MATH(_xlfn.SWITCH(J9, "A", 13.21, "B", 4.86, "C", 10.56, "D", 10.87, "E", 16.75, "F", 22, "G", 13.2, "H", 19.3, "I", 17.5, "J", 12.8, "K", 17.3, "L", 17, -1))</f>
        <v>11</v>
      </c>
      <c r="I9" s="9">
        <f t="shared" si="5"/>
        <v>622.4</v>
      </c>
      <c r="J9" s="10" t="s">
        <v>17</v>
      </c>
    </row>
    <row r="10" spans="1:10" ht="14.25" customHeight="1" x14ac:dyDescent="0.3">
      <c r="A10" s="12" t="s">
        <v>22</v>
      </c>
      <c r="B10" s="107" t="s">
        <v>23</v>
      </c>
      <c r="C10" s="108"/>
      <c r="D10" s="108"/>
      <c r="E10" s="108"/>
      <c r="F10" s="108"/>
      <c r="G10" s="108"/>
      <c r="H10" s="108"/>
      <c r="I10" s="108"/>
      <c r="J10" s="109"/>
    </row>
    <row r="11" spans="1:10" ht="14.25" customHeight="1" x14ac:dyDescent="0.3">
      <c r="A11" s="12" t="s">
        <v>24</v>
      </c>
      <c r="B11" s="110"/>
      <c r="C11" s="111"/>
      <c r="D11" s="111"/>
      <c r="E11" s="111"/>
      <c r="F11" s="111"/>
      <c r="G11" s="111"/>
      <c r="H11" s="111"/>
      <c r="I11" s="111"/>
      <c r="J11" s="112"/>
    </row>
    <row r="12" spans="1:10" ht="14.25" customHeight="1" x14ac:dyDescent="0.3">
      <c r="A12" s="4" t="s">
        <v>25</v>
      </c>
      <c r="B12" s="4" t="s">
        <v>11</v>
      </c>
      <c r="C12" s="5">
        <v>8.5</v>
      </c>
      <c r="D12" s="5">
        <v>11.5</v>
      </c>
      <c r="E12" s="6">
        <f t="shared" ref="E12:E19" si="6">C12*D12</f>
        <v>97.75</v>
      </c>
      <c r="F12" s="6">
        <f t="shared" ref="F12:F19" si="7">ROUNDUP(E12/10,0)</f>
        <v>10</v>
      </c>
      <c r="G12" s="7">
        <v>0.5</v>
      </c>
      <c r="H12" s="8" cm="1">
        <f t="array" ref="H12">_xlfn.CEILING.MATH(_xlfn.SWITCH(J12, "A", 13.21, "B", 4.86, "C", 10.56, "D", 10.87, "E", 16.75, "F", 22, "G", 13.2, "H", 19.3, "I", 17.5, "J", 12.8, "K", 17.3, "L", 17, -1))</f>
        <v>11</v>
      </c>
      <c r="I12" s="9">
        <f t="shared" ref="I12:I19" si="8">2*F12*(G12+H12+6)</f>
        <v>350</v>
      </c>
      <c r="J12" s="10" t="s">
        <v>26</v>
      </c>
    </row>
    <row r="13" spans="1:10" ht="14.25" customHeight="1" x14ac:dyDescent="0.3">
      <c r="A13" s="4" t="s">
        <v>27</v>
      </c>
      <c r="B13" s="4" t="s">
        <v>11</v>
      </c>
      <c r="C13" s="5">
        <v>20</v>
      </c>
      <c r="D13" s="5">
        <v>16.5</v>
      </c>
      <c r="E13" s="6">
        <f t="shared" si="6"/>
        <v>330</v>
      </c>
      <c r="F13" s="6">
        <f t="shared" si="7"/>
        <v>33</v>
      </c>
      <c r="G13" s="7">
        <v>5</v>
      </c>
      <c r="H13" s="8" cm="1">
        <f t="array" ref="H13">_xlfn.CEILING.MATH(_xlfn.SWITCH(J13, "A", 13.21, "B", 4.86, "C", 10.56, "D", 10.87, "E", 16.75, "F", 22, "G", 13.2, "H", 19.3, "I", 17.5, "J", 12.8, "K", 17.3, "L", 17, -1))</f>
        <v>22</v>
      </c>
      <c r="I13" s="9">
        <f t="shared" si="8"/>
        <v>2178</v>
      </c>
      <c r="J13" s="10" t="s">
        <v>28</v>
      </c>
    </row>
    <row r="14" spans="1:10" ht="14.25" customHeight="1" x14ac:dyDescent="0.3">
      <c r="A14" s="4" t="s">
        <v>29</v>
      </c>
      <c r="B14" s="4" t="s">
        <v>11</v>
      </c>
      <c r="C14" s="5">
        <v>6.5</v>
      </c>
      <c r="D14" s="5">
        <v>11.5</v>
      </c>
      <c r="E14" s="6">
        <f t="shared" si="6"/>
        <v>74.75</v>
      </c>
      <c r="F14" s="6">
        <f t="shared" si="7"/>
        <v>8</v>
      </c>
      <c r="G14" s="7">
        <v>84.64</v>
      </c>
      <c r="H14" s="8" cm="1">
        <f t="array" ref="H14">_xlfn.CEILING.MATH(_xlfn.SWITCH(J14, "A", 13.21, "B", 4.86, "C", 10.56, "D", 10.87, "E", 16.75, "F", 22, "G", 13.2, "H", 19.3, "I", 17.5, "J", 12.8, "K", 17.3, "L", 17, -1))</f>
        <v>17</v>
      </c>
      <c r="I14" s="9">
        <f t="shared" si="8"/>
        <v>1722.24</v>
      </c>
      <c r="J14" s="10" t="s">
        <v>30</v>
      </c>
    </row>
    <row r="15" spans="1:10" ht="14.25" customHeight="1" x14ac:dyDescent="0.3">
      <c r="A15" s="4" t="s">
        <v>31</v>
      </c>
      <c r="B15" s="4" t="s">
        <v>11</v>
      </c>
      <c r="C15" s="5">
        <v>6.5</v>
      </c>
      <c r="D15" s="5">
        <v>11.5</v>
      </c>
      <c r="E15" s="6">
        <f t="shared" si="6"/>
        <v>74.75</v>
      </c>
      <c r="F15" s="6">
        <f t="shared" si="7"/>
        <v>8</v>
      </c>
      <c r="G15" s="7">
        <v>91.78</v>
      </c>
      <c r="H15" s="8" cm="1">
        <f t="array" ref="H15">_xlfn.CEILING.MATH(_xlfn.SWITCH(J15, "A", 13.21, "B", 4.86, "C", 10.56, "D", 10.87, "E", 16.75, "F", 22, "G", 13.2, "H", 19.3, "I", 17.5, "J", 12.8, "K", 17.3, "L", 17, -1))</f>
        <v>17</v>
      </c>
      <c r="I15" s="9">
        <f t="shared" si="8"/>
        <v>1836.48</v>
      </c>
      <c r="J15" s="10" t="s">
        <v>30</v>
      </c>
    </row>
    <row r="16" spans="1:10" ht="14.25" customHeight="1" x14ac:dyDescent="0.3">
      <c r="A16" s="4" t="s">
        <v>32</v>
      </c>
      <c r="B16" s="4" t="s">
        <v>11</v>
      </c>
      <c r="C16" s="5">
        <v>6.5</v>
      </c>
      <c r="D16" s="5">
        <v>11.5</v>
      </c>
      <c r="E16" s="6">
        <f t="shared" si="6"/>
        <v>74.75</v>
      </c>
      <c r="F16" s="6">
        <f t="shared" si="7"/>
        <v>8</v>
      </c>
      <c r="G16" s="7">
        <v>98.78</v>
      </c>
      <c r="H16" s="8" cm="1">
        <f t="array" ref="H16">_xlfn.CEILING.MATH(_xlfn.SWITCH(J16, "A", 13.21, "B", 4.86, "C", 10.56, "D", 10.87, "E", 16.75, "F", 22, "G", 13.2, "H", 19.3, "I", 17.5, "J", 12.8, "K", 17.3, "L", 17, -1))</f>
        <v>17</v>
      </c>
      <c r="I16" s="9">
        <f t="shared" si="8"/>
        <v>1948.48</v>
      </c>
      <c r="J16" s="10" t="s">
        <v>30</v>
      </c>
    </row>
    <row r="17" spans="1:10" ht="14.25" customHeight="1" x14ac:dyDescent="0.3">
      <c r="A17" s="4" t="s">
        <v>33</v>
      </c>
      <c r="B17" s="4" t="s">
        <v>11</v>
      </c>
      <c r="C17" s="5">
        <v>6.5</v>
      </c>
      <c r="D17" s="5">
        <v>11.5</v>
      </c>
      <c r="E17" s="6">
        <f t="shared" si="6"/>
        <v>74.75</v>
      </c>
      <c r="F17" s="6">
        <f t="shared" si="7"/>
        <v>8</v>
      </c>
      <c r="G17" s="7">
        <v>105.92</v>
      </c>
      <c r="H17" s="8" cm="1">
        <f t="array" ref="H17">_xlfn.CEILING.MATH(_xlfn.SWITCH(J17, "A", 13.21, "B", 4.86, "C", 10.56, "D", 10.87, "E", 16.75, "F", 22, "G", 13.2, "H", 19.3, "I", 17.5, "J", 12.8, "K", 17.3, "L", 17, -1))</f>
        <v>17</v>
      </c>
      <c r="I17" s="9">
        <f t="shared" si="8"/>
        <v>2062.7200000000003</v>
      </c>
      <c r="J17" s="10" t="s">
        <v>30</v>
      </c>
    </row>
    <row r="18" spans="1:10" ht="14.25" customHeight="1" x14ac:dyDescent="0.3">
      <c r="A18" s="4" t="s">
        <v>34</v>
      </c>
      <c r="B18" s="4" t="s">
        <v>11</v>
      </c>
      <c r="C18" s="5">
        <v>6.5</v>
      </c>
      <c r="D18" s="5">
        <v>11.5</v>
      </c>
      <c r="E18" s="6">
        <f t="shared" si="6"/>
        <v>74.75</v>
      </c>
      <c r="F18" s="6">
        <f t="shared" si="7"/>
        <v>8</v>
      </c>
      <c r="G18" s="7">
        <v>112.92</v>
      </c>
      <c r="H18" s="8" cm="1">
        <f t="array" ref="H18">_xlfn.CEILING.MATH(_xlfn.SWITCH(J18, "A", 13.21, "B", 4.86, "C", 10.56, "D", 10.87, "E", 16.75, "F", 22, "G", 13.2, "H", 19.3, "I", 17.5, "J", 12.8, "K", 17.3, "L", 17, -1))</f>
        <v>17</v>
      </c>
      <c r="I18" s="9">
        <f t="shared" si="8"/>
        <v>2174.7200000000003</v>
      </c>
      <c r="J18" s="10" t="s">
        <v>30</v>
      </c>
    </row>
    <row r="19" spans="1:10" ht="14.25" customHeight="1" x14ac:dyDescent="0.3">
      <c r="A19" s="4" t="s">
        <v>35</v>
      </c>
      <c r="B19" s="4" t="s">
        <v>11</v>
      </c>
      <c r="C19" s="5">
        <v>10</v>
      </c>
      <c r="D19" s="5">
        <v>20</v>
      </c>
      <c r="E19" s="6">
        <f t="shared" si="6"/>
        <v>200</v>
      </c>
      <c r="F19" s="6">
        <f t="shared" si="7"/>
        <v>20</v>
      </c>
      <c r="G19" s="7">
        <v>17.5</v>
      </c>
      <c r="H19" s="8" cm="1">
        <f t="array" ref="H19">_xlfn.CEILING.MATH(_xlfn.SWITCH(J19, "A", 13.21, "B", 4.86, "C", 10.56, "D", 10.87, "E", 16.75, "F", 22, "G", 13.2, "H", 19.3, "I", 17.5, "J", 12.8, "K", 17.3, "L", 17, -1))</f>
        <v>14</v>
      </c>
      <c r="I19" s="9">
        <f t="shared" si="8"/>
        <v>1500</v>
      </c>
      <c r="J19" s="10" t="s">
        <v>36</v>
      </c>
    </row>
    <row r="20" spans="1:10" ht="14.25" customHeight="1" x14ac:dyDescent="0.3">
      <c r="A20" s="13" t="s">
        <v>37</v>
      </c>
      <c r="B20" s="13"/>
      <c r="C20" s="13"/>
      <c r="D20" s="13"/>
      <c r="E20" s="13"/>
      <c r="F20" s="13">
        <f>SUM(F2:F19)</f>
        <v>140</v>
      </c>
      <c r="G20" s="13"/>
      <c r="H20" s="14"/>
      <c r="I20" s="13">
        <f>SUM(I2:I19)</f>
        <v>16980.16</v>
      </c>
      <c r="J20" s="15"/>
    </row>
    <row r="21" spans="1:10" ht="14.25" customHeight="1" x14ac:dyDescent="0.3">
      <c r="A21" s="13"/>
      <c r="B21" s="13"/>
      <c r="C21" s="13"/>
      <c r="D21" s="13"/>
      <c r="E21" s="13"/>
      <c r="F21" s="13"/>
      <c r="G21" s="13"/>
      <c r="H21" s="14"/>
      <c r="I21" s="13"/>
      <c r="J21" s="15"/>
    </row>
    <row r="22" spans="1:10" ht="14.25" customHeight="1" x14ac:dyDescent="0.3">
      <c r="A22" s="4" t="s">
        <v>38</v>
      </c>
      <c r="B22" s="4" t="s">
        <v>39</v>
      </c>
      <c r="C22" s="5">
        <v>6.5</v>
      </c>
      <c r="D22" s="5">
        <v>11.5</v>
      </c>
      <c r="E22" s="6">
        <f t="shared" ref="E22:E23" si="9">C22*D22</f>
        <v>74.75</v>
      </c>
      <c r="F22" s="6">
        <f t="shared" ref="F22:F23" si="10">ROUNDUP(E22/10,0)</f>
        <v>8</v>
      </c>
      <c r="G22" s="7">
        <v>32</v>
      </c>
      <c r="H22" s="16" cm="1">
        <f t="array" ref="H22">_xlfn.CEILING.MATH(_xlfn.SWITCH(J22, "A", 13.21, "B", 4.86, "C", 10.56, "D", 10.87, "E", 16.75, "F", 22, "G", 13.2, "H", 19.3, "I", 17.5, "J", 12.8, "K", 17.3, "L", 17, -1))</f>
        <v>17</v>
      </c>
      <c r="I22" s="9">
        <f t="shared" ref="I22:I23" si="11">2*F22*(G22+H22+6)</f>
        <v>880</v>
      </c>
      <c r="J22" s="10" t="s">
        <v>30</v>
      </c>
    </row>
    <row r="23" spans="1:10" ht="14.25" customHeight="1" x14ac:dyDescent="0.3">
      <c r="A23" s="4" t="s">
        <v>40</v>
      </c>
      <c r="B23" s="4" t="s">
        <v>39</v>
      </c>
      <c r="C23" s="5">
        <v>6.5</v>
      </c>
      <c r="D23" s="5">
        <v>11.5</v>
      </c>
      <c r="E23" s="6">
        <f t="shared" si="9"/>
        <v>74.75</v>
      </c>
      <c r="F23" s="6">
        <f t="shared" si="10"/>
        <v>8</v>
      </c>
      <c r="G23" s="7">
        <v>27</v>
      </c>
      <c r="H23" s="16" cm="1">
        <f t="array" ref="H23">_xlfn.CEILING.MATH(_xlfn.SWITCH(J23, "A", 13.21, "B", 4.86, "C", 10.56, "D", 10.87, "E", 16.75, "F", 22, "G", 13.2, "H", 19.3, "I", 17.5, "J", 12.8, "K", 17.3, "L", 17, -1))</f>
        <v>17</v>
      </c>
      <c r="I23" s="9">
        <f t="shared" si="11"/>
        <v>800</v>
      </c>
      <c r="J23" s="10" t="s">
        <v>30</v>
      </c>
    </row>
    <row r="24" spans="1:10" ht="14.25" customHeight="1" x14ac:dyDescent="0.3">
      <c r="A24" s="12" t="s">
        <v>41</v>
      </c>
      <c r="B24" s="107" t="s">
        <v>23</v>
      </c>
      <c r="C24" s="108"/>
      <c r="D24" s="108"/>
      <c r="E24" s="108"/>
      <c r="F24" s="108"/>
      <c r="G24" s="108"/>
      <c r="H24" s="108"/>
      <c r="I24" s="108"/>
      <c r="J24" s="109"/>
    </row>
    <row r="25" spans="1:10" ht="14.25" customHeight="1" x14ac:dyDescent="0.3">
      <c r="A25" s="12" t="s">
        <v>42</v>
      </c>
      <c r="B25" s="110"/>
      <c r="C25" s="111"/>
      <c r="D25" s="111"/>
      <c r="E25" s="111"/>
      <c r="F25" s="111"/>
      <c r="G25" s="111"/>
      <c r="H25" s="111"/>
      <c r="I25" s="111"/>
      <c r="J25" s="112"/>
    </row>
    <row r="26" spans="1:10" ht="14.25" customHeight="1" x14ac:dyDescent="0.3">
      <c r="A26" s="4" t="s">
        <v>43</v>
      </c>
      <c r="B26" s="4" t="s">
        <v>39</v>
      </c>
      <c r="C26" s="5">
        <v>10</v>
      </c>
      <c r="D26" s="5">
        <v>20</v>
      </c>
      <c r="E26" s="6">
        <f t="shared" ref="E26:E30" si="12">C26*D26</f>
        <v>200</v>
      </c>
      <c r="F26" s="6">
        <f t="shared" ref="F26:F30" si="13">ROUNDUP(E26/10,0)</f>
        <v>20</v>
      </c>
      <c r="G26" s="7">
        <v>0.5</v>
      </c>
      <c r="H26" s="16" cm="1">
        <f t="array" ref="H26">_xlfn.CEILING.MATH(_xlfn.SWITCH(J26, "A", 13.21, "B", 4.86, "C", 10.56, "D", 10.87, "E", 16.75, "F", 22, "G", 13.2, "H", 19.3, "I", 17.5, "J", 12.8, "K", 17.3, "L", 17, -1))</f>
        <v>14</v>
      </c>
      <c r="I26" s="9">
        <f t="shared" ref="I26:I30" si="14">2*F26*(G26+H26+6)</f>
        <v>820</v>
      </c>
      <c r="J26" s="10" t="s">
        <v>36</v>
      </c>
    </row>
    <row r="27" spans="1:10" ht="14.25" customHeight="1" x14ac:dyDescent="0.3">
      <c r="A27" s="4" t="s">
        <v>44</v>
      </c>
      <c r="B27" s="4" t="s">
        <v>39</v>
      </c>
      <c r="C27" s="7">
        <v>9</v>
      </c>
      <c r="D27" s="7">
        <v>10</v>
      </c>
      <c r="E27" s="6">
        <f t="shared" si="12"/>
        <v>90</v>
      </c>
      <c r="F27" s="6">
        <f t="shared" si="13"/>
        <v>9</v>
      </c>
      <c r="G27" s="7">
        <v>45</v>
      </c>
      <c r="H27" s="16" cm="1">
        <f t="array" ref="H27">_xlfn.CEILING.MATH(_xlfn.SWITCH(J27, "A", 13.21, "B", 4.86, "C", 10.56, "D", 10.87, "E", 16.75, "F", 22, "G", 13.2, "H", 19.3, "I", 17.5, "J", 12.8, "K", 17.3, "L", 17, -1))</f>
        <v>20</v>
      </c>
      <c r="I27" s="9">
        <f t="shared" si="14"/>
        <v>1278</v>
      </c>
      <c r="J27" s="10" t="s">
        <v>45</v>
      </c>
    </row>
    <row r="28" spans="1:10" ht="14.25" customHeight="1" x14ac:dyDescent="0.3">
      <c r="A28" s="4" t="s">
        <v>46</v>
      </c>
      <c r="B28" s="4" t="s">
        <v>39</v>
      </c>
      <c r="C28" s="7">
        <v>9</v>
      </c>
      <c r="D28" s="7">
        <v>10</v>
      </c>
      <c r="E28" s="6">
        <f t="shared" si="12"/>
        <v>90</v>
      </c>
      <c r="F28" s="6">
        <f t="shared" si="13"/>
        <v>9</v>
      </c>
      <c r="G28" s="7">
        <v>40</v>
      </c>
      <c r="H28" s="16" cm="1">
        <f t="array" ref="H28">_xlfn.CEILING.MATH(_xlfn.SWITCH(J28, "A", 13.21, "B", 4.86, "C", 10.56, "D", 10.87, "E", 16.75, "F", 22, "G", 13.2, "H", 19.3, "I", 17.5, "J", 12.8, "K", 17.3, "L", 17, -1))</f>
        <v>20</v>
      </c>
      <c r="I28" s="9">
        <f t="shared" si="14"/>
        <v>1188</v>
      </c>
      <c r="J28" s="10" t="s">
        <v>45</v>
      </c>
    </row>
    <row r="29" spans="1:10" ht="14.25" customHeight="1" x14ac:dyDescent="0.3">
      <c r="A29" s="4" t="s">
        <v>47</v>
      </c>
      <c r="B29" s="4" t="s">
        <v>39</v>
      </c>
      <c r="C29" s="7">
        <v>6.5</v>
      </c>
      <c r="D29" s="7">
        <v>9</v>
      </c>
      <c r="E29" s="6">
        <f t="shared" si="12"/>
        <v>58.5</v>
      </c>
      <c r="F29" s="6">
        <f t="shared" si="13"/>
        <v>6</v>
      </c>
      <c r="G29" s="7">
        <v>12.54</v>
      </c>
      <c r="H29" s="16" cm="1">
        <f t="array" ref="H29">_xlfn.CEILING.MATH(_xlfn.SWITCH(J29, "A", 13.21, "B", 4.86, "C", 10.56, "D", 10.87, "E", 16.75, "F", 22, "G", 13.2, "H", 19.3, "I", 17.5, "J", 12.8, "K", 17.3, "L", 17, -1))</f>
        <v>18</v>
      </c>
      <c r="I29" s="9">
        <f t="shared" si="14"/>
        <v>438.48</v>
      </c>
      <c r="J29" s="10" t="s">
        <v>48</v>
      </c>
    </row>
    <row r="30" spans="1:10" ht="14.25" customHeight="1" x14ac:dyDescent="0.3">
      <c r="A30" s="4" t="s">
        <v>49</v>
      </c>
      <c r="B30" s="4" t="s">
        <v>39</v>
      </c>
      <c r="C30" s="7">
        <v>6.5</v>
      </c>
      <c r="D30" s="7">
        <v>9</v>
      </c>
      <c r="E30" s="6">
        <f t="shared" si="12"/>
        <v>58.5</v>
      </c>
      <c r="F30" s="6">
        <f t="shared" si="13"/>
        <v>6</v>
      </c>
      <c r="G30" s="7">
        <v>21.88</v>
      </c>
      <c r="H30" s="16" cm="1">
        <f t="array" ref="H30">_xlfn.CEILING.MATH(_xlfn.SWITCH(J30, "A", 13.21, "B", 4.86, "C", 10.56, "D", 10.87, "E", 16.75, "F", 22, "G", 13.2, "H", 19.3, "I", 17.5, "J", 12.8, "K", 17.3, "L", 17, -1))</f>
        <v>18</v>
      </c>
      <c r="I30" s="9">
        <f t="shared" si="14"/>
        <v>550.55999999999995</v>
      </c>
      <c r="J30" s="10" t="s">
        <v>48</v>
      </c>
    </row>
    <row r="31" spans="1:10" ht="14.25" customHeight="1" x14ac:dyDescent="0.3">
      <c r="A31" s="11" t="s">
        <v>50</v>
      </c>
      <c r="B31" s="113" t="s">
        <v>39</v>
      </c>
      <c r="C31" s="105"/>
      <c r="D31" s="105"/>
      <c r="E31" s="105"/>
      <c r="F31" s="105"/>
      <c r="G31" s="105"/>
      <c r="H31" s="105"/>
      <c r="I31" s="105"/>
      <c r="J31" s="106"/>
    </row>
    <row r="32" spans="1:10" ht="14.25" customHeight="1" x14ac:dyDescent="0.3">
      <c r="A32" s="4" t="s">
        <v>51</v>
      </c>
      <c r="B32" s="4" t="s">
        <v>39</v>
      </c>
      <c r="C32" s="7">
        <v>4.5</v>
      </c>
      <c r="D32" s="7">
        <v>9.5</v>
      </c>
      <c r="E32" s="6">
        <f t="shared" ref="E32:E36" si="15">C32*D32</f>
        <v>42.75</v>
      </c>
      <c r="F32" s="6">
        <f t="shared" ref="F32:F36" si="16">ROUNDUP(E32/10,0)</f>
        <v>5</v>
      </c>
      <c r="G32" s="7">
        <v>11.5</v>
      </c>
      <c r="H32" s="8" cm="1">
        <f t="array" ref="H32">_xlfn.CEILING.MATH(_xlfn.SWITCH(J32, "A", 13.21, "B", 4.86, "C", 10.56, "D", 10.87, "E", 16.75, "F", 22, "G", 13.2, "H", 19.3, "I", 17.5, "J", 12.8, "K", 17.3, "L", 17, -1))</f>
        <v>13</v>
      </c>
      <c r="I32" s="9">
        <f t="shared" ref="I32:I36" si="17">2*F32*(G32+H32+6)</f>
        <v>305</v>
      </c>
      <c r="J32" s="10" t="s">
        <v>52</v>
      </c>
    </row>
    <row r="33" spans="1:10" ht="14.25" customHeight="1" x14ac:dyDescent="0.3">
      <c r="A33" s="4" t="s">
        <v>53</v>
      </c>
      <c r="B33" s="4" t="s">
        <v>39</v>
      </c>
      <c r="C33" s="7">
        <v>4.5</v>
      </c>
      <c r="D33" s="7">
        <v>9.5</v>
      </c>
      <c r="E33" s="6">
        <f t="shared" si="15"/>
        <v>42.75</v>
      </c>
      <c r="F33" s="6">
        <f t="shared" si="16"/>
        <v>5</v>
      </c>
      <c r="G33" s="7">
        <v>17</v>
      </c>
      <c r="H33" s="8" cm="1">
        <f t="array" ref="H33">_xlfn.CEILING.MATH(_xlfn.SWITCH(J33, "A", 13.21, "B", 4.86, "C", 10.56, "D", 10.87, "E", 16.75, "F", 22, "G", 13.2, "H", 19.3, "I", 17.5, "J", 12.8, "K", 17.3, "L", 17, -1))</f>
        <v>13</v>
      </c>
      <c r="I33" s="9">
        <f t="shared" si="17"/>
        <v>360</v>
      </c>
      <c r="J33" s="10" t="s">
        <v>52</v>
      </c>
    </row>
    <row r="34" spans="1:10" ht="14.25" customHeight="1" x14ac:dyDescent="0.3">
      <c r="A34" s="4" t="s">
        <v>54</v>
      </c>
      <c r="B34" s="4" t="s">
        <v>39</v>
      </c>
      <c r="C34" s="7">
        <v>4.5</v>
      </c>
      <c r="D34" s="7">
        <v>9.5</v>
      </c>
      <c r="E34" s="6">
        <f t="shared" si="15"/>
        <v>42.75</v>
      </c>
      <c r="F34" s="6">
        <f t="shared" si="16"/>
        <v>5</v>
      </c>
      <c r="G34" s="7">
        <v>22.5</v>
      </c>
      <c r="H34" s="8" cm="1">
        <f t="array" ref="H34">_xlfn.CEILING.MATH(_xlfn.SWITCH(J34, "A", 13.21, "B", 4.86, "C", 10.56, "D", 10.87, "E", 16.75, "F", 22, "G", 13.2, "H", 19.3, "I", 17.5, "J", 12.8, "K", 17.3, "L", 17, -1))</f>
        <v>13</v>
      </c>
      <c r="I34" s="9">
        <f t="shared" si="17"/>
        <v>415</v>
      </c>
      <c r="J34" s="10" t="s">
        <v>52</v>
      </c>
    </row>
    <row r="35" spans="1:10" ht="14.25" customHeight="1" x14ac:dyDescent="0.3">
      <c r="A35" s="4" t="s">
        <v>55</v>
      </c>
      <c r="B35" s="4" t="s">
        <v>39</v>
      </c>
      <c r="C35" s="7">
        <v>4.5</v>
      </c>
      <c r="D35" s="7">
        <v>9.5</v>
      </c>
      <c r="E35" s="6">
        <f t="shared" si="15"/>
        <v>42.75</v>
      </c>
      <c r="F35" s="6">
        <f t="shared" si="16"/>
        <v>5</v>
      </c>
      <c r="G35" s="7">
        <v>28</v>
      </c>
      <c r="H35" s="8" cm="1">
        <f t="array" ref="H35">_xlfn.CEILING.MATH(_xlfn.SWITCH(J35, "A", 13.21, "B", 4.86, "C", 10.56, "D", 10.87, "E", 16.75, "F", 22, "G", 13.2, "H", 19.3, "I", 17.5, "J", 12.8, "K", 17.3, "L", 17, -1))</f>
        <v>13</v>
      </c>
      <c r="I35" s="9">
        <f t="shared" si="17"/>
        <v>470</v>
      </c>
      <c r="J35" s="10" t="s">
        <v>52</v>
      </c>
    </row>
    <row r="36" spans="1:10" ht="14.25" customHeight="1" x14ac:dyDescent="0.3">
      <c r="A36" s="4" t="s">
        <v>56</v>
      </c>
      <c r="B36" s="4" t="s">
        <v>39</v>
      </c>
      <c r="C36" s="7">
        <v>4.5</v>
      </c>
      <c r="D36" s="7">
        <v>9.5</v>
      </c>
      <c r="E36" s="6">
        <f t="shared" si="15"/>
        <v>42.75</v>
      </c>
      <c r="F36" s="6">
        <f t="shared" si="16"/>
        <v>5</v>
      </c>
      <c r="G36" s="7">
        <v>33.5</v>
      </c>
      <c r="H36" s="8" cm="1">
        <f t="array" ref="H36">_xlfn.CEILING.MATH(_xlfn.SWITCH(J36, "A", 13.21, "B", 4.86, "C", 10.56, "D", 10.87, "E", 16.75, "F", 22, "G", 13.2, "H", 19.3, "I", 17.5, "J", 12.8, "K", 17.3, "L", 17, -1))</f>
        <v>13</v>
      </c>
      <c r="I36" s="9">
        <f t="shared" si="17"/>
        <v>525</v>
      </c>
      <c r="J36" s="10" t="s">
        <v>52</v>
      </c>
    </row>
    <row r="37" spans="1:10" ht="14.25" customHeight="1" x14ac:dyDescent="0.3">
      <c r="A37" s="12" t="s">
        <v>57</v>
      </c>
      <c r="B37" s="114" t="s">
        <v>23</v>
      </c>
      <c r="C37" s="108"/>
      <c r="D37" s="108"/>
      <c r="E37" s="108"/>
      <c r="F37" s="108"/>
      <c r="G37" s="108"/>
      <c r="H37" s="108"/>
      <c r="I37" s="108"/>
      <c r="J37" s="109"/>
    </row>
    <row r="38" spans="1:10" ht="14.25" customHeight="1" x14ac:dyDescent="0.3">
      <c r="A38" s="12" t="s">
        <v>58</v>
      </c>
      <c r="B38" s="110"/>
      <c r="C38" s="111"/>
      <c r="D38" s="111"/>
      <c r="E38" s="111"/>
      <c r="F38" s="111"/>
      <c r="G38" s="111"/>
      <c r="H38" s="111"/>
      <c r="I38" s="111"/>
      <c r="J38" s="112"/>
    </row>
    <row r="39" spans="1:10" ht="14.25" customHeight="1" x14ac:dyDescent="0.3">
      <c r="A39" s="4" t="s">
        <v>59</v>
      </c>
      <c r="B39" s="4" t="s">
        <v>39</v>
      </c>
      <c r="C39" s="7">
        <v>5.5</v>
      </c>
      <c r="D39" s="7">
        <v>12.5</v>
      </c>
      <c r="E39" s="6">
        <f t="shared" ref="E39:E44" si="18">C39*D39</f>
        <v>68.75</v>
      </c>
      <c r="F39" s="6">
        <f t="shared" ref="F39:F44" si="19">ROUNDUP(E39/10,0)</f>
        <v>7</v>
      </c>
      <c r="G39" s="7">
        <v>10.5</v>
      </c>
      <c r="H39" s="8" cm="1">
        <f t="array" ref="H39">_xlfn.CEILING.MATH(_xlfn.SWITCH(J39, "A", 13.21, "B", 4.86, "C", 10.56, "D", 10.87, "E", 16.75, "F", 22, "G", 13.2, "H", 19.3, "I", 17.5, "J", 12.8, "K", 17.3, "L", 17, -1))</f>
        <v>18</v>
      </c>
      <c r="I39" s="9">
        <f t="shared" ref="I39:I44" si="20">2*F39*(G39+H39+6)</f>
        <v>483</v>
      </c>
      <c r="J39" s="10" t="s">
        <v>60</v>
      </c>
    </row>
    <row r="40" spans="1:10" ht="14.25" customHeight="1" x14ac:dyDescent="0.3">
      <c r="A40" s="4" t="s">
        <v>61</v>
      </c>
      <c r="B40" s="4" t="s">
        <v>39</v>
      </c>
      <c r="C40" s="7">
        <v>5.5</v>
      </c>
      <c r="D40" s="7">
        <v>12.5</v>
      </c>
      <c r="E40" s="6">
        <f t="shared" si="18"/>
        <v>68.75</v>
      </c>
      <c r="F40" s="6">
        <f t="shared" si="19"/>
        <v>7</v>
      </c>
      <c r="G40" s="7">
        <v>17.5</v>
      </c>
      <c r="H40" s="8" cm="1">
        <f t="array" ref="H40">_xlfn.CEILING.MATH(_xlfn.SWITCH(J40, "A", 13.21, "B", 4.86, "C", 10.56, "D", 10.87, "E", 16.75, "F", 22, "G", 13.2, "H", 19.3, "I", 17.5, "J", 12.8, "K", 17.3, "L", 17, -1))</f>
        <v>18</v>
      </c>
      <c r="I40" s="9">
        <f t="shared" si="20"/>
        <v>581</v>
      </c>
      <c r="J40" s="10" t="s">
        <v>60</v>
      </c>
    </row>
    <row r="41" spans="1:10" ht="14.25" customHeight="1" x14ac:dyDescent="0.3">
      <c r="A41" s="4" t="s">
        <v>62</v>
      </c>
      <c r="B41" s="4" t="s">
        <v>39</v>
      </c>
      <c r="C41" s="7">
        <v>5.5</v>
      </c>
      <c r="D41" s="7">
        <v>12.5</v>
      </c>
      <c r="E41" s="6">
        <f t="shared" si="18"/>
        <v>68.75</v>
      </c>
      <c r="F41" s="6">
        <f t="shared" si="19"/>
        <v>7</v>
      </c>
      <c r="G41" s="7">
        <v>23.5</v>
      </c>
      <c r="H41" s="8" cm="1">
        <f t="array" ref="H41">_xlfn.CEILING.MATH(_xlfn.SWITCH(J41, "A", 13.21, "B", 4.86, "C", 10.56, "D", 10.87, "E", 16.75, "F", 22, "G", 13.2, "H", 19.3, "I", 17.5, "J", 12.8, "K", 17.3, "L", 17, -1))</f>
        <v>18</v>
      </c>
      <c r="I41" s="9">
        <f t="shared" si="20"/>
        <v>665</v>
      </c>
      <c r="J41" s="10" t="s">
        <v>60</v>
      </c>
    </row>
    <row r="42" spans="1:10" ht="14.25" customHeight="1" x14ac:dyDescent="0.3">
      <c r="A42" s="4" t="s">
        <v>63</v>
      </c>
      <c r="B42" s="4" t="s">
        <v>39</v>
      </c>
      <c r="C42" s="7">
        <v>5.5</v>
      </c>
      <c r="D42" s="7">
        <v>12.5</v>
      </c>
      <c r="E42" s="6">
        <f t="shared" si="18"/>
        <v>68.75</v>
      </c>
      <c r="F42" s="6">
        <f t="shared" si="19"/>
        <v>7</v>
      </c>
      <c r="G42" s="7">
        <v>29.5</v>
      </c>
      <c r="H42" s="8" cm="1">
        <f t="array" ref="H42">_xlfn.CEILING.MATH(_xlfn.SWITCH(J42, "A", 13.21, "B", 4.86, "C", 10.56, "D", 10.87, "E", 16.75, "F", 22, "G", 13.2, "H", 19.3, "I", 17.5, "J", 12.8, "K", 17.3, "L", 17, -1))</f>
        <v>18</v>
      </c>
      <c r="I42" s="9">
        <f t="shared" si="20"/>
        <v>749</v>
      </c>
      <c r="J42" s="10" t="s">
        <v>60</v>
      </c>
    </row>
    <row r="43" spans="1:10" ht="14.25" customHeight="1" x14ac:dyDescent="0.3">
      <c r="A43" s="4" t="s">
        <v>64</v>
      </c>
      <c r="B43" s="4" t="s">
        <v>39</v>
      </c>
      <c r="C43" s="7">
        <v>5.5</v>
      </c>
      <c r="D43" s="7">
        <v>12.5</v>
      </c>
      <c r="E43" s="6">
        <f t="shared" si="18"/>
        <v>68.75</v>
      </c>
      <c r="F43" s="6">
        <f t="shared" si="19"/>
        <v>7</v>
      </c>
      <c r="G43" s="7">
        <v>35.5</v>
      </c>
      <c r="H43" s="8" cm="1">
        <f t="array" ref="H43">_xlfn.CEILING.MATH(_xlfn.SWITCH(J43, "A", 13.21, "B", 4.86, "C", 10.56, "D", 10.87, "E", 16.75, "F", 22, "G", 13.2, "H", 19.3, "I", 17.5, "J", 12.8, "K", 17.3, "L", 17, -1))</f>
        <v>18</v>
      </c>
      <c r="I43" s="9">
        <f t="shared" si="20"/>
        <v>833</v>
      </c>
      <c r="J43" s="10" t="s">
        <v>60</v>
      </c>
    </row>
    <row r="44" spans="1:10" ht="14.25" customHeight="1" x14ac:dyDescent="0.3">
      <c r="A44" s="4" t="s">
        <v>65</v>
      </c>
      <c r="B44" s="4" t="s">
        <v>39</v>
      </c>
      <c r="C44" s="7">
        <v>5.5</v>
      </c>
      <c r="D44" s="7">
        <v>12.5</v>
      </c>
      <c r="E44" s="6">
        <f t="shared" si="18"/>
        <v>68.75</v>
      </c>
      <c r="F44" s="6">
        <f t="shared" si="19"/>
        <v>7</v>
      </c>
      <c r="G44" s="7">
        <v>41.5</v>
      </c>
      <c r="H44" s="8" cm="1">
        <f t="array" ref="H44">_xlfn.CEILING.MATH(_xlfn.SWITCH(J44, "A", 13.21, "B", 4.86, "C", 10.56, "D", 10.87, "E", 16.75, "F", 22, "G", 13.2, "H", 19.3, "I", 17.5, "J", 12.8, "K", 17.3, "L", 17, -1))</f>
        <v>18</v>
      </c>
      <c r="I44" s="9">
        <f t="shared" si="20"/>
        <v>917</v>
      </c>
      <c r="J44" s="10" t="s">
        <v>60</v>
      </c>
    </row>
    <row r="45" spans="1:10" ht="14.25" customHeight="1" x14ac:dyDescent="0.3">
      <c r="A45" s="13" t="s">
        <v>66</v>
      </c>
      <c r="B45" s="13"/>
      <c r="C45" s="13"/>
      <c r="D45" s="13"/>
      <c r="E45" s="13"/>
      <c r="F45" s="13">
        <f>SUM(F22:F44)</f>
        <v>133</v>
      </c>
      <c r="G45" s="13"/>
      <c r="H45" s="14"/>
      <c r="I45" s="13">
        <f>SUM(I22:I44)</f>
        <v>12258.039999999999</v>
      </c>
      <c r="J45" s="15"/>
    </row>
    <row r="46" spans="1:10" ht="14.25" customHeight="1" x14ac:dyDescent="0.3">
      <c r="A46" s="13"/>
      <c r="B46" s="13"/>
      <c r="C46" s="13"/>
      <c r="D46" s="13"/>
      <c r="E46" s="13"/>
      <c r="F46" s="13"/>
      <c r="G46" s="13"/>
      <c r="H46" s="14"/>
      <c r="I46" s="13"/>
      <c r="J46" s="15"/>
    </row>
    <row r="47" spans="1:10" ht="14.25" customHeight="1" x14ac:dyDescent="0.3">
      <c r="A47" s="4" t="s">
        <v>67</v>
      </c>
      <c r="B47" s="7" t="s">
        <v>68</v>
      </c>
      <c r="C47" s="5">
        <v>6.5</v>
      </c>
      <c r="D47" s="5">
        <v>8.5</v>
      </c>
      <c r="E47" s="6">
        <f t="shared" ref="E47:E48" si="21">C47*D47</f>
        <v>55.25</v>
      </c>
      <c r="F47" s="6">
        <f t="shared" ref="F47:F48" si="22">ROUNDUP(E47/10,0)</f>
        <v>6</v>
      </c>
      <c r="G47" s="7">
        <v>9.4</v>
      </c>
      <c r="H47" s="16" cm="1">
        <f t="array" ref="H47">_xlfn.CEILING.MATH(_xlfn.SWITCH(J47, "A", 13.21, "B", 4.86, "C", 10.56, "D", 10.87, "E", 16.75, "F", 22, "G", 13.2, "H", 19.3, "I", 17.5, "J", 12.8, "K", 17.3, "L", 17, -1))</f>
        <v>14</v>
      </c>
      <c r="I47" s="9">
        <f t="shared" ref="I47:I48" si="23">2*F47*(G47+H47+6)</f>
        <v>352.79999999999995</v>
      </c>
      <c r="J47" s="10" t="s">
        <v>12</v>
      </c>
    </row>
    <row r="48" spans="1:10" ht="14.25" customHeight="1" x14ac:dyDescent="0.3">
      <c r="A48" s="4" t="s">
        <v>69</v>
      </c>
      <c r="B48" s="7" t="s">
        <v>68</v>
      </c>
      <c r="C48" s="5">
        <v>8.5</v>
      </c>
      <c r="D48" s="5">
        <v>6.5</v>
      </c>
      <c r="E48" s="6">
        <f t="shared" si="21"/>
        <v>55.25</v>
      </c>
      <c r="F48" s="6">
        <f t="shared" si="22"/>
        <v>6</v>
      </c>
      <c r="G48" s="7">
        <v>16.11</v>
      </c>
      <c r="H48" s="16" cm="1">
        <f t="array" ref="H48">_xlfn.CEILING.MATH(_xlfn.SWITCH(J48, "A", 13.21, "B", 4.86, "C", 10.56, "D", 10.87, "E", 16.75, "F", 22, "G", 13.2, "H", 19.3, "I", 17.5, "J", 12.8, "K", 17.3, "L", 17, -1))</f>
        <v>5</v>
      </c>
      <c r="I48" s="9">
        <f t="shared" si="23"/>
        <v>325.32</v>
      </c>
      <c r="J48" s="10" t="s">
        <v>14</v>
      </c>
    </row>
    <row r="49" spans="1:10" ht="14.25" customHeight="1" x14ac:dyDescent="0.3">
      <c r="A49" s="11" t="s">
        <v>70</v>
      </c>
      <c r="B49" s="104" t="s">
        <v>68</v>
      </c>
      <c r="C49" s="105"/>
      <c r="D49" s="105"/>
      <c r="E49" s="105"/>
      <c r="F49" s="105"/>
      <c r="G49" s="105"/>
      <c r="H49" s="105"/>
      <c r="I49" s="105"/>
      <c r="J49" s="106"/>
    </row>
    <row r="50" spans="1:10" ht="14.25" customHeight="1" x14ac:dyDescent="0.3">
      <c r="A50" s="4" t="s">
        <v>71</v>
      </c>
      <c r="B50" s="7" t="s">
        <v>68</v>
      </c>
      <c r="C50" s="5">
        <v>5.5</v>
      </c>
      <c r="D50" s="5">
        <v>8.5</v>
      </c>
      <c r="E50" s="6">
        <f t="shared" ref="E50:E54" si="24">C50*D50</f>
        <v>46.75</v>
      </c>
      <c r="F50" s="6">
        <f t="shared" ref="F50:F54" si="25">ROUNDUP(E50/10,0)</f>
        <v>5</v>
      </c>
      <c r="G50" s="7">
        <v>21.82</v>
      </c>
      <c r="H50" s="16" cm="1">
        <f t="array" ref="H50">_xlfn.CEILING.MATH(_xlfn.SWITCH(J50, "A", 13.21, "B", 4.86, "C", 10.56, "D", 10.87, "E", 16.75, "F", 22, "G", 13.2, "H", 19.3, "I", 17.5, "J", 12.8, "K", 17.3, "L", 17, -1))</f>
        <v>11</v>
      </c>
      <c r="I50" s="9">
        <f t="shared" ref="I50:I54" si="26">2*F50*(G50+H50+6)</f>
        <v>388.2</v>
      </c>
      <c r="J50" s="10" t="s">
        <v>17</v>
      </c>
    </row>
    <row r="51" spans="1:10" ht="14.25" customHeight="1" x14ac:dyDescent="0.3">
      <c r="A51" s="4" t="s">
        <v>72</v>
      </c>
      <c r="B51" s="7" t="s">
        <v>68</v>
      </c>
      <c r="C51" s="5">
        <v>5.5</v>
      </c>
      <c r="D51" s="5">
        <v>8.5</v>
      </c>
      <c r="E51" s="6">
        <f t="shared" si="24"/>
        <v>46.75</v>
      </c>
      <c r="F51" s="6">
        <f t="shared" si="25"/>
        <v>5</v>
      </c>
      <c r="G51" s="7">
        <v>27.82</v>
      </c>
      <c r="H51" s="16" cm="1">
        <f t="array" ref="H51">_xlfn.CEILING.MATH(_xlfn.SWITCH(J51, "A", 13.21, "B", 4.86, "C", 10.56, "D", 10.87, "E", 16.75, "F", 22, "G", 13.2, "H", 19.3, "I", 17.5, "J", 12.8, "K", 17.3, "L", 17, -1))</f>
        <v>11</v>
      </c>
      <c r="I51" s="9">
        <f t="shared" si="26"/>
        <v>448.2</v>
      </c>
      <c r="J51" s="10" t="s">
        <v>17</v>
      </c>
    </row>
    <row r="52" spans="1:10" ht="14.25" customHeight="1" x14ac:dyDescent="0.3">
      <c r="A52" s="4" t="s">
        <v>73</v>
      </c>
      <c r="B52" s="7" t="s">
        <v>68</v>
      </c>
      <c r="C52" s="5">
        <v>5.5</v>
      </c>
      <c r="D52" s="5">
        <v>8.5</v>
      </c>
      <c r="E52" s="6">
        <f t="shared" si="24"/>
        <v>46.75</v>
      </c>
      <c r="F52" s="6">
        <f t="shared" si="25"/>
        <v>5</v>
      </c>
      <c r="G52" s="7">
        <v>33.53</v>
      </c>
      <c r="H52" s="16" cm="1">
        <f t="array" ref="H52">_xlfn.CEILING.MATH(_xlfn.SWITCH(J52, "A", 13.21, "B", 4.86, "C", 10.56, "D", 10.87, "E", 16.75, "F", 22, "G", 13.2, "H", 19.3, "I", 17.5, "J", 12.8, "K", 17.3, "L", 17, -1))</f>
        <v>11</v>
      </c>
      <c r="I52" s="9">
        <f t="shared" si="26"/>
        <v>505.3</v>
      </c>
      <c r="J52" s="10" t="s">
        <v>17</v>
      </c>
    </row>
    <row r="53" spans="1:10" ht="14.25" customHeight="1" x14ac:dyDescent="0.3">
      <c r="A53" s="4" t="s">
        <v>74</v>
      </c>
      <c r="B53" s="7" t="s">
        <v>68</v>
      </c>
      <c r="C53" s="5">
        <v>5.5</v>
      </c>
      <c r="D53" s="5">
        <v>8.5</v>
      </c>
      <c r="E53" s="6">
        <f t="shared" si="24"/>
        <v>46.75</v>
      </c>
      <c r="F53" s="6">
        <f t="shared" si="25"/>
        <v>5</v>
      </c>
      <c r="G53" s="7">
        <v>39.53</v>
      </c>
      <c r="H53" s="16" cm="1">
        <f t="array" ref="H53">_xlfn.CEILING.MATH(_xlfn.SWITCH(J53, "A", 13.21, "B", 4.86, "C", 10.56, "D", 10.87, "E", 16.75, "F", 22, "G", 13.2, "H", 19.3, "I", 17.5, "J", 12.8, "K", 17.3, "L", 17, -1))</f>
        <v>11</v>
      </c>
      <c r="I53" s="9">
        <f t="shared" si="26"/>
        <v>565.29999999999995</v>
      </c>
      <c r="J53" s="10" t="s">
        <v>17</v>
      </c>
    </row>
    <row r="54" spans="1:10" ht="14.25" customHeight="1" x14ac:dyDescent="0.3">
      <c r="A54" s="4" t="s">
        <v>75</v>
      </c>
      <c r="B54" s="7" t="s">
        <v>68</v>
      </c>
      <c r="C54" s="5">
        <v>5.5</v>
      </c>
      <c r="D54" s="5">
        <v>8.5</v>
      </c>
      <c r="E54" s="6">
        <f t="shared" si="24"/>
        <v>46.75</v>
      </c>
      <c r="F54" s="6">
        <f t="shared" si="25"/>
        <v>5</v>
      </c>
      <c r="G54" s="7">
        <v>45.24</v>
      </c>
      <c r="H54" s="16" cm="1">
        <f t="array" ref="H54">_xlfn.CEILING.MATH(_xlfn.SWITCH(J54, "A", 13.21, "B", 4.86, "C", 10.56, "D", 10.87, "E", 16.75, "F", 22, "G", 13.2, "H", 19.3, "I", 17.5, "J", 12.8, "K", 17.3, "L", 17, -1))</f>
        <v>11</v>
      </c>
      <c r="I54" s="9">
        <f t="shared" si="26"/>
        <v>622.4</v>
      </c>
      <c r="J54" s="10" t="s">
        <v>17</v>
      </c>
    </row>
    <row r="55" spans="1:10" ht="14.25" customHeight="1" x14ac:dyDescent="0.3">
      <c r="A55" s="12" t="s">
        <v>76</v>
      </c>
      <c r="B55" s="107" t="s">
        <v>23</v>
      </c>
      <c r="C55" s="108"/>
      <c r="D55" s="108"/>
      <c r="E55" s="108"/>
      <c r="F55" s="108"/>
      <c r="G55" s="108"/>
      <c r="H55" s="108"/>
      <c r="I55" s="108"/>
      <c r="J55" s="109"/>
    </row>
    <row r="56" spans="1:10" ht="14.25" customHeight="1" x14ac:dyDescent="0.3">
      <c r="A56" s="12" t="s">
        <v>77</v>
      </c>
      <c r="B56" s="110"/>
      <c r="C56" s="111"/>
      <c r="D56" s="111"/>
      <c r="E56" s="111"/>
      <c r="F56" s="111"/>
      <c r="G56" s="111"/>
      <c r="H56" s="111"/>
      <c r="I56" s="111"/>
      <c r="J56" s="112"/>
    </row>
    <row r="57" spans="1:10" ht="14.25" customHeight="1" x14ac:dyDescent="0.3">
      <c r="A57" s="4" t="s">
        <v>78</v>
      </c>
      <c r="B57" s="7" t="s">
        <v>68</v>
      </c>
      <c r="C57" s="5">
        <v>8.5</v>
      </c>
      <c r="D57" s="5">
        <v>11.5</v>
      </c>
      <c r="E57" s="6">
        <f t="shared" ref="E57:E64" si="27">C57*D57</f>
        <v>97.75</v>
      </c>
      <c r="F57" s="6">
        <f t="shared" ref="F57:F64" si="28">ROUNDUP(E57/10,0)</f>
        <v>10</v>
      </c>
      <c r="G57" s="7">
        <v>0.5</v>
      </c>
      <c r="H57" s="16" cm="1">
        <f t="array" ref="H57">_xlfn.CEILING.MATH(_xlfn.SWITCH(J57, "A", 13.21, "B", 4.86, "C", 10.56, "D", 10.87, "E", 16.75, "F", 22, "G", 13.2, "H", 19.3, "I", 17.5, "J", 12.8, "K", 17.3, "L", 17, -1))</f>
        <v>11</v>
      </c>
      <c r="I57" s="9">
        <f t="shared" ref="I57:I64" si="29">2*F57*(G57+H57+6)</f>
        <v>350</v>
      </c>
      <c r="J57" s="10" t="s">
        <v>26</v>
      </c>
    </row>
    <row r="58" spans="1:10" ht="14.25" customHeight="1" x14ac:dyDescent="0.3">
      <c r="A58" s="4" t="s">
        <v>79</v>
      </c>
      <c r="B58" s="7" t="s">
        <v>68</v>
      </c>
      <c r="C58" s="5">
        <v>20</v>
      </c>
      <c r="D58" s="5">
        <v>16.5</v>
      </c>
      <c r="E58" s="6">
        <f t="shared" si="27"/>
        <v>330</v>
      </c>
      <c r="F58" s="6">
        <f t="shared" si="28"/>
        <v>33</v>
      </c>
      <c r="G58" s="7">
        <v>5</v>
      </c>
      <c r="H58" s="16" cm="1">
        <f t="array" ref="H58">_xlfn.CEILING.MATH(_xlfn.SWITCH(J58, "A", 13.21, "B", 4.86, "C", 10.56, "D", 10.87, "E", 16.75, "F", 22, "G", 13.2, "H", 19.3, "I", 17.5, "J", 12.8, "K", 17.3, "L", 17, -1))</f>
        <v>22</v>
      </c>
      <c r="I58" s="9">
        <f t="shared" si="29"/>
        <v>2178</v>
      </c>
      <c r="J58" s="10" t="s">
        <v>28</v>
      </c>
    </row>
    <row r="59" spans="1:10" ht="14.25" customHeight="1" x14ac:dyDescent="0.3">
      <c r="A59" s="4" t="s">
        <v>80</v>
      </c>
      <c r="B59" s="7" t="s">
        <v>68</v>
      </c>
      <c r="C59" s="5">
        <v>6.5</v>
      </c>
      <c r="D59" s="5">
        <v>11.5</v>
      </c>
      <c r="E59" s="6">
        <f t="shared" si="27"/>
        <v>74.75</v>
      </c>
      <c r="F59" s="6">
        <f t="shared" si="28"/>
        <v>8</v>
      </c>
      <c r="G59" s="7">
        <v>84.64</v>
      </c>
      <c r="H59" s="16" cm="1">
        <f t="array" ref="H59">_xlfn.CEILING.MATH(_xlfn.SWITCH(J59, "A", 13.21, "B", 4.86, "C", 10.56, "D", 10.87, "E", 16.75, "F", 22, "G", 13.2, "H", 19.3, "I", 17.5, "J", 12.8, "K", 17.3, "L", 17, -1))</f>
        <v>17</v>
      </c>
      <c r="I59" s="9">
        <f t="shared" si="29"/>
        <v>1722.24</v>
      </c>
      <c r="J59" s="10" t="s">
        <v>30</v>
      </c>
    </row>
    <row r="60" spans="1:10" ht="14.25" customHeight="1" x14ac:dyDescent="0.3">
      <c r="A60" s="4" t="s">
        <v>81</v>
      </c>
      <c r="B60" s="7" t="s">
        <v>68</v>
      </c>
      <c r="C60" s="5">
        <v>6.5</v>
      </c>
      <c r="D60" s="5">
        <v>11.5</v>
      </c>
      <c r="E60" s="6">
        <f t="shared" si="27"/>
        <v>74.75</v>
      </c>
      <c r="F60" s="6">
        <f t="shared" si="28"/>
        <v>8</v>
      </c>
      <c r="G60" s="7">
        <v>91.78</v>
      </c>
      <c r="H60" s="16" cm="1">
        <f t="array" ref="H60">_xlfn.CEILING.MATH(_xlfn.SWITCH(J60, "A", 13.21, "B", 4.86, "C", 10.56, "D", 10.87, "E", 16.75, "F", 22, "G", 13.2, "H", 19.3, "I", 17.5, "J", 12.8, "K", 17.3, "L", 17, -1))</f>
        <v>17</v>
      </c>
      <c r="I60" s="9">
        <f t="shared" si="29"/>
        <v>1836.48</v>
      </c>
      <c r="J60" s="10" t="s">
        <v>30</v>
      </c>
    </row>
    <row r="61" spans="1:10" ht="14.25" customHeight="1" x14ac:dyDescent="0.3">
      <c r="A61" s="4" t="s">
        <v>82</v>
      </c>
      <c r="B61" s="7" t="s">
        <v>68</v>
      </c>
      <c r="C61" s="5">
        <v>6.5</v>
      </c>
      <c r="D61" s="5">
        <v>11.5</v>
      </c>
      <c r="E61" s="6">
        <f t="shared" si="27"/>
        <v>74.75</v>
      </c>
      <c r="F61" s="6">
        <f t="shared" si="28"/>
        <v>8</v>
      </c>
      <c r="G61" s="7">
        <v>98.78</v>
      </c>
      <c r="H61" s="16" cm="1">
        <f t="array" ref="H61">_xlfn.CEILING.MATH(_xlfn.SWITCH(J61, "A", 13.21, "B", 4.86, "C", 10.56, "D", 10.87, "E", 16.75, "F", 22, "G", 13.2, "H", 19.3, "I", 17.5, "J", 12.8, "K", 17.3, "L", 17, -1))</f>
        <v>17</v>
      </c>
      <c r="I61" s="9">
        <f t="shared" si="29"/>
        <v>1948.48</v>
      </c>
      <c r="J61" s="10" t="s">
        <v>30</v>
      </c>
    </row>
    <row r="62" spans="1:10" ht="14.25" customHeight="1" x14ac:dyDescent="0.3">
      <c r="A62" s="4" t="s">
        <v>83</v>
      </c>
      <c r="B62" s="7" t="s">
        <v>68</v>
      </c>
      <c r="C62" s="5">
        <v>6.5</v>
      </c>
      <c r="D62" s="5">
        <v>11.5</v>
      </c>
      <c r="E62" s="6">
        <f t="shared" si="27"/>
        <v>74.75</v>
      </c>
      <c r="F62" s="6">
        <f t="shared" si="28"/>
        <v>8</v>
      </c>
      <c r="G62" s="7">
        <v>105.92</v>
      </c>
      <c r="H62" s="16" cm="1">
        <f t="array" ref="H62">_xlfn.CEILING.MATH(_xlfn.SWITCH(J62, "A", 13.21, "B", 4.86, "C", 10.56, "D", 10.87, "E", 16.75, "F", 22, "G", 13.2, "H", 19.3, "I", 17.5, "J", 12.8, "K", 17.3, "L", 17, -1))</f>
        <v>17</v>
      </c>
      <c r="I62" s="9">
        <f t="shared" si="29"/>
        <v>2062.7200000000003</v>
      </c>
      <c r="J62" s="10" t="s">
        <v>30</v>
      </c>
    </row>
    <row r="63" spans="1:10" ht="14.25" customHeight="1" x14ac:dyDescent="0.3">
      <c r="A63" s="4" t="s">
        <v>84</v>
      </c>
      <c r="B63" s="7" t="s">
        <v>68</v>
      </c>
      <c r="C63" s="5">
        <v>6.5</v>
      </c>
      <c r="D63" s="5">
        <v>11.5</v>
      </c>
      <c r="E63" s="6">
        <f t="shared" si="27"/>
        <v>74.75</v>
      </c>
      <c r="F63" s="6">
        <f t="shared" si="28"/>
        <v>8</v>
      </c>
      <c r="G63" s="7">
        <v>112.92</v>
      </c>
      <c r="H63" s="16" cm="1">
        <f t="array" ref="H63">_xlfn.CEILING.MATH(_xlfn.SWITCH(J63, "A", 13.21, "B", 4.86, "C", 10.56, "D", 10.87, "E", 16.75, "F", 22, "G", 13.2, "H", 19.3, "I", 17.5, "J", 12.8, "K", 17.3, "L", 17, -1))</f>
        <v>17</v>
      </c>
      <c r="I63" s="9">
        <f t="shared" si="29"/>
        <v>2174.7200000000003</v>
      </c>
      <c r="J63" s="10" t="s">
        <v>30</v>
      </c>
    </row>
    <row r="64" spans="1:10" ht="14.25" customHeight="1" x14ac:dyDescent="0.3">
      <c r="A64" s="4" t="s">
        <v>85</v>
      </c>
      <c r="B64" s="7" t="s">
        <v>68</v>
      </c>
      <c r="C64" s="5">
        <v>10</v>
      </c>
      <c r="D64" s="5">
        <v>20</v>
      </c>
      <c r="E64" s="6">
        <f t="shared" si="27"/>
        <v>200</v>
      </c>
      <c r="F64" s="6">
        <f t="shared" si="28"/>
        <v>20</v>
      </c>
      <c r="G64" s="7">
        <v>17.5</v>
      </c>
      <c r="H64" s="16" cm="1">
        <f t="array" ref="H64">_xlfn.CEILING.MATH(_xlfn.SWITCH(J64, "A", 13.21, "B", 4.86, "C", 10.56, "D", 10.87, "E", 16.75, "F", 22, "G", 13.2, "H", 19.3, "I", 17.5, "J", 12.8, "K", 17.3, "L", 17, -1))</f>
        <v>14</v>
      </c>
      <c r="I64" s="9">
        <f t="shared" si="29"/>
        <v>1500</v>
      </c>
      <c r="J64" s="10" t="s">
        <v>36</v>
      </c>
    </row>
    <row r="65" spans="1:10" ht="14.25" customHeight="1" x14ac:dyDescent="0.3">
      <c r="A65" s="13" t="s">
        <v>86</v>
      </c>
      <c r="B65" s="13"/>
      <c r="C65" s="13"/>
      <c r="D65" s="13"/>
      <c r="E65" s="13"/>
      <c r="F65" s="13">
        <f>SUM(F47:F64)</f>
        <v>140</v>
      </c>
      <c r="G65" s="13"/>
      <c r="H65" s="14"/>
      <c r="I65" s="13">
        <f>SUM(I47:I64)</f>
        <v>16980.16</v>
      </c>
      <c r="J65" s="15"/>
    </row>
    <row r="66" spans="1:10" ht="14.25" customHeight="1" x14ac:dyDescent="0.3">
      <c r="A66" s="13"/>
      <c r="B66" s="13"/>
      <c r="C66" s="13"/>
      <c r="D66" s="13"/>
      <c r="E66" s="13"/>
      <c r="F66" s="13"/>
      <c r="G66" s="13"/>
      <c r="H66" s="14"/>
      <c r="I66" s="13"/>
      <c r="J66" s="15"/>
    </row>
    <row r="67" spans="1:10" ht="14.25" customHeight="1" x14ac:dyDescent="0.3">
      <c r="A67" s="4" t="s">
        <v>87</v>
      </c>
      <c r="B67" s="4" t="s">
        <v>88</v>
      </c>
      <c r="C67" s="5">
        <v>6.5</v>
      </c>
      <c r="D67" s="5">
        <v>11.5</v>
      </c>
      <c r="E67" s="6">
        <f t="shared" ref="E67:E68" si="30">C67*D67</f>
        <v>74.75</v>
      </c>
      <c r="F67" s="6">
        <f t="shared" ref="F67:F68" si="31">ROUNDUP(E67/10,0)</f>
        <v>8</v>
      </c>
      <c r="G67" s="7">
        <v>32</v>
      </c>
      <c r="H67" s="16" cm="1">
        <f t="array" ref="H67">_xlfn.CEILING.MATH(_xlfn.SWITCH(J67, "A", 13.21, "B", 4.86, "C", 10.56, "D", 10.87, "E", 16.75, "F", 22, "G", 13.2, "H", 19.3, "I", 17.5, "J", 12.8, "K", 17.3, "L", 17, -1))</f>
        <v>17</v>
      </c>
      <c r="I67" s="9">
        <f t="shared" ref="I67:I68" si="32">2*F67*(G67+H67+6)</f>
        <v>880</v>
      </c>
      <c r="J67" s="10" t="s">
        <v>30</v>
      </c>
    </row>
    <row r="68" spans="1:10" ht="14.25" customHeight="1" x14ac:dyDescent="0.3">
      <c r="A68" s="4" t="s">
        <v>89</v>
      </c>
      <c r="B68" s="4" t="s">
        <v>88</v>
      </c>
      <c r="C68" s="5">
        <v>6.5</v>
      </c>
      <c r="D68" s="5">
        <v>11.5</v>
      </c>
      <c r="E68" s="6">
        <f t="shared" si="30"/>
        <v>74.75</v>
      </c>
      <c r="F68" s="6">
        <f t="shared" si="31"/>
        <v>8</v>
      </c>
      <c r="G68" s="7">
        <v>27</v>
      </c>
      <c r="H68" s="16" cm="1">
        <f t="array" ref="H68">_xlfn.CEILING.MATH(_xlfn.SWITCH(J68, "A", 13.21, "B", 4.86, "C", 10.56, "D", 10.87, "E", 16.75, "F", 22, "G", 13.2, "H", 19.3, "I", 17.5, "J", 12.8, "K", 17.3, "L", 17, -1))</f>
        <v>17</v>
      </c>
      <c r="I68" s="9">
        <f t="shared" si="32"/>
        <v>800</v>
      </c>
      <c r="J68" s="10" t="s">
        <v>30</v>
      </c>
    </row>
    <row r="69" spans="1:10" ht="14.25" customHeight="1" x14ac:dyDescent="0.3">
      <c r="A69" s="12" t="s">
        <v>90</v>
      </c>
      <c r="B69" s="107" t="s">
        <v>23</v>
      </c>
      <c r="C69" s="108"/>
      <c r="D69" s="108"/>
      <c r="E69" s="108"/>
      <c r="F69" s="108"/>
      <c r="G69" s="108"/>
      <c r="H69" s="108"/>
      <c r="I69" s="108"/>
      <c r="J69" s="109"/>
    </row>
    <row r="70" spans="1:10" ht="14.25" customHeight="1" x14ac:dyDescent="0.3">
      <c r="A70" s="12" t="s">
        <v>91</v>
      </c>
      <c r="B70" s="110"/>
      <c r="C70" s="111"/>
      <c r="D70" s="111"/>
      <c r="E70" s="111"/>
      <c r="F70" s="111"/>
      <c r="G70" s="111"/>
      <c r="H70" s="111"/>
      <c r="I70" s="111"/>
      <c r="J70" s="112"/>
    </row>
    <row r="71" spans="1:10" ht="14.25" customHeight="1" x14ac:dyDescent="0.3">
      <c r="A71" s="4" t="s">
        <v>92</v>
      </c>
      <c r="B71" s="4" t="s">
        <v>88</v>
      </c>
      <c r="C71" s="5">
        <v>10</v>
      </c>
      <c r="D71" s="5">
        <v>20</v>
      </c>
      <c r="E71" s="6">
        <f t="shared" ref="E71:E74" si="33">C71*D71</f>
        <v>200</v>
      </c>
      <c r="F71" s="6">
        <f t="shared" ref="F71:F74" si="34">ROUNDUP(E71/10,0)</f>
        <v>20</v>
      </c>
      <c r="G71" s="7">
        <v>0.5</v>
      </c>
      <c r="H71" s="16" cm="1">
        <f t="array" ref="H71">_xlfn.CEILING.MATH(_xlfn.SWITCH(J71, "A", 13.21, "B", 4.86, "C", 10.56, "D", 10.87, "E", 16.75, "F", 22, "G", 13.2, "H", 19.3, "I", 17.5, "J", 12.8, "K", 17.3, "L", 17, -1))</f>
        <v>14</v>
      </c>
      <c r="I71" s="9">
        <f t="shared" ref="I71:I74" si="35">2*F71*(G71+H71+6)</f>
        <v>820</v>
      </c>
      <c r="J71" s="10" t="s">
        <v>36</v>
      </c>
    </row>
    <row r="72" spans="1:10" ht="14.25" customHeight="1" x14ac:dyDescent="0.3">
      <c r="A72" s="4" t="s">
        <v>93</v>
      </c>
      <c r="B72" s="4" t="s">
        <v>88</v>
      </c>
      <c r="C72" s="7">
        <v>5</v>
      </c>
      <c r="D72" s="7">
        <v>14</v>
      </c>
      <c r="E72" s="6">
        <f t="shared" si="33"/>
        <v>70</v>
      </c>
      <c r="F72" s="6">
        <f t="shared" si="34"/>
        <v>7</v>
      </c>
      <c r="G72" s="7">
        <v>56.07</v>
      </c>
      <c r="H72" s="16" cm="1">
        <f t="array" ref="H72">_xlfn.CEILING.MATH(_xlfn.SWITCH(J72, "A", 13.21, "B", 4.86, "C", 10.56, "D", 10.87, "E", 16.75, "F", 22, "G", 13.2, "H", 19.3, "I", 17.5, "J", 12.8, "K", 17.3, "L", 17, -1))</f>
        <v>17</v>
      </c>
      <c r="I72" s="9">
        <f t="shared" si="35"/>
        <v>1106.98</v>
      </c>
      <c r="J72" s="10" t="s">
        <v>94</v>
      </c>
    </row>
    <row r="73" spans="1:10" ht="14.25" customHeight="1" x14ac:dyDescent="0.3">
      <c r="A73" s="4" t="s">
        <v>95</v>
      </c>
      <c r="B73" s="4" t="s">
        <v>88</v>
      </c>
      <c r="C73" s="7">
        <v>9</v>
      </c>
      <c r="D73" s="7">
        <v>6.5</v>
      </c>
      <c r="E73" s="6">
        <f t="shared" si="33"/>
        <v>58.5</v>
      </c>
      <c r="F73" s="6">
        <f t="shared" si="34"/>
        <v>6</v>
      </c>
      <c r="G73" s="7">
        <v>12.54</v>
      </c>
      <c r="H73" s="16" cm="1">
        <f t="array" ref="H73">_xlfn.CEILING.MATH(_xlfn.SWITCH(J73, "A", 13.21, "B", 4.86, "C", 10.56, "D", 10.87, "E", 16.75, "F", 22, "G", 13.2, "H", 19.3, "I", 17.5, "J", 12.8, "K", 17.3, "L", 17, -1))</f>
        <v>18</v>
      </c>
      <c r="I73" s="9">
        <f t="shared" si="35"/>
        <v>438.48</v>
      </c>
      <c r="J73" s="10" t="s">
        <v>48</v>
      </c>
    </row>
    <row r="74" spans="1:10" ht="14.25" customHeight="1" x14ac:dyDescent="0.3">
      <c r="A74" s="4" t="s">
        <v>96</v>
      </c>
      <c r="B74" s="4" t="s">
        <v>88</v>
      </c>
      <c r="C74" s="7">
        <v>6.5</v>
      </c>
      <c r="D74" s="7">
        <v>9</v>
      </c>
      <c r="E74" s="6">
        <f t="shared" si="33"/>
        <v>58.5</v>
      </c>
      <c r="F74" s="6">
        <f t="shared" si="34"/>
        <v>6</v>
      </c>
      <c r="G74" s="7">
        <v>21.88</v>
      </c>
      <c r="H74" s="16" cm="1">
        <f t="array" ref="H74">_xlfn.CEILING.MATH(_xlfn.SWITCH(J74, "A", 13.21, "B", 4.86, "C", 10.56, "D", 10.87, "E", 16.75, "F", 22, "G", 13.2, "H", 19.3, "I", 17.5, "J", 12.8, "K", 17.3, "L", 17, -1))</f>
        <v>18</v>
      </c>
      <c r="I74" s="9">
        <f t="shared" si="35"/>
        <v>550.55999999999995</v>
      </c>
      <c r="J74" s="10" t="s">
        <v>48</v>
      </c>
    </row>
    <row r="75" spans="1:10" ht="14.25" customHeight="1" x14ac:dyDescent="0.3">
      <c r="A75" s="11" t="s">
        <v>97</v>
      </c>
      <c r="B75" s="113" t="s">
        <v>88</v>
      </c>
      <c r="C75" s="105"/>
      <c r="D75" s="105"/>
      <c r="E75" s="105"/>
      <c r="F75" s="105"/>
      <c r="G75" s="105"/>
      <c r="H75" s="105"/>
      <c r="I75" s="105"/>
      <c r="J75" s="106"/>
    </row>
    <row r="76" spans="1:10" ht="14.25" customHeight="1" x14ac:dyDescent="0.3">
      <c r="A76" s="4" t="s">
        <v>98</v>
      </c>
      <c r="B76" s="4" t="s">
        <v>88</v>
      </c>
      <c r="C76" s="7">
        <v>4.5</v>
      </c>
      <c r="D76" s="7">
        <v>9.5</v>
      </c>
      <c r="E76" s="6">
        <f t="shared" ref="E76:E80" si="36">C76*D76</f>
        <v>42.75</v>
      </c>
      <c r="F76" s="6">
        <f t="shared" ref="F76:F80" si="37">ROUNDUP(E76/10,0)</f>
        <v>5</v>
      </c>
      <c r="G76" s="7">
        <v>11.5</v>
      </c>
      <c r="H76" s="16" cm="1">
        <f t="array" ref="H76">_xlfn.CEILING.MATH(_xlfn.SWITCH(J76, "A", 13.21, "B", 4.86, "C", 10.56, "D", 10.87, "E", 16.75, "F", 22, "G", 13.2, "H", 19.3, "I", 17.5, "J", 12.8, "K", 17.3, "L", 17, -1))</f>
        <v>13</v>
      </c>
      <c r="I76" s="9">
        <f t="shared" ref="I76:I80" si="38">2*F76*(G76+H76+6)</f>
        <v>305</v>
      </c>
      <c r="J76" s="10" t="s">
        <v>52</v>
      </c>
    </row>
    <row r="77" spans="1:10" ht="14.25" customHeight="1" x14ac:dyDescent="0.3">
      <c r="A77" s="4" t="s">
        <v>99</v>
      </c>
      <c r="B77" s="4" t="s">
        <v>88</v>
      </c>
      <c r="C77" s="7">
        <v>4.5</v>
      </c>
      <c r="D77" s="7">
        <v>9.5</v>
      </c>
      <c r="E77" s="6">
        <f t="shared" si="36"/>
        <v>42.75</v>
      </c>
      <c r="F77" s="6">
        <f t="shared" si="37"/>
        <v>5</v>
      </c>
      <c r="G77" s="7">
        <v>17</v>
      </c>
      <c r="H77" s="16" cm="1">
        <f t="array" ref="H77">_xlfn.CEILING.MATH(_xlfn.SWITCH(J77, "A", 13.21, "B", 4.86, "C", 10.56, "D", 10.87, "E", 16.75, "F", 22, "G", 13.2, "H", 19.3, "I", 17.5, "J", 12.8, "K", 17.3, "L", 17, -1))</f>
        <v>13</v>
      </c>
      <c r="I77" s="9">
        <f t="shared" si="38"/>
        <v>360</v>
      </c>
      <c r="J77" s="10" t="s">
        <v>52</v>
      </c>
    </row>
    <row r="78" spans="1:10" ht="14.25" customHeight="1" x14ac:dyDescent="0.3">
      <c r="A78" s="4" t="s">
        <v>100</v>
      </c>
      <c r="B78" s="4" t="s">
        <v>88</v>
      </c>
      <c r="C78" s="7">
        <v>4.5</v>
      </c>
      <c r="D78" s="7">
        <v>9.5</v>
      </c>
      <c r="E78" s="6">
        <f t="shared" si="36"/>
        <v>42.75</v>
      </c>
      <c r="F78" s="6">
        <f t="shared" si="37"/>
        <v>5</v>
      </c>
      <c r="G78" s="7">
        <v>22.5</v>
      </c>
      <c r="H78" s="16" cm="1">
        <f t="array" ref="H78">_xlfn.CEILING.MATH(_xlfn.SWITCH(J78, "A", 13.21, "B", 4.86, "C", 10.56, "D", 10.87, "E", 16.75, "F", 22, "G", 13.2, "H", 19.3, "I", 17.5, "J", 12.8, "K", 17.3, "L", 17, -1))</f>
        <v>13</v>
      </c>
      <c r="I78" s="9">
        <f t="shared" si="38"/>
        <v>415</v>
      </c>
      <c r="J78" s="10" t="s">
        <v>52</v>
      </c>
    </row>
    <row r="79" spans="1:10" ht="14.25" customHeight="1" x14ac:dyDescent="0.3">
      <c r="A79" s="4" t="s">
        <v>101</v>
      </c>
      <c r="B79" s="4" t="s">
        <v>88</v>
      </c>
      <c r="C79" s="7">
        <v>4.5</v>
      </c>
      <c r="D79" s="7">
        <v>9.5</v>
      </c>
      <c r="E79" s="6">
        <f t="shared" si="36"/>
        <v>42.75</v>
      </c>
      <c r="F79" s="6">
        <f t="shared" si="37"/>
        <v>5</v>
      </c>
      <c r="G79" s="7">
        <v>28</v>
      </c>
      <c r="H79" s="16" cm="1">
        <f t="array" ref="H79">_xlfn.CEILING.MATH(_xlfn.SWITCH(J79, "A", 13.21, "B", 4.86, "C", 10.56, "D", 10.87, "E", 16.75, "F", 22, "G", 13.2, "H", 19.3, "I", 17.5, "J", 12.8, "K", 17.3, "L", 17, -1))</f>
        <v>13</v>
      </c>
      <c r="I79" s="9">
        <f t="shared" si="38"/>
        <v>470</v>
      </c>
      <c r="J79" s="10" t="s">
        <v>52</v>
      </c>
    </row>
    <row r="80" spans="1:10" ht="14.25" customHeight="1" x14ac:dyDescent="0.3">
      <c r="A80" s="4" t="s">
        <v>102</v>
      </c>
      <c r="B80" s="4" t="s">
        <v>88</v>
      </c>
      <c r="C80" s="7">
        <v>4.5</v>
      </c>
      <c r="D80" s="7">
        <v>9.5</v>
      </c>
      <c r="E80" s="6">
        <f t="shared" si="36"/>
        <v>42.75</v>
      </c>
      <c r="F80" s="6">
        <f t="shared" si="37"/>
        <v>5</v>
      </c>
      <c r="G80" s="7">
        <v>33.5</v>
      </c>
      <c r="H80" s="16" cm="1">
        <f t="array" ref="H80">_xlfn.CEILING.MATH(_xlfn.SWITCH(J80, "A", 13.21, "B", 4.86, "C", 10.56, "D", 10.87, "E", 16.75, "F", 22, "G", 13.2, "H", 19.3, "I", 17.5, "J", 12.8, "K", 17.3, "L", 17, -1))</f>
        <v>13</v>
      </c>
      <c r="I80" s="9">
        <f t="shared" si="38"/>
        <v>525</v>
      </c>
      <c r="J80" s="10" t="s">
        <v>52</v>
      </c>
    </row>
    <row r="81" spans="1:10" ht="14.25" customHeight="1" x14ac:dyDescent="0.3">
      <c r="A81" s="12" t="s">
        <v>103</v>
      </c>
      <c r="B81" s="114" t="s">
        <v>23</v>
      </c>
      <c r="C81" s="108"/>
      <c r="D81" s="108"/>
      <c r="E81" s="108"/>
      <c r="F81" s="108"/>
      <c r="G81" s="108"/>
      <c r="H81" s="108"/>
      <c r="I81" s="108"/>
      <c r="J81" s="109"/>
    </row>
    <row r="82" spans="1:10" ht="14.25" customHeight="1" x14ac:dyDescent="0.3">
      <c r="A82" s="12" t="s">
        <v>104</v>
      </c>
      <c r="B82" s="110"/>
      <c r="C82" s="111"/>
      <c r="D82" s="111"/>
      <c r="E82" s="111"/>
      <c r="F82" s="111"/>
      <c r="G82" s="111"/>
      <c r="H82" s="111"/>
      <c r="I82" s="111"/>
      <c r="J82" s="112"/>
    </row>
    <row r="83" spans="1:10" ht="14.25" customHeight="1" x14ac:dyDescent="0.3">
      <c r="A83" s="4" t="s">
        <v>105</v>
      </c>
      <c r="B83" s="4" t="s">
        <v>88</v>
      </c>
      <c r="C83" s="7">
        <v>5.5</v>
      </c>
      <c r="D83" s="7">
        <v>12.5</v>
      </c>
      <c r="E83" s="6">
        <f t="shared" ref="E83:E88" si="39">C83*D83</f>
        <v>68.75</v>
      </c>
      <c r="F83" s="6">
        <f t="shared" ref="F83:F88" si="40">ROUNDUP(E83/10,0)</f>
        <v>7</v>
      </c>
      <c r="G83" s="7">
        <v>10.5</v>
      </c>
      <c r="H83" s="16" cm="1">
        <f t="array" ref="H83">_xlfn.CEILING.MATH(_xlfn.SWITCH(J83, "A", 13.21, "B", 4.86, "C", 10.56, "D", 10.87, "E", 16.75, "F", 22, "G", 13.2, "H", 19.3, "I", 17.5, "J", 12.8, "K", 17.3, "L", 17, -1))</f>
        <v>18</v>
      </c>
      <c r="I83" s="9">
        <f t="shared" ref="I83:I88" si="41">2*F83*(G83+H83+6)</f>
        <v>483</v>
      </c>
      <c r="J83" s="10" t="s">
        <v>60</v>
      </c>
    </row>
    <row r="84" spans="1:10" ht="14.25" customHeight="1" x14ac:dyDescent="0.3">
      <c r="A84" s="4" t="s">
        <v>106</v>
      </c>
      <c r="B84" s="4" t="s">
        <v>88</v>
      </c>
      <c r="C84" s="7">
        <v>5.5</v>
      </c>
      <c r="D84" s="7">
        <v>12.5</v>
      </c>
      <c r="E84" s="6">
        <f t="shared" si="39"/>
        <v>68.75</v>
      </c>
      <c r="F84" s="6">
        <f t="shared" si="40"/>
        <v>7</v>
      </c>
      <c r="G84" s="7">
        <v>17.5</v>
      </c>
      <c r="H84" s="16" cm="1">
        <f t="array" ref="H84">_xlfn.CEILING.MATH(_xlfn.SWITCH(J84, "A", 13.21, "B", 4.86, "C", 10.56, "D", 10.87, "E", 16.75, "F", 22, "G", 13.2, "H", 19.3, "I", 17.5, "J", 12.8, "K", 17.3, "L", 17, -1))</f>
        <v>18</v>
      </c>
      <c r="I84" s="9">
        <f t="shared" si="41"/>
        <v>581</v>
      </c>
      <c r="J84" s="10" t="s">
        <v>60</v>
      </c>
    </row>
    <row r="85" spans="1:10" ht="14.25" customHeight="1" x14ac:dyDescent="0.3">
      <c r="A85" s="4" t="s">
        <v>107</v>
      </c>
      <c r="B85" s="4" t="s">
        <v>88</v>
      </c>
      <c r="C85" s="7">
        <v>5.5</v>
      </c>
      <c r="D85" s="7">
        <v>12.5</v>
      </c>
      <c r="E85" s="6">
        <f t="shared" si="39"/>
        <v>68.75</v>
      </c>
      <c r="F85" s="6">
        <f t="shared" si="40"/>
        <v>7</v>
      </c>
      <c r="G85" s="7">
        <v>23.5</v>
      </c>
      <c r="H85" s="16" cm="1">
        <f t="array" ref="H85">_xlfn.CEILING.MATH(_xlfn.SWITCH(J85, "A", 13.21, "B", 4.86, "C", 10.56, "D", 10.87, "E", 16.75, "F", 22, "G", 13.2, "H", 19.3, "I", 17.5, "J", 12.8, "K", 17.3, "L", 17, -1))</f>
        <v>18</v>
      </c>
      <c r="I85" s="9">
        <f t="shared" si="41"/>
        <v>665</v>
      </c>
      <c r="J85" s="10" t="s">
        <v>60</v>
      </c>
    </row>
    <row r="86" spans="1:10" ht="14.25" customHeight="1" x14ac:dyDescent="0.3">
      <c r="A86" s="4" t="s">
        <v>108</v>
      </c>
      <c r="B86" s="4" t="s">
        <v>88</v>
      </c>
      <c r="C86" s="7">
        <v>5.5</v>
      </c>
      <c r="D86" s="7">
        <v>12.5</v>
      </c>
      <c r="E86" s="6">
        <f t="shared" si="39"/>
        <v>68.75</v>
      </c>
      <c r="F86" s="6">
        <f t="shared" si="40"/>
        <v>7</v>
      </c>
      <c r="G86" s="7">
        <v>29.5</v>
      </c>
      <c r="H86" s="16" cm="1">
        <f t="array" ref="H86">_xlfn.CEILING.MATH(_xlfn.SWITCH(J86, "A", 13.21, "B", 4.86, "C", 10.56, "D", 10.87, "E", 16.75, "F", 22, "G", 13.2, "H", 19.3, "I", 17.5, "J", 12.8, "K", 17.3, "L", 17, -1))</f>
        <v>18</v>
      </c>
      <c r="I86" s="9">
        <f t="shared" si="41"/>
        <v>749</v>
      </c>
      <c r="J86" s="10" t="s">
        <v>60</v>
      </c>
    </row>
    <row r="87" spans="1:10" ht="14.25" customHeight="1" x14ac:dyDescent="0.3">
      <c r="A87" s="4" t="s">
        <v>109</v>
      </c>
      <c r="B87" s="4" t="s">
        <v>88</v>
      </c>
      <c r="C87" s="7">
        <v>5.5</v>
      </c>
      <c r="D87" s="7">
        <v>12.5</v>
      </c>
      <c r="E87" s="6">
        <f t="shared" si="39"/>
        <v>68.75</v>
      </c>
      <c r="F87" s="6">
        <f t="shared" si="40"/>
        <v>7</v>
      </c>
      <c r="G87" s="7">
        <v>35.5</v>
      </c>
      <c r="H87" s="16" cm="1">
        <f t="array" ref="H87">_xlfn.CEILING.MATH(_xlfn.SWITCH(J87, "A", 13.21, "B", 4.86, "C", 10.56, "D", 10.87, "E", 16.75, "F", 22, "G", 13.2, "H", 19.3, "I", 17.5, "J", 12.8, "K", 17.3, "L", 17, -1))</f>
        <v>18</v>
      </c>
      <c r="I87" s="9">
        <f t="shared" si="41"/>
        <v>833</v>
      </c>
      <c r="J87" s="10" t="s">
        <v>60</v>
      </c>
    </row>
    <row r="88" spans="1:10" ht="14.25" customHeight="1" x14ac:dyDescent="0.3">
      <c r="A88" s="4" t="s">
        <v>110</v>
      </c>
      <c r="B88" s="4" t="s">
        <v>88</v>
      </c>
      <c r="C88" s="7">
        <v>5.5</v>
      </c>
      <c r="D88" s="7">
        <v>12.5</v>
      </c>
      <c r="E88" s="6">
        <f t="shared" si="39"/>
        <v>68.75</v>
      </c>
      <c r="F88" s="6">
        <f t="shared" si="40"/>
        <v>7</v>
      </c>
      <c r="G88" s="7">
        <v>41.5</v>
      </c>
      <c r="H88" s="16" cm="1">
        <f t="array" ref="H88">_xlfn.CEILING.MATH(_xlfn.SWITCH(J88, "A", 13.21, "B", 4.86, "C", 10.56, "D", 10.87, "E", 16.75, "F", 22, "G", 13.2, "H", 19.3, "I", 17.5, "J", 12.8, "K", 17.3, "L", 17, -1))</f>
        <v>18</v>
      </c>
      <c r="I88" s="9">
        <f t="shared" si="41"/>
        <v>917</v>
      </c>
      <c r="J88" s="10" t="s">
        <v>60</v>
      </c>
    </row>
    <row r="89" spans="1:10" ht="14.25" customHeight="1" x14ac:dyDescent="0.3">
      <c r="A89" s="13" t="s">
        <v>111</v>
      </c>
      <c r="B89" s="13"/>
      <c r="C89" s="13"/>
      <c r="D89" s="13"/>
      <c r="E89" s="13"/>
      <c r="F89" s="13">
        <f>SUM(F67:F88)</f>
        <v>122</v>
      </c>
      <c r="G89" s="13"/>
      <c r="H89" s="14"/>
      <c r="I89" s="13">
        <f>SUM(I67:I88)</f>
        <v>10899.02</v>
      </c>
      <c r="J89" s="15"/>
    </row>
    <row r="90" spans="1:10" ht="14.25" customHeight="1" x14ac:dyDescent="0.3">
      <c r="H90" s="17"/>
      <c r="J90" s="15"/>
    </row>
    <row r="91" spans="1:10" ht="14.25" customHeight="1" x14ac:dyDescent="0.3">
      <c r="A91" s="18" t="s">
        <v>112</v>
      </c>
      <c r="B91" s="18"/>
      <c r="C91" s="18"/>
      <c r="D91" s="18"/>
      <c r="E91" s="18"/>
      <c r="F91" s="18">
        <f>F89+F65+F45+F20</f>
        <v>535</v>
      </c>
      <c r="G91" s="18"/>
      <c r="H91" s="19"/>
      <c r="I91" s="18">
        <f>I89+I65+I45+I20</f>
        <v>57117.380000000005</v>
      </c>
      <c r="J91" s="15"/>
    </row>
    <row r="92" spans="1:10" ht="14.25" customHeight="1" x14ac:dyDescent="0.3">
      <c r="H92" s="17"/>
      <c r="J92" s="15"/>
    </row>
    <row r="93" spans="1:10" ht="14.25" customHeight="1" x14ac:dyDescent="0.3">
      <c r="H93" s="14" t="s">
        <v>113</v>
      </c>
      <c r="I93" s="13">
        <f>ROUNDUP(ROUNDUP($I$91/305,0)*1.1,0)</f>
        <v>207</v>
      </c>
      <c r="J93" s="15"/>
    </row>
    <row r="94" spans="1:10" ht="14.25" customHeight="1" x14ac:dyDescent="0.3">
      <c r="H94" s="14" t="s">
        <v>114</v>
      </c>
      <c r="I94" s="13">
        <f>ROUNDUP($I$91/2000,0)</f>
        <v>29</v>
      </c>
      <c r="J94" s="15"/>
    </row>
    <row r="95" spans="1:10" ht="14.25" customHeight="1" x14ac:dyDescent="0.3">
      <c r="H95" s="17"/>
      <c r="J95" s="15"/>
    </row>
    <row r="96" spans="1:10" ht="14.25" customHeight="1" x14ac:dyDescent="0.3">
      <c r="H96" s="17"/>
      <c r="J96" s="15"/>
    </row>
    <row r="97" spans="1:10" ht="14.25" customHeight="1" x14ac:dyDescent="0.3">
      <c r="A97" s="121" t="s">
        <v>126</v>
      </c>
      <c r="B97" s="122"/>
      <c r="C97" s="18">
        <f>I91/(F91*2)</f>
        <v>53.380728971962618</v>
      </c>
      <c r="H97" s="17"/>
      <c r="J97" s="15"/>
    </row>
    <row r="98" spans="1:10" ht="14.25" customHeight="1" x14ac:dyDescent="0.3">
      <c r="H98" s="17"/>
      <c r="J98" s="15"/>
    </row>
    <row r="99" spans="1:10" ht="14.25" customHeight="1" x14ac:dyDescent="0.3">
      <c r="A99" s="120" t="s">
        <v>127</v>
      </c>
      <c r="B99" s="116"/>
      <c r="C99" s="116"/>
      <c r="D99" s="116"/>
      <c r="E99" s="116"/>
      <c r="F99" s="116"/>
      <c r="G99" s="116"/>
      <c r="H99" s="117"/>
      <c r="J99" s="15"/>
    </row>
    <row r="100" spans="1:10" ht="14.25" customHeight="1" x14ac:dyDescent="0.3">
      <c r="A100" s="119" t="s">
        <v>128</v>
      </c>
      <c r="B100" s="117"/>
      <c r="H100" s="17"/>
      <c r="J100" s="15"/>
    </row>
    <row r="101" spans="1:10" ht="14.25" customHeight="1" x14ac:dyDescent="0.3">
      <c r="A101" s="118" t="s">
        <v>129</v>
      </c>
      <c r="B101" s="117"/>
      <c r="H101" s="17"/>
      <c r="J101" s="15"/>
    </row>
    <row r="102" spans="1:10" ht="14.25" customHeight="1" x14ac:dyDescent="0.3">
      <c r="A102" s="115" t="s">
        <v>130</v>
      </c>
      <c r="B102" s="116"/>
      <c r="C102" s="116"/>
      <c r="D102" s="116"/>
      <c r="E102" s="117"/>
      <c r="H102" s="17"/>
      <c r="J102" s="15"/>
    </row>
    <row r="103" spans="1:10" ht="14.25" customHeight="1" x14ac:dyDescent="0.3">
      <c r="H103" s="17"/>
      <c r="J103" s="15"/>
    </row>
    <row r="104" spans="1:10" ht="14.25" customHeight="1" x14ac:dyDescent="0.3">
      <c r="H104" s="17"/>
      <c r="J104" s="15"/>
    </row>
    <row r="105" spans="1:10" ht="14.25" customHeight="1" x14ac:dyDescent="0.3">
      <c r="H105" s="17"/>
      <c r="J105" s="15"/>
    </row>
    <row r="106" spans="1:10" ht="14.25" customHeight="1" x14ac:dyDescent="0.3">
      <c r="H106" s="17"/>
      <c r="J106" s="15"/>
    </row>
    <row r="107" spans="1:10" ht="14.25" customHeight="1" x14ac:dyDescent="0.3">
      <c r="H107" s="17"/>
      <c r="J107" s="15"/>
    </row>
    <row r="108" spans="1:10" ht="14.25" customHeight="1" x14ac:dyDescent="0.3">
      <c r="H108" s="17"/>
      <c r="J108" s="15"/>
    </row>
    <row r="109" spans="1:10" ht="14.25" customHeight="1" x14ac:dyDescent="0.3">
      <c r="H109" s="17"/>
      <c r="J109" s="15"/>
    </row>
    <row r="110" spans="1:10" ht="14.25" customHeight="1" x14ac:dyDescent="0.3">
      <c r="H110" s="17"/>
      <c r="J110" s="15"/>
    </row>
    <row r="111" spans="1:10" ht="14.25" customHeight="1" x14ac:dyDescent="0.3">
      <c r="H111" s="17"/>
      <c r="J111" s="15"/>
    </row>
    <row r="112" spans="1:10" ht="14.25" customHeight="1" x14ac:dyDescent="0.3">
      <c r="H112" s="17"/>
      <c r="J112" s="15"/>
    </row>
    <row r="113" spans="8:10" ht="14.25" customHeight="1" x14ac:dyDescent="0.3">
      <c r="H113" s="17"/>
      <c r="J113" s="15"/>
    </row>
    <row r="114" spans="8:10" ht="14.25" customHeight="1" x14ac:dyDescent="0.3">
      <c r="H114" s="17"/>
      <c r="J114" s="15"/>
    </row>
    <row r="115" spans="8:10" ht="14.25" customHeight="1" x14ac:dyDescent="0.3">
      <c r="H115" s="17"/>
      <c r="J115" s="15"/>
    </row>
    <row r="116" spans="8:10" ht="14.25" customHeight="1" x14ac:dyDescent="0.3">
      <c r="H116" s="17"/>
      <c r="J116" s="15"/>
    </row>
    <row r="117" spans="8:10" ht="14.25" customHeight="1" x14ac:dyDescent="0.3">
      <c r="H117" s="17"/>
      <c r="J117" s="15"/>
    </row>
    <row r="118" spans="8:10" ht="14.25" customHeight="1" x14ac:dyDescent="0.3">
      <c r="H118" s="17"/>
      <c r="J118" s="15"/>
    </row>
    <row r="119" spans="8:10" ht="14.25" customHeight="1" x14ac:dyDescent="0.3">
      <c r="H119" s="17"/>
      <c r="J119" s="15"/>
    </row>
    <row r="120" spans="8:10" ht="14.25" customHeight="1" x14ac:dyDescent="0.3">
      <c r="H120" s="17"/>
      <c r="J120" s="15"/>
    </row>
    <row r="121" spans="8:10" ht="14.25" customHeight="1" x14ac:dyDescent="0.3">
      <c r="H121" s="17"/>
      <c r="J121" s="15"/>
    </row>
    <row r="122" spans="8:10" ht="14.25" customHeight="1" x14ac:dyDescent="0.3">
      <c r="H122" s="17"/>
      <c r="J122" s="15"/>
    </row>
    <row r="123" spans="8:10" ht="14.25" customHeight="1" x14ac:dyDescent="0.3">
      <c r="H123" s="17"/>
      <c r="J123" s="15"/>
    </row>
    <row r="124" spans="8:10" ht="14.25" customHeight="1" x14ac:dyDescent="0.3">
      <c r="H124" s="17"/>
      <c r="J124" s="15"/>
    </row>
    <row r="125" spans="8:10" ht="14.25" customHeight="1" x14ac:dyDescent="0.3">
      <c r="H125" s="17"/>
      <c r="J125" s="15"/>
    </row>
    <row r="126" spans="8:10" ht="14.25" customHeight="1" x14ac:dyDescent="0.3">
      <c r="H126" s="17"/>
      <c r="J126" s="15"/>
    </row>
    <row r="127" spans="8:10" ht="14.25" customHeight="1" x14ac:dyDescent="0.3">
      <c r="H127" s="17"/>
      <c r="J127" s="15"/>
    </row>
    <row r="128" spans="8:10" ht="14.25" customHeight="1" x14ac:dyDescent="0.3">
      <c r="H128" s="17"/>
      <c r="J128" s="15"/>
    </row>
    <row r="129" spans="8:10" ht="14.25" customHeight="1" x14ac:dyDescent="0.3">
      <c r="H129" s="17"/>
      <c r="J129" s="15"/>
    </row>
    <row r="130" spans="8:10" ht="14.25" customHeight="1" x14ac:dyDescent="0.3">
      <c r="H130" s="17"/>
      <c r="J130" s="15"/>
    </row>
    <row r="131" spans="8:10" ht="14.25" customHeight="1" x14ac:dyDescent="0.3">
      <c r="H131" s="17"/>
      <c r="J131" s="15"/>
    </row>
    <row r="132" spans="8:10" ht="14.25" customHeight="1" x14ac:dyDescent="0.3">
      <c r="H132" s="17"/>
      <c r="J132" s="15"/>
    </row>
    <row r="133" spans="8:10" ht="14.25" customHeight="1" x14ac:dyDescent="0.3">
      <c r="H133" s="17"/>
      <c r="J133" s="15"/>
    </row>
    <row r="134" spans="8:10" ht="14.25" customHeight="1" x14ac:dyDescent="0.3">
      <c r="H134" s="17"/>
      <c r="J134" s="15"/>
    </row>
    <row r="135" spans="8:10" ht="14.25" customHeight="1" x14ac:dyDescent="0.3">
      <c r="H135" s="17"/>
      <c r="J135" s="15"/>
    </row>
    <row r="136" spans="8:10" ht="14.25" customHeight="1" x14ac:dyDescent="0.3">
      <c r="H136" s="17"/>
      <c r="J136" s="15"/>
    </row>
    <row r="137" spans="8:10" ht="14.25" customHeight="1" x14ac:dyDescent="0.3">
      <c r="H137" s="17"/>
      <c r="J137" s="15"/>
    </row>
    <row r="138" spans="8:10" ht="14.25" customHeight="1" x14ac:dyDescent="0.3">
      <c r="H138" s="17"/>
      <c r="J138" s="15"/>
    </row>
    <row r="139" spans="8:10" ht="14.25" customHeight="1" x14ac:dyDescent="0.3">
      <c r="H139" s="17"/>
      <c r="J139" s="15"/>
    </row>
    <row r="140" spans="8:10" ht="14.25" customHeight="1" x14ac:dyDescent="0.3">
      <c r="H140" s="17"/>
      <c r="J140" s="15"/>
    </row>
    <row r="141" spans="8:10" ht="14.25" customHeight="1" x14ac:dyDescent="0.3">
      <c r="H141" s="17"/>
      <c r="J141" s="15"/>
    </row>
    <row r="142" spans="8:10" ht="14.25" customHeight="1" x14ac:dyDescent="0.3">
      <c r="H142" s="17"/>
      <c r="J142" s="15"/>
    </row>
    <row r="143" spans="8:10" ht="14.25" customHeight="1" x14ac:dyDescent="0.3">
      <c r="H143" s="17"/>
      <c r="J143" s="15"/>
    </row>
    <row r="144" spans="8:10" ht="14.25" customHeight="1" x14ac:dyDescent="0.3">
      <c r="H144" s="17"/>
      <c r="J144" s="15"/>
    </row>
    <row r="145" spans="8:10" ht="14.25" customHeight="1" x14ac:dyDescent="0.3">
      <c r="H145" s="17"/>
      <c r="J145" s="15"/>
    </row>
    <row r="146" spans="8:10" ht="14.25" customHeight="1" x14ac:dyDescent="0.3">
      <c r="H146" s="17"/>
      <c r="J146" s="15"/>
    </row>
    <row r="147" spans="8:10" ht="14.25" customHeight="1" x14ac:dyDescent="0.3">
      <c r="H147" s="17"/>
      <c r="J147" s="15"/>
    </row>
    <row r="148" spans="8:10" ht="14.25" customHeight="1" x14ac:dyDescent="0.3">
      <c r="H148" s="17"/>
      <c r="J148" s="15"/>
    </row>
    <row r="149" spans="8:10" ht="14.25" customHeight="1" x14ac:dyDescent="0.3">
      <c r="H149" s="17"/>
      <c r="J149" s="15"/>
    </row>
    <row r="150" spans="8:10" ht="14.25" customHeight="1" x14ac:dyDescent="0.3">
      <c r="H150" s="17"/>
      <c r="J150" s="15"/>
    </row>
    <row r="151" spans="8:10" ht="14.25" customHeight="1" x14ac:dyDescent="0.3">
      <c r="H151" s="17"/>
      <c r="J151" s="15"/>
    </row>
    <row r="152" spans="8:10" ht="14.25" customHeight="1" x14ac:dyDescent="0.3">
      <c r="H152" s="17"/>
      <c r="J152" s="15"/>
    </row>
    <row r="153" spans="8:10" ht="14.25" customHeight="1" x14ac:dyDescent="0.3">
      <c r="H153" s="17"/>
      <c r="J153" s="15"/>
    </row>
    <row r="154" spans="8:10" ht="14.25" customHeight="1" x14ac:dyDescent="0.3">
      <c r="H154" s="17"/>
      <c r="J154" s="15"/>
    </row>
    <row r="155" spans="8:10" ht="14.25" customHeight="1" x14ac:dyDescent="0.3">
      <c r="H155" s="17"/>
      <c r="J155" s="15"/>
    </row>
    <row r="156" spans="8:10" ht="14.25" customHeight="1" x14ac:dyDescent="0.3">
      <c r="H156" s="17"/>
      <c r="J156" s="15"/>
    </row>
    <row r="157" spans="8:10" ht="14.25" customHeight="1" x14ac:dyDescent="0.3">
      <c r="H157" s="17"/>
      <c r="J157" s="15"/>
    </row>
    <row r="158" spans="8:10" ht="14.25" customHeight="1" x14ac:dyDescent="0.3">
      <c r="H158" s="17"/>
      <c r="J158" s="15"/>
    </row>
    <row r="159" spans="8:10" ht="14.25" customHeight="1" x14ac:dyDescent="0.3">
      <c r="H159" s="17"/>
      <c r="J159" s="15"/>
    </row>
    <row r="160" spans="8:10" ht="14.25" customHeight="1" x14ac:dyDescent="0.3">
      <c r="H160" s="17"/>
      <c r="J160" s="15"/>
    </row>
    <row r="161" spans="8:10" ht="14.25" customHeight="1" x14ac:dyDescent="0.3">
      <c r="H161" s="17"/>
      <c r="J161" s="15"/>
    </row>
    <row r="162" spans="8:10" ht="14.25" customHeight="1" x14ac:dyDescent="0.3">
      <c r="H162" s="17"/>
      <c r="J162" s="15"/>
    </row>
    <row r="163" spans="8:10" ht="14.25" customHeight="1" x14ac:dyDescent="0.3">
      <c r="H163" s="17"/>
      <c r="J163" s="15"/>
    </row>
    <row r="164" spans="8:10" ht="14.25" customHeight="1" x14ac:dyDescent="0.3">
      <c r="H164" s="17"/>
      <c r="J164" s="15"/>
    </row>
    <row r="165" spans="8:10" ht="14.25" customHeight="1" x14ac:dyDescent="0.3">
      <c r="H165" s="17"/>
      <c r="J165" s="15"/>
    </row>
    <row r="166" spans="8:10" ht="14.25" customHeight="1" x14ac:dyDescent="0.3">
      <c r="H166" s="17"/>
      <c r="J166" s="15"/>
    </row>
    <row r="167" spans="8:10" ht="14.25" customHeight="1" x14ac:dyDescent="0.3">
      <c r="H167" s="17"/>
      <c r="J167" s="15"/>
    </row>
    <row r="168" spans="8:10" ht="14.25" customHeight="1" x14ac:dyDescent="0.3">
      <c r="H168" s="17"/>
      <c r="J168" s="15"/>
    </row>
    <row r="169" spans="8:10" ht="14.25" customHeight="1" x14ac:dyDescent="0.3">
      <c r="H169" s="17"/>
      <c r="J169" s="15"/>
    </row>
    <row r="170" spans="8:10" ht="14.25" customHeight="1" x14ac:dyDescent="0.3">
      <c r="H170" s="17"/>
      <c r="J170" s="15"/>
    </row>
    <row r="171" spans="8:10" ht="14.25" customHeight="1" x14ac:dyDescent="0.3">
      <c r="H171" s="17"/>
      <c r="J171" s="15"/>
    </row>
    <row r="172" spans="8:10" ht="14.25" customHeight="1" x14ac:dyDescent="0.3">
      <c r="H172" s="17"/>
      <c r="J172" s="15"/>
    </row>
    <row r="173" spans="8:10" ht="14.25" customHeight="1" x14ac:dyDescent="0.3">
      <c r="H173" s="17"/>
      <c r="J173" s="15"/>
    </row>
    <row r="174" spans="8:10" ht="14.25" customHeight="1" x14ac:dyDescent="0.3">
      <c r="H174" s="17"/>
      <c r="J174" s="15"/>
    </row>
    <row r="175" spans="8:10" ht="14.25" customHeight="1" x14ac:dyDescent="0.3">
      <c r="H175" s="17"/>
      <c r="J175" s="15"/>
    </row>
    <row r="176" spans="8:10" ht="14.25" customHeight="1" x14ac:dyDescent="0.3">
      <c r="H176" s="17"/>
      <c r="J176" s="15"/>
    </row>
    <row r="177" spans="8:10" ht="14.25" customHeight="1" x14ac:dyDescent="0.3">
      <c r="H177" s="17"/>
      <c r="J177" s="15"/>
    </row>
    <row r="178" spans="8:10" ht="14.25" customHeight="1" x14ac:dyDescent="0.3">
      <c r="H178" s="17"/>
      <c r="J178" s="15"/>
    </row>
    <row r="179" spans="8:10" ht="14.25" customHeight="1" x14ac:dyDescent="0.3">
      <c r="H179" s="17"/>
      <c r="J179" s="15"/>
    </row>
    <row r="180" spans="8:10" ht="14.25" customHeight="1" x14ac:dyDescent="0.3">
      <c r="H180" s="17"/>
      <c r="J180" s="15"/>
    </row>
    <row r="181" spans="8:10" ht="14.25" customHeight="1" x14ac:dyDescent="0.3">
      <c r="H181" s="17"/>
      <c r="J181" s="15"/>
    </row>
    <row r="182" spans="8:10" ht="14.25" customHeight="1" x14ac:dyDescent="0.3">
      <c r="H182" s="17"/>
      <c r="J182" s="15"/>
    </row>
    <row r="183" spans="8:10" ht="14.25" customHeight="1" x14ac:dyDescent="0.3">
      <c r="H183" s="17"/>
      <c r="J183" s="15"/>
    </row>
    <row r="184" spans="8:10" ht="14.25" customHeight="1" x14ac:dyDescent="0.3">
      <c r="H184" s="17"/>
      <c r="J184" s="15"/>
    </row>
    <row r="185" spans="8:10" ht="14.25" customHeight="1" x14ac:dyDescent="0.3">
      <c r="H185" s="17"/>
      <c r="J185" s="15"/>
    </row>
    <row r="186" spans="8:10" ht="14.25" customHeight="1" x14ac:dyDescent="0.3">
      <c r="H186" s="17"/>
      <c r="J186" s="15"/>
    </row>
    <row r="187" spans="8:10" ht="14.25" customHeight="1" x14ac:dyDescent="0.3">
      <c r="H187" s="17"/>
      <c r="J187" s="15"/>
    </row>
    <row r="188" spans="8:10" ht="14.25" customHeight="1" x14ac:dyDescent="0.3">
      <c r="H188" s="17"/>
      <c r="J188" s="15"/>
    </row>
    <row r="189" spans="8:10" ht="14.25" customHeight="1" x14ac:dyDescent="0.3">
      <c r="H189" s="17"/>
      <c r="J189" s="15"/>
    </row>
    <row r="190" spans="8:10" ht="14.25" customHeight="1" x14ac:dyDescent="0.3">
      <c r="H190" s="17"/>
      <c r="J190" s="15"/>
    </row>
    <row r="191" spans="8:10" ht="14.25" customHeight="1" x14ac:dyDescent="0.3">
      <c r="H191" s="17"/>
      <c r="J191" s="15"/>
    </row>
    <row r="192" spans="8:10" ht="14.25" customHeight="1" x14ac:dyDescent="0.3">
      <c r="H192" s="17"/>
      <c r="J192" s="15"/>
    </row>
    <row r="193" spans="8:10" ht="14.25" customHeight="1" x14ac:dyDescent="0.3">
      <c r="H193" s="17"/>
      <c r="J193" s="15"/>
    </row>
    <row r="194" spans="8:10" ht="14.25" customHeight="1" x14ac:dyDescent="0.3">
      <c r="H194" s="17"/>
      <c r="J194" s="15"/>
    </row>
    <row r="195" spans="8:10" ht="14.25" customHeight="1" x14ac:dyDescent="0.3">
      <c r="H195" s="17"/>
      <c r="J195" s="15"/>
    </row>
    <row r="196" spans="8:10" ht="14.25" customHeight="1" x14ac:dyDescent="0.3">
      <c r="H196" s="17"/>
      <c r="J196" s="15"/>
    </row>
    <row r="197" spans="8:10" ht="14.25" customHeight="1" x14ac:dyDescent="0.3">
      <c r="H197" s="17"/>
      <c r="J197" s="15"/>
    </row>
    <row r="198" spans="8:10" ht="14.25" customHeight="1" x14ac:dyDescent="0.3">
      <c r="H198" s="17"/>
      <c r="J198" s="15"/>
    </row>
    <row r="199" spans="8:10" ht="14.25" customHeight="1" x14ac:dyDescent="0.3">
      <c r="H199" s="17"/>
      <c r="J199" s="15"/>
    </row>
    <row r="200" spans="8:10" ht="14.25" customHeight="1" x14ac:dyDescent="0.3">
      <c r="H200" s="17"/>
      <c r="J200" s="15"/>
    </row>
    <row r="201" spans="8:10" ht="14.25" customHeight="1" x14ac:dyDescent="0.3">
      <c r="H201" s="17"/>
      <c r="J201" s="15"/>
    </row>
    <row r="202" spans="8:10" ht="14.25" customHeight="1" x14ac:dyDescent="0.3">
      <c r="H202" s="17"/>
      <c r="J202" s="15"/>
    </row>
    <row r="203" spans="8:10" ht="14.25" customHeight="1" x14ac:dyDescent="0.3">
      <c r="H203" s="17"/>
      <c r="J203" s="15"/>
    </row>
    <row r="204" spans="8:10" ht="14.25" customHeight="1" x14ac:dyDescent="0.3">
      <c r="H204" s="17"/>
      <c r="J204" s="15"/>
    </row>
    <row r="205" spans="8:10" ht="14.25" customHeight="1" x14ac:dyDescent="0.3">
      <c r="H205" s="17"/>
      <c r="J205" s="15"/>
    </row>
    <row r="206" spans="8:10" ht="14.25" customHeight="1" x14ac:dyDescent="0.3">
      <c r="H206" s="17"/>
      <c r="J206" s="15"/>
    </row>
    <row r="207" spans="8:10" ht="14.25" customHeight="1" x14ac:dyDescent="0.3">
      <c r="H207" s="17"/>
      <c r="J207" s="15"/>
    </row>
    <row r="208" spans="8:10" ht="14.25" customHeight="1" x14ac:dyDescent="0.3">
      <c r="H208" s="17"/>
      <c r="J208" s="15"/>
    </row>
    <row r="209" spans="8:10" ht="14.25" customHeight="1" x14ac:dyDescent="0.3">
      <c r="H209" s="17"/>
      <c r="J209" s="15"/>
    </row>
    <row r="210" spans="8:10" ht="14.25" customHeight="1" x14ac:dyDescent="0.3">
      <c r="H210" s="17"/>
      <c r="J210" s="15"/>
    </row>
    <row r="211" spans="8:10" ht="14.25" customHeight="1" x14ac:dyDescent="0.3">
      <c r="H211" s="17"/>
      <c r="J211" s="15"/>
    </row>
    <row r="212" spans="8:10" ht="14.25" customHeight="1" x14ac:dyDescent="0.3">
      <c r="H212" s="17"/>
      <c r="J212" s="15"/>
    </row>
    <row r="213" spans="8:10" ht="14.25" customHeight="1" x14ac:dyDescent="0.3">
      <c r="H213" s="17"/>
      <c r="J213" s="15"/>
    </row>
    <row r="214" spans="8:10" ht="14.25" customHeight="1" x14ac:dyDescent="0.3">
      <c r="H214" s="17"/>
      <c r="J214" s="15"/>
    </row>
    <row r="215" spans="8:10" ht="14.25" customHeight="1" x14ac:dyDescent="0.3">
      <c r="H215" s="17"/>
      <c r="J215" s="15"/>
    </row>
    <row r="216" spans="8:10" ht="14.25" customHeight="1" x14ac:dyDescent="0.3">
      <c r="H216" s="17"/>
      <c r="J216" s="15"/>
    </row>
    <row r="217" spans="8:10" ht="14.25" customHeight="1" x14ac:dyDescent="0.3">
      <c r="H217" s="17"/>
      <c r="J217" s="15"/>
    </row>
    <row r="218" spans="8:10" ht="14.25" customHeight="1" x14ac:dyDescent="0.3">
      <c r="H218" s="17"/>
      <c r="J218" s="15"/>
    </row>
    <row r="219" spans="8:10" ht="14.25" customHeight="1" x14ac:dyDescent="0.3">
      <c r="H219" s="17"/>
      <c r="J219" s="15"/>
    </row>
    <row r="220" spans="8:10" ht="14.25" customHeight="1" x14ac:dyDescent="0.3">
      <c r="H220" s="17"/>
      <c r="J220" s="15"/>
    </row>
    <row r="221" spans="8:10" ht="14.25" customHeight="1" x14ac:dyDescent="0.3">
      <c r="H221" s="17"/>
      <c r="J221" s="15"/>
    </row>
    <row r="222" spans="8:10" ht="14.25" customHeight="1" x14ac:dyDescent="0.3">
      <c r="H222" s="17"/>
      <c r="J222" s="15"/>
    </row>
    <row r="223" spans="8:10" ht="14.25" customHeight="1" x14ac:dyDescent="0.3">
      <c r="H223" s="17"/>
      <c r="J223" s="15"/>
    </row>
    <row r="224" spans="8:10" ht="14.25" customHeight="1" x14ac:dyDescent="0.3">
      <c r="H224" s="17"/>
      <c r="J224" s="15"/>
    </row>
    <row r="225" spans="8:10" ht="14.25" customHeight="1" x14ac:dyDescent="0.3">
      <c r="H225" s="17"/>
      <c r="J225" s="15"/>
    </row>
    <row r="226" spans="8:10" ht="14.25" customHeight="1" x14ac:dyDescent="0.3">
      <c r="H226" s="17"/>
      <c r="J226" s="15"/>
    </row>
    <row r="227" spans="8:10" ht="14.25" customHeight="1" x14ac:dyDescent="0.3">
      <c r="H227" s="17"/>
      <c r="J227" s="15"/>
    </row>
    <row r="228" spans="8:10" ht="14.25" customHeight="1" x14ac:dyDescent="0.3">
      <c r="H228" s="17"/>
      <c r="J228" s="15"/>
    </row>
    <row r="229" spans="8:10" ht="14.25" customHeight="1" x14ac:dyDescent="0.3">
      <c r="H229" s="17"/>
      <c r="J229" s="15"/>
    </row>
    <row r="230" spans="8:10" ht="14.25" customHeight="1" x14ac:dyDescent="0.3">
      <c r="H230" s="17"/>
      <c r="J230" s="15"/>
    </row>
    <row r="231" spans="8:10" ht="14.25" customHeight="1" x14ac:dyDescent="0.3">
      <c r="H231" s="17"/>
      <c r="J231" s="15"/>
    </row>
    <row r="232" spans="8:10" ht="14.25" customHeight="1" x14ac:dyDescent="0.3">
      <c r="H232" s="17"/>
      <c r="J232" s="15"/>
    </row>
    <row r="233" spans="8:10" ht="14.25" customHeight="1" x14ac:dyDescent="0.3">
      <c r="H233" s="17"/>
      <c r="J233" s="15"/>
    </row>
    <row r="234" spans="8:10" ht="14.25" customHeight="1" x14ac:dyDescent="0.3">
      <c r="H234" s="17"/>
      <c r="J234" s="15"/>
    </row>
    <row r="235" spans="8:10" ht="14.25" customHeight="1" x14ac:dyDescent="0.3">
      <c r="H235" s="17"/>
      <c r="J235" s="15"/>
    </row>
    <row r="236" spans="8:10" ht="14.25" customHeight="1" x14ac:dyDescent="0.3">
      <c r="H236" s="17"/>
      <c r="J236" s="15"/>
    </row>
    <row r="237" spans="8:10" ht="14.25" customHeight="1" x14ac:dyDescent="0.3">
      <c r="H237" s="17"/>
      <c r="J237" s="15"/>
    </row>
    <row r="238" spans="8:10" ht="14.25" customHeight="1" x14ac:dyDescent="0.3">
      <c r="H238" s="17"/>
      <c r="J238" s="15"/>
    </row>
    <row r="239" spans="8:10" ht="14.25" customHeight="1" x14ac:dyDescent="0.3">
      <c r="H239" s="17"/>
      <c r="J239" s="15"/>
    </row>
    <row r="240" spans="8:10" ht="14.25" customHeight="1" x14ac:dyDescent="0.3">
      <c r="H240" s="17"/>
      <c r="J240" s="15"/>
    </row>
    <row r="241" spans="8:10" ht="14.25" customHeight="1" x14ac:dyDescent="0.3">
      <c r="H241" s="17"/>
      <c r="J241" s="15"/>
    </row>
    <row r="242" spans="8:10" ht="14.25" customHeight="1" x14ac:dyDescent="0.3">
      <c r="H242" s="17"/>
      <c r="J242" s="15"/>
    </row>
    <row r="243" spans="8:10" ht="14.25" customHeight="1" x14ac:dyDescent="0.3">
      <c r="H243" s="17"/>
      <c r="J243" s="15"/>
    </row>
    <row r="244" spans="8:10" ht="14.25" customHeight="1" x14ac:dyDescent="0.3">
      <c r="H244" s="17"/>
      <c r="J244" s="15"/>
    </row>
    <row r="245" spans="8:10" ht="14.25" customHeight="1" x14ac:dyDescent="0.3">
      <c r="H245" s="17"/>
      <c r="J245" s="15"/>
    </row>
    <row r="246" spans="8:10" ht="14.25" customHeight="1" x14ac:dyDescent="0.3">
      <c r="H246" s="17"/>
      <c r="J246" s="15"/>
    </row>
    <row r="247" spans="8:10" ht="14.25" customHeight="1" x14ac:dyDescent="0.3">
      <c r="H247" s="17"/>
      <c r="J247" s="15"/>
    </row>
    <row r="248" spans="8:10" ht="14.25" customHeight="1" x14ac:dyDescent="0.3">
      <c r="H248" s="17"/>
      <c r="J248" s="15"/>
    </row>
    <row r="249" spans="8:10" ht="14.25" customHeight="1" x14ac:dyDescent="0.3">
      <c r="H249" s="17"/>
      <c r="J249" s="15"/>
    </row>
    <row r="250" spans="8:10" ht="14.25" customHeight="1" x14ac:dyDescent="0.3">
      <c r="H250" s="17"/>
      <c r="J250" s="15"/>
    </row>
    <row r="251" spans="8:10" ht="14.25" customHeight="1" x14ac:dyDescent="0.3">
      <c r="H251" s="17"/>
      <c r="J251" s="15"/>
    </row>
    <row r="252" spans="8:10" ht="14.25" customHeight="1" x14ac:dyDescent="0.3">
      <c r="H252" s="17"/>
      <c r="J252" s="15"/>
    </row>
    <row r="253" spans="8:10" ht="14.25" customHeight="1" x14ac:dyDescent="0.3">
      <c r="H253" s="17"/>
      <c r="J253" s="15"/>
    </row>
    <row r="254" spans="8:10" ht="14.25" customHeight="1" x14ac:dyDescent="0.3">
      <c r="H254" s="17"/>
      <c r="J254" s="15"/>
    </row>
    <row r="255" spans="8:10" ht="14.25" customHeight="1" x14ac:dyDescent="0.3">
      <c r="H255" s="17"/>
      <c r="J255" s="15"/>
    </row>
    <row r="256" spans="8:10" ht="14.25" customHeight="1" x14ac:dyDescent="0.3">
      <c r="H256" s="17"/>
      <c r="J256" s="15"/>
    </row>
    <row r="257" spans="8:10" ht="14.25" customHeight="1" x14ac:dyDescent="0.3">
      <c r="H257" s="17"/>
      <c r="J257" s="15"/>
    </row>
    <row r="258" spans="8:10" ht="14.25" customHeight="1" x14ac:dyDescent="0.3">
      <c r="H258" s="17"/>
      <c r="J258" s="15"/>
    </row>
    <row r="259" spans="8:10" ht="14.25" customHeight="1" x14ac:dyDescent="0.3">
      <c r="H259" s="17"/>
      <c r="J259" s="15"/>
    </row>
    <row r="260" spans="8:10" ht="14.25" customHeight="1" x14ac:dyDescent="0.3">
      <c r="H260" s="17"/>
      <c r="J260" s="15"/>
    </row>
    <row r="261" spans="8:10" ht="14.25" customHeight="1" x14ac:dyDescent="0.3">
      <c r="H261" s="17"/>
      <c r="J261" s="15"/>
    </row>
    <row r="262" spans="8:10" ht="14.25" customHeight="1" x14ac:dyDescent="0.3">
      <c r="H262" s="17"/>
      <c r="J262" s="15"/>
    </row>
    <row r="263" spans="8:10" ht="14.25" customHeight="1" x14ac:dyDescent="0.3">
      <c r="H263" s="17"/>
      <c r="J263" s="15"/>
    </row>
    <row r="264" spans="8:10" ht="14.25" customHeight="1" x14ac:dyDescent="0.3">
      <c r="H264" s="17"/>
      <c r="J264" s="15"/>
    </row>
    <row r="265" spans="8:10" ht="14.25" customHeight="1" x14ac:dyDescent="0.3">
      <c r="H265" s="17"/>
      <c r="J265" s="15"/>
    </row>
    <row r="266" spans="8:10" ht="14.25" customHeight="1" x14ac:dyDescent="0.3">
      <c r="H266" s="17"/>
      <c r="J266" s="15"/>
    </row>
    <row r="267" spans="8:10" ht="14.25" customHeight="1" x14ac:dyDescent="0.3">
      <c r="H267" s="17"/>
      <c r="J267" s="15"/>
    </row>
    <row r="268" spans="8:10" ht="14.25" customHeight="1" x14ac:dyDescent="0.3">
      <c r="H268" s="17"/>
      <c r="J268" s="15"/>
    </row>
    <row r="269" spans="8:10" ht="14.25" customHeight="1" x14ac:dyDescent="0.3">
      <c r="H269" s="17"/>
      <c r="J269" s="15"/>
    </row>
    <row r="270" spans="8:10" ht="14.25" customHeight="1" x14ac:dyDescent="0.3">
      <c r="H270" s="17"/>
      <c r="J270" s="15"/>
    </row>
    <row r="271" spans="8:10" ht="14.25" customHeight="1" x14ac:dyDescent="0.3">
      <c r="H271" s="17"/>
      <c r="J271" s="15"/>
    </row>
    <row r="272" spans="8:10" ht="14.25" customHeight="1" x14ac:dyDescent="0.3">
      <c r="H272" s="17"/>
      <c r="J272" s="15"/>
    </row>
    <row r="273" spans="8:10" ht="14.25" customHeight="1" x14ac:dyDescent="0.3">
      <c r="H273" s="17"/>
      <c r="J273" s="15"/>
    </row>
    <row r="274" spans="8:10" ht="14.25" customHeight="1" x14ac:dyDescent="0.3">
      <c r="H274" s="17"/>
      <c r="J274" s="15"/>
    </row>
    <row r="275" spans="8:10" ht="14.25" customHeight="1" x14ac:dyDescent="0.3">
      <c r="H275" s="17"/>
      <c r="J275" s="15"/>
    </row>
    <row r="276" spans="8:10" ht="14.25" customHeight="1" x14ac:dyDescent="0.3">
      <c r="H276" s="17"/>
      <c r="J276" s="15"/>
    </row>
    <row r="277" spans="8:10" ht="14.25" customHeight="1" x14ac:dyDescent="0.3">
      <c r="H277" s="17"/>
      <c r="J277" s="15"/>
    </row>
    <row r="278" spans="8:10" ht="14.25" customHeight="1" x14ac:dyDescent="0.3">
      <c r="H278" s="17"/>
      <c r="J278" s="15"/>
    </row>
    <row r="279" spans="8:10" ht="14.25" customHeight="1" x14ac:dyDescent="0.3">
      <c r="H279" s="17"/>
      <c r="J279" s="15"/>
    </row>
    <row r="280" spans="8:10" ht="14.25" customHeight="1" x14ac:dyDescent="0.3">
      <c r="H280" s="17"/>
      <c r="J280" s="15"/>
    </row>
    <row r="281" spans="8:10" ht="14.25" customHeight="1" x14ac:dyDescent="0.3">
      <c r="H281" s="17"/>
      <c r="J281" s="15"/>
    </row>
    <row r="282" spans="8:10" ht="14.25" customHeight="1" x14ac:dyDescent="0.3">
      <c r="H282" s="17"/>
      <c r="J282" s="15"/>
    </row>
    <row r="283" spans="8:10" ht="14.25" customHeight="1" x14ac:dyDescent="0.3">
      <c r="H283" s="17"/>
      <c r="J283" s="15"/>
    </row>
    <row r="284" spans="8:10" ht="14.25" customHeight="1" x14ac:dyDescent="0.3">
      <c r="H284" s="17"/>
      <c r="J284" s="15"/>
    </row>
    <row r="285" spans="8:10" ht="14.25" customHeight="1" x14ac:dyDescent="0.3">
      <c r="H285" s="17"/>
      <c r="J285" s="15"/>
    </row>
    <row r="286" spans="8:10" ht="14.25" customHeight="1" x14ac:dyDescent="0.3">
      <c r="H286" s="17"/>
      <c r="J286" s="15"/>
    </row>
    <row r="287" spans="8:10" ht="14.25" customHeight="1" x14ac:dyDescent="0.3">
      <c r="H287" s="17"/>
      <c r="J287" s="15"/>
    </row>
    <row r="288" spans="8:10" ht="14.25" customHeight="1" x14ac:dyDescent="0.3">
      <c r="H288" s="17"/>
      <c r="J288" s="15"/>
    </row>
    <row r="289" spans="8:10" ht="14.25" customHeight="1" x14ac:dyDescent="0.3">
      <c r="H289" s="17"/>
      <c r="J289" s="15"/>
    </row>
    <row r="290" spans="8:10" ht="14.25" customHeight="1" x14ac:dyDescent="0.3">
      <c r="H290" s="17"/>
      <c r="J290" s="15"/>
    </row>
    <row r="291" spans="8:10" ht="14.25" customHeight="1" x14ac:dyDescent="0.3">
      <c r="H291" s="17"/>
      <c r="J291" s="15"/>
    </row>
    <row r="292" spans="8:10" ht="14.25" customHeight="1" x14ac:dyDescent="0.3">
      <c r="H292" s="17"/>
      <c r="J292" s="15"/>
    </row>
    <row r="293" spans="8:10" ht="14.25" customHeight="1" x14ac:dyDescent="0.3">
      <c r="H293" s="17"/>
      <c r="J293" s="15"/>
    </row>
    <row r="294" spans="8:10" ht="14.25" customHeight="1" x14ac:dyDescent="0.3">
      <c r="H294" s="17"/>
      <c r="J294" s="15"/>
    </row>
    <row r="295" spans="8:10" ht="14.25" customHeight="1" x14ac:dyDescent="0.3">
      <c r="H295" s="17"/>
      <c r="J295" s="15"/>
    </row>
    <row r="296" spans="8:10" ht="14.25" customHeight="1" x14ac:dyDescent="0.3">
      <c r="H296" s="17"/>
      <c r="J296" s="15"/>
    </row>
    <row r="297" spans="8:10" ht="14.25" customHeight="1" x14ac:dyDescent="0.3">
      <c r="H297" s="17"/>
      <c r="J297" s="15"/>
    </row>
    <row r="298" spans="8:10" ht="14.25" customHeight="1" x14ac:dyDescent="0.3">
      <c r="H298" s="17"/>
      <c r="J298" s="15"/>
    </row>
    <row r="299" spans="8:10" ht="14.25" customHeight="1" x14ac:dyDescent="0.3">
      <c r="H299" s="17"/>
      <c r="J299" s="15"/>
    </row>
    <row r="300" spans="8:10" ht="14.25" customHeight="1" x14ac:dyDescent="0.3">
      <c r="H300" s="17"/>
      <c r="J300" s="15"/>
    </row>
    <row r="301" spans="8:10" ht="14.25" customHeight="1" x14ac:dyDescent="0.3">
      <c r="H301" s="17"/>
      <c r="J301" s="15"/>
    </row>
    <row r="302" spans="8:10" ht="14.25" customHeight="1" x14ac:dyDescent="0.3">
      <c r="H302" s="17"/>
      <c r="J302" s="15"/>
    </row>
    <row r="303" spans="8:10" ht="14.25" customHeight="1" x14ac:dyDescent="0.3">
      <c r="H303" s="17"/>
      <c r="J303" s="15"/>
    </row>
    <row r="304" spans="8:10" ht="14.25" customHeight="1" x14ac:dyDescent="0.3">
      <c r="H304" s="17"/>
      <c r="J304" s="15"/>
    </row>
    <row r="305" spans="8:10" ht="14.25" customHeight="1" x14ac:dyDescent="0.3">
      <c r="H305" s="17"/>
      <c r="J305" s="15"/>
    </row>
    <row r="306" spans="8:10" ht="14.25" customHeight="1" x14ac:dyDescent="0.3">
      <c r="H306" s="17"/>
      <c r="J306" s="15"/>
    </row>
    <row r="307" spans="8:10" ht="14.25" customHeight="1" x14ac:dyDescent="0.3">
      <c r="H307" s="17"/>
      <c r="J307" s="15"/>
    </row>
    <row r="308" spans="8:10" ht="14.25" customHeight="1" x14ac:dyDescent="0.3">
      <c r="H308" s="17"/>
      <c r="J308" s="15"/>
    </row>
    <row r="309" spans="8:10" ht="14.25" customHeight="1" x14ac:dyDescent="0.3">
      <c r="H309" s="17"/>
      <c r="J309" s="15"/>
    </row>
    <row r="310" spans="8:10" ht="14.25" customHeight="1" x14ac:dyDescent="0.3">
      <c r="H310" s="17"/>
      <c r="J310" s="15"/>
    </row>
    <row r="311" spans="8:10" ht="14.25" customHeight="1" x14ac:dyDescent="0.3">
      <c r="H311" s="17"/>
      <c r="J311" s="15"/>
    </row>
    <row r="312" spans="8:10" ht="14.25" customHeight="1" x14ac:dyDescent="0.3">
      <c r="H312" s="17"/>
      <c r="J312" s="15"/>
    </row>
    <row r="313" spans="8:10" ht="14.25" customHeight="1" x14ac:dyDescent="0.3">
      <c r="H313" s="17"/>
      <c r="J313" s="15"/>
    </row>
    <row r="314" spans="8:10" ht="14.25" customHeight="1" x14ac:dyDescent="0.3">
      <c r="H314" s="17"/>
      <c r="J314" s="15"/>
    </row>
    <row r="315" spans="8:10" ht="14.25" customHeight="1" x14ac:dyDescent="0.3">
      <c r="H315" s="17"/>
      <c r="J315" s="15"/>
    </row>
    <row r="316" spans="8:10" ht="14.25" customHeight="1" x14ac:dyDescent="0.3">
      <c r="H316" s="17"/>
      <c r="J316" s="15"/>
    </row>
    <row r="317" spans="8:10" ht="14.25" customHeight="1" x14ac:dyDescent="0.3">
      <c r="H317" s="17"/>
      <c r="J317" s="15"/>
    </row>
    <row r="318" spans="8:10" ht="14.25" customHeight="1" x14ac:dyDescent="0.3">
      <c r="H318" s="17"/>
      <c r="J318" s="15"/>
    </row>
    <row r="319" spans="8:10" ht="14.25" customHeight="1" x14ac:dyDescent="0.3">
      <c r="H319" s="17"/>
      <c r="J319" s="15"/>
    </row>
    <row r="320" spans="8:10" ht="14.25" customHeight="1" x14ac:dyDescent="0.3">
      <c r="H320" s="17"/>
      <c r="J320" s="15"/>
    </row>
    <row r="321" spans="8:10" ht="14.25" customHeight="1" x14ac:dyDescent="0.3">
      <c r="H321" s="17"/>
      <c r="J321" s="15"/>
    </row>
    <row r="322" spans="8:10" ht="14.25" customHeight="1" x14ac:dyDescent="0.3">
      <c r="H322" s="17"/>
      <c r="J322" s="15"/>
    </row>
    <row r="323" spans="8:10" ht="14.25" customHeight="1" x14ac:dyDescent="0.3">
      <c r="H323" s="17"/>
      <c r="J323" s="15"/>
    </row>
    <row r="324" spans="8:10" ht="14.25" customHeight="1" x14ac:dyDescent="0.3">
      <c r="H324" s="17"/>
      <c r="J324" s="15"/>
    </row>
    <row r="325" spans="8:10" ht="14.25" customHeight="1" x14ac:dyDescent="0.3">
      <c r="H325" s="17"/>
      <c r="J325" s="15"/>
    </row>
    <row r="326" spans="8:10" ht="14.25" customHeight="1" x14ac:dyDescent="0.3">
      <c r="H326" s="17"/>
      <c r="J326" s="15"/>
    </row>
    <row r="327" spans="8:10" ht="14.25" customHeight="1" x14ac:dyDescent="0.3">
      <c r="H327" s="17"/>
      <c r="J327" s="15"/>
    </row>
    <row r="328" spans="8:10" ht="14.25" customHeight="1" x14ac:dyDescent="0.3">
      <c r="H328" s="17"/>
      <c r="J328" s="15"/>
    </row>
    <row r="329" spans="8:10" ht="14.25" customHeight="1" x14ac:dyDescent="0.3">
      <c r="H329" s="17"/>
      <c r="J329" s="15"/>
    </row>
    <row r="330" spans="8:10" ht="14.25" customHeight="1" x14ac:dyDescent="0.3">
      <c r="H330" s="17"/>
      <c r="J330" s="15"/>
    </row>
    <row r="331" spans="8:10" ht="14.25" customHeight="1" x14ac:dyDescent="0.3">
      <c r="H331" s="17"/>
      <c r="J331" s="15"/>
    </row>
    <row r="332" spans="8:10" ht="14.25" customHeight="1" x14ac:dyDescent="0.3">
      <c r="H332" s="17"/>
      <c r="J332" s="15"/>
    </row>
    <row r="333" spans="8:10" ht="14.25" customHeight="1" x14ac:dyDescent="0.3">
      <c r="H333" s="17"/>
      <c r="J333" s="15"/>
    </row>
    <row r="334" spans="8:10" ht="14.25" customHeight="1" x14ac:dyDescent="0.3">
      <c r="H334" s="17"/>
      <c r="J334" s="15"/>
    </row>
    <row r="335" spans="8:10" ht="14.25" customHeight="1" x14ac:dyDescent="0.3">
      <c r="H335" s="17"/>
      <c r="J335" s="15"/>
    </row>
    <row r="336" spans="8:10" ht="14.25" customHeight="1" x14ac:dyDescent="0.3">
      <c r="H336" s="17"/>
      <c r="J336" s="15"/>
    </row>
    <row r="337" spans="8:10" ht="14.25" customHeight="1" x14ac:dyDescent="0.3">
      <c r="H337" s="17"/>
      <c r="J337" s="15"/>
    </row>
    <row r="338" spans="8:10" ht="14.25" customHeight="1" x14ac:dyDescent="0.3">
      <c r="H338" s="17"/>
      <c r="J338" s="15"/>
    </row>
    <row r="339" spans="8:10" ht="14.25" customHeight="1" x14ac:dyDescent="0.3">
      <c r="H339" s="17"/>
      <c r="J339" s="15"/>
    </row>
    <row r="340" spans="8:10" ht="14.25" customHeight="1" x14ac:dyDescent="0.3">
      <c r="H340" s="17"/>
      <c r="J340" s="15"/>
    </row>
    <row r="341" spans="8:10" ht="14.25" customHeight="1" x14ac:dyDescent="0.3">
      <c r="H341" s="17"/>
      <c r="J341" s="15"/>
    </row>
    <row r="342" spans="8:10" ht="14.25" customHeight="1" x14ac:dyDescent="0.3">
      <c r="H342" s="17"/>
      <c r="J342" s="15"/>
    </row>
    <row r="343" spans="8:10" ht="14.25" customHeight="1" x14ac:dyDescent="0.3">
      <c r="H343" s="17"/>
      <c r="J343" s="15"/>
    </row>
    <row r="344" spans="8:10" ht="14.25" customHeight="1" x14ac:dyDescent="0.3">
      <c r="H344" s="17"/>
      <c r="J344" s="15"/>
    </row>
    <row r="345" spans="8:10" ht="14.25" customHeight="1" x14ac:dyDescent="0.3">
      <c r="H345" s="17"/>
      <c r="J345" s="15"/>
    </row>
    <row r="346" spans="8:10" ht="14.25" customHeight="1" x14ac:dyDescent="0.3">
      <c r="H346" s="17"/>
      <c r="J346" s="15"/>
    </row>
    <row r="347" spans="8:10" ht="14.25" customHeight="1" x14ac:dyDescent="0.3">
      <c r="H347" s="17"/>
      <c r="J347" s="15"/>
    </row>
    <row r="348" spans="8:10" ht="14.25" customHeight="1" x14ac:dyDescent="0.3">
      <c r="H348" s="17"/>
      <c r="J348" s="15"/>
    </row>
    <row r="349" spans="8:10" ht="14.25" customHeight="1" x14ac:dyDescent="0.3">
      <c r="H349" s="17"/>
      <c r="J349" s="15"/>
    </row>
    <row r="350" spans="8:10" ht="14.25" customHeight="1" x14ac:dyDescent="0.3">
      <c r="H350" s="17"/>
      <c r="J350" s="15"/>
    </row>
    <row r="351" spans="8:10" ht="14.25" customHeight="1" x14ac:dyDescent="0.3">
      <c r="H351" s="17"/>
      <c r="J351" s="15"/>
    </row>
    <row r="352" spans="8:10" ht="14.25" customHeight="1" x14ac:dyDescent="0.3">
      <c r="H352" s="17"/>
      <c r="J352" s="15"/>
    </row>
    <row r="353" spans="8:10" ht="14.25" customHeight="1" x14ac:dyDescent="0.3">
      <c r="H353" s="17"/>
      <c r="J353" s="15"/>
    </row>
    <row r="354" spans="8:10" ht="14.25" customHeight="1" x14ac:dyDescent="0.3">
      <c r="H354" s="17"/>
      <c r="J354" s="15"/>
    </row>
    <row r="355" spans="8:10" ht="14.25" customHeight="1" x14ac:dyDescent="0.3">
      <c r="H355" s="17"/>
      <c r="J355" s="15"/>
    </row>
    <row r="356" spans="8:10" ht="14.25" customHeight="1" x14ac:dyDescent="0.3">
      <c r="H356" s="17"/>
      <c r="J356" s="15"/>
    </row>
    <row r="357" spans="8:10" ht="14.25" customHeight="1" x14ac:dyDescent="0.3">
      <c r="H357" s="17"/>
      <c r="J357" s="15"/>
    </row>
    <row r="358" spans="8:10" ht="14.25" customHeight="1" x14ac:dyDescent="0.3">
      <c r="H358" s="17"/>
      <c r="J358" s="15"/>
    </row>
    <row r="359" spans="8:10" ht="14.25" customHeight="1" x14ac:dyDescent="0.3">
      <c r="H359" s="17"/>
      <c r="J359" s="15"/>
    </row>
    <row r="360" spans="8:10" ht="14.25" customHeight="1" x14ac:dyDescent="0.3">
      <c r="H360" s="17"/>
      <c r="J360" s="15"/>
    </row>
    <row r="361" spans="8:10" ht="14.25" customHeight="1" x14ac:dyDescent="0.3">
      <c r="H361" s="17"/>
      <c r="J361" s="15"/>
    </row>
    <row r="362" spans="8:10" ht="14.25" customHeight="1" x14ac:dyDescent="0.3">
      <c r="H362" s="17"/>
      <c r="J362" s="15"/>
    </row>
    <row r="363" spans="8:10" ht="14.25" customHeight="1" x14ac:dyDescent="0.3">
      <c r="H363" s="17"/>
      <c r="J363" s="15"/>
    </row>
    <row r="364" spans="8:10" ht="14.25" customHeight="1" x14ac:dyDescent="0.3">
      <c r="H364" s="17"/>
      <c r="J364" s="15"/>
    </row>
    <row r="365" spans="8:10" ht="14.25" customHeight="1" x14ac:dyDescent="0.3">
      <c r="H365" s="17"/>
      <c r="J365" s="15"/>
    </row>
    <row r="366" spans="8:10" ht="14.25" customHeight="1" x14ac:dyDescent="0.3">
      <c r="H366" s="17"/>
      <c r="J366" s="15"/>
    </row>
    <row r="367" spans="8:10" ht="14.25" customHeight="1" x14ac:dyDescent="0.3">
      <c r="H367" s="17"/>
      <c r="J367" s="15"/>
    </row>
    <row r="368" spans="8:10" ht="14.25" customHeight="1" x14ac:dyDescent="0.3">
      <c r="H368" s="17"/>
      <c r="J368" s="15"/>
    </row>
    <row r="369" spans="8:10" ht="14.25" customHeight="1" x14ac:dyDescent="0.3">
      <c r="H369" s="17"/>
      <c r="J369" s="15"/>
    </row>
    <row r="370" spans="8:10" ht="14.25" customHeight="1" x14ac:dyDescent="0.3">
      <c r="H370" s="17"/>
      <c r="J370" s="15"/>
    </row>
    <row r="371" spans="8:10" ht="14.25" customHeight="1" x14ac:dyDescent="0.3">
      <c r="H371" s="17"/>
      <c r="J371" s="15"/>
    </row>
    <row r="372" spans="8:10" ht="14.25" customHeight="1" x14ac:dyDescent="0.3">
      <c r="H372" s="17"/>
      <c r="J372" s="15"/>
    </row>
    <row r="373" spans="8:10" ht="14.25" customHeight="1" x14ac:dyDescent="0.3">
      <c r="H373" s="17"/>
      <c r="J373" s="15"/>
    </row>
    <row r="374" spans="8:10" ht="14.25" customHeight="1" x14ac:dyDescent="0.3">
      <c r="H374" s="17"/>
      <c r="J374" s="15"/>
    </row>
    <row r="375" spans="8:10" ht="14.25" customHeight="1" x14ac:dyDescent="0.3">
      <c r="H375" s="17"/>
      <c r="J375" s="15"/>
    </row>
    <row r="376" spans="8:10" ht="14.25" customHeight="1" x14ac:dyDescent="0.3">
      <c r="H376" s="17"/>
      <c r="J376" s="15"/>
    </row>
    <row r="377" spans="8:10" ht="14.25" customHeight="1" x14ac:dyDescent="0.3">
      <c r="H377" s="17"/>
      <c r="J377" s="15"/>
    </row>
    <row r="378" spans="8:10" ht="14.25" customHeight="1" x14ac:dyDescent="0.3">
      <c r="H378" s="17"/>
      <c r="J378" s="15"/>
    </row>
    <row r="379" spans="8:10" ht="14.25" customHeight="1" x14ac:dyDescent="0.3">
      <c r="H379" s="17"/>
      <c r="J379" s="15"/>
    </row>
    <row r="380" spans="8:10" ht="14.25" customHeight="1" x14ac:dyDescent="0.3">
      <c r="H380" s="17"/>
      <c r="J380" s="15"/>
    </row>
    <row r="381" spans="8:10" ht="14.25" customHeight="1" x14ac:dyDescent="0.3">
      <c r="H381" s="17"/>
      <c r="J381" s="15"/>
    </row>
    <row r="382" spans="8:10" ht="14.25" customHeight="1" x14ac:dyDescent="0.3">
      <c r="H382" s="17"/>
      <c r="J382" s="15"/>
    </row>
    <row r="383" spans="8:10" ht="14.25" customHeight="1" x14ac:dyDescent="0.3">
      <c r="H383" s="17"/>
      <c r="J383" s="15"/>
    </row>
    <row r="384" spans="8:10" ht="14.25" customHeight="1" x14ac:dyDescent="0.3">
      <c r="H384" s="17"/>
      <c r="J384" s="15"/>
    </row>
    <row r="385" spans="8:10" ht="14.25" customHeight="1" x14ac:dyDescent="0.3">
      <c r="H385" s="17"/>
      <c r="J385" s="15"/>
    </row>
    <row r="386" spans="8:10" ht="14.25" customHeight="1" x14ac:dyDescent="0.3">
      <c r="H386" s="17"/>
      <c r="J386" s="15"/>
    </row>
    <row r="387" spans="8:10" ht="14.25" customHeight="1" x14ac:dyDescent="0.3">
      <c r="H387" s="17"/>
      <c r="J387" s="15"/>
    </row>
    <row r="388" spans="8:10" ht="14.25" customHeight="1" x14ac:dyDescent="0.3">
      <c r="H388" s="17"/>
      <c r="J388" s="15"/>
    </row>
    <row r="389" spans="8:10" ht="14.25" customHeight="1" x14ac:dyDescent="0.3">
      <c r="H389" s="17"/>
      <c r="J389" s="15"/>
    </row>
    <row r="390" spans="8:10" ht="14.25" customHeight="1" x14ac:dyDescent="0.3">
      <c r="H390" s="17"/>
      <c r="J390" s="15"/>
    </row>
    <row r="391" spans="8:10" ht="14.25" customHeight="1" x14ac:dyDescent="0.3">
      <c r="H391" s="17"/>
      <c r="J391" s="15"/>
    </row>
    <row r="392" spans="8:10" ht="14.25" customHeight="1" x14ac:dyDescent="0.3">
      <c r="H392" s="17"/>
      <c r="J392" s="15"/>
    </row>
    <row r="393" spans="8:10" ht="14.25" customHeight="1" x14ac:dyDescent="0.3">
      <c r="H393" s="17"/>
      <c r="J393" s="15"/>
    </row>
    <row r="394" spans="8:10" ht="14.25" customHeight="1" x14ac:dyDescent="0.3">
      <c r="H394" s="17"/>
      <c r="J394" s="15"/>
    </row>
    <row r="395" spans="8:10" ht="14.25" customHeight="1" x14ac:dyDescent="0.3">
      <c r="H395" s="17"/>
      <c r="J395" s="15"/>
    </row>
    <row r="396" spans="8:10" ht="14.25" customHeight="1" x14ac:dyDescent="0.3">
      <c r="H396" s="17"/>
      <c r="J396" s="15"/>
    </row>
    <row r="397" spans="8:10" ht="14.25" customHeight="1" x14ac:dyDescent="0.3">
      <c r="H397" s="17"/>
      <c r="J397" s="15"/>
    </row>
    <row r="398" spans="8:10" ht="14.25" customHeight="1" x14ac:dyDescent="0.3">
      <c r="H398" s="17"/>
      <c r="J398" s="15"/>
    </row>
    <row r="399" spans="8:10" ht="14.25" customHeight="1" x14ac:dyDescent="0.3">
      <c r="H399" s="17"/>
      <c r="J399" s="15"/>
    </row>
    <row r="400" spans="8:10" ht="14.25" customHeight="1" x14ac:dyDescent="0.3">
      <c r="H400" s="17"/>
      <c r="J400" s="15"/>
    </row>
    <row r="401" spans="8:10" ht="14.25" customHeight="1" x14ac:dyDescent="0.3">
      <c r="H401" s="17"/>
      <c r="J401" s="15"/>
    </row>
    <row r="402" spans="8:10" ht="14.25" customHeight="1" x14ac:dyDescent="0.3">
      <c r="H402" s="17"/>
      <c r="J402" s="15"/>
    </row>
    <row r="403" spans="8:10" ht="14.25" customHeight="1" x14ac:dyDescent="0.3">
      <c r="H403" s="17"/>
      <c r="J403" s="15"/>
    </row>
    <row r="404" spans="8:10" ht="14.25" customHeight="1" x14ac:dyDescent="0.3">
      <c r="H404" s="17"/>
      <c r="J404" s="15"/>
    </row>
    <row r="405" spans="8:10" ht="14.25" customHeight="1" x14ac:dyDescent="0.3">
      <c r="H405" s="17"/>
      <c r="J405" s="15"/>
    </row>
    <row r="406" spans="8:10" ht="14.25" customHeight="1" x14ac:dyDescent="0.3">
      <c r="H406" s="17"/>
      <c r="J406" s="15"/>
    </row>
    <row r="407" spans="8:10" ht="14.25" customHeight="1" x14ac:dyDescent="0.3">
      <c r="H407" s="17"/>
      <c r="J407" s="15"/>
    </row>
    <row r="408" spans="8:10" ht="14.25" customHeight="1" x14ac:dyDescent="0.3">
      <c r="H408" s="17"/>
      <c r="J408" s="15"/>
    </row>
    <row r="409" spans="8:10" ht="14.25" customHeight="1" x14ac:dyDescent="0.3">
      <c r="H409" s="17"/>
      <c r="J409" s="15"/>
    </row>
    <row r="410" spans="8:10" ht="14.25" customHeight="1" x14ac:dyDescent="0.3">
      <c r="H410" s="17"/>
      <c r="J410" s="15"/>
    </row>
    <row r="411" spans="8:10" ht="14.25" customHeight="1" x14ac:dyDescent="0.3">
      <c r="H411" s="17"/>
      <c r="J411" s="15"/>
    </row>
    <row r="412" spans="8:10" ht="14.25" customHeight="1" x14ac:dyDescent="0.3">
      <c r="H412" s="17"/>
      <c r="J412" s="15"/>
    </row>
    <row r="413" spans="8:10" ht="14.25" customHeight="1" x14ac:dyDescent="0.3">
      <c r="H413" s="17"/>
      <c r="J413" s="15"/>
    </row>
    <row r="414" spans="8:10" ht="14.25" customHeight="1" x14ac:dyDescent="0.3">
      <c r="H414" s="17"/>
      <c r="J414" s="15"/>
    </row>
    <row r="415" spans="8:10" ht="14.25" customHeight="1" x14ac:dyDescent="0.3">
      <c r="H415" s="17"/>
      <c r="J415" s="15"/>
    </row>
    <row r="416" spans="8:10" ht="14.25" customHeight="1" x14ac:dyDescent="0.3">
      <c r="H416" s="17"/>
      <c r="J416" s="15"/>
    </row>
    <row r="417" spans="8:10" ht="14.25" customHeight="1" x14ac:dyDescent="0.3">
      <c r="H417" s="17"/>
      <c r="J417" s="15"/>
    </row>
    <row r="418" spans="8:10" ht="14.25" customHeight="1" x14ac:dyDescent="0.3">
      <c r="H418" s="17"/>
      <c r="J418" s="15"/>
    </row>
    <row r="419" spans="8:10" ht="14.25" customHeight="1" x14ac:dyDescent="0.3">
      <c r="H419" s="17"/>
      <c r="J419" s="15"/>
    </row>
    <row r="420" spans="8:10" ht="14.25" customHeight="1" x14ac:dyDescent="0.3">
      <c r="H420" s="17"/>
      <c r="J420" s="15"/>
    </row>
    <row r="421" spans="8:10" ht="14.25" customHeight="1" x14ac:dyDescent="0.3">
      <c r="H421" s="17"/>
      <c r="J421" s="15"/>
    </row>
    <row r="422" spans="8:10" ht="14.25" customHeight="1" x14ac:dyDescent="0.3">
      <c r="H422" s="17"/>
      <c r="J422" s="15"/>
    </row>
    <row r="423" spans="8:10" ht="14.25" customHeight="1" x14ac:dyDescent="0.3">
      <c r="H423" s="17"/>
      <c r="J423" s="15"/>
    </row>
    <row r="424" spans="8:10" ht="14.25" customHeight="1" x14ac:dyDescent="0.3">
      <c r="H424" s="17"/>
      <c r="J424" s="15"/>
    </row>
    <row r="425" spans="8:10" ht="14.25" customHeight="1" x14ac:dyDescent="0.3">
      <c r="H425" s="17"/>
      <c r="J425" s="15"/>
    </row>
    <row r="426" spans="8:10" ht="14.25" customHeight="1" x14ac:dyDescent="0.3">
      <c r="H426" s="17"/>
      <c r="J426" s="15"/>
    </row>
    <row r="427" spans="8:10" ht="14.25" customHeight="1" x14ac:dyDescent="0.3">
      <c r="H427" s="17"/>
      <c r="J427" s="15"/>
    </row>
    <row r="428" spans="8:10" ht="14.25" customHeight="1" x14ac:dyDescent="0.3">
      <c r="H428" s="17"/>
      <c r="J428" s="15"/>
    </row>
    <row r="429" spans="8:10" ht="14.25" customHeight="1" x14ac:dyDescent="0.3">
      <c r="H429" s="17"/>
      <c r="J429" s="15"/>
    </row>
    <row r="430" spans="8:10" ht="14.25" customHeight="1" x14ac:dyDescent="0.3">
      <c r="H430" s="17"/>
      <c r="J430" s="15"/>
    </row>
    <row r="431" spans="8:10" ht="14.25" customHeight="1" x14ac:dyDescent="0.3">
      <c r="H431" s="17"/>
      <c r="J431" s="15"/>
    </row>
    <row r="432" spans="8:10" ht="14.25" customHeight="1" x14ac:dyDescent="0.3">
      <c r="H432" s="17"/>
      <c r="J432" s="15"/>
    </row>
    <row r="433" spans="8:10" ht="14.25" customHeight="1" x14ac:dyDescent="0.3">
      <c r="H433" s="17"/>
      <c r="J433" s="15"/>
    </row>
    <row r="434" spans="8:10" ht="14.25" customHeight="1" x14ac:dyDescent="0.3">
      <c r="H434" s="17"/>
      <c r="J434" s="15"/>
    </row>
    <row r="435" spans="8:10" ht="14.25" customHeight="1" x14ac:dyDescent="0.3">
      <c r="H435" s="17"/>
      <c r="J435" s="15"/>
    </row>
    <row r="436" spans="8:10" ht="14.25" customHeight="1" x14ac:dyDescent="0.3">
      <c r="H436" s="17"/>
      <c r="J436" s="15"/>
    </row>
    <row r="437" spans="8:10" ht="14.25" customHeight="1" x14ac:dyDescent="0.3">
      <c r="H437" s="17"/>
      <c r="J437" s="15"/>
    </row>
    <row r="438" spans="8:10" ht="14.25" customHeight="1" x14ac:dyDescent="0.3">
      <c r="H438" s="17"/>
      <c r="J438" s="15"/>
    </row>
    <row r="439" spans="8:10" ht="14.25" customHeight="1" x14ac:dyDescent="0.3">
      <c r="H439" s="17"/>
      <c r="J439" s="15"/>
    </row>
    <row r="440" spans="8:10" ht="14.25" customHeight="1" x14ac:dyDescent="0.3">
      <c r="H440" s="17"/>
      <c r="J440" s="15"/>
    </row>
    <row r="441" spans="8:10" ht="14.25" customHeight="1" x14ac:dyDescent="0.3">
      <c r="H441" s="17"/>
      <c r="J441" s="15"/>
    </row>
    <row r="442" spans="8:10" ht="14.25" customHeight="1" x14ac:dyDescent="0.3">
      <c r="H442" s="17"/>
      <c r="J442" s="15"/>
    </row>
    <row r="443" spans="8:10" ht="14.25" customHeight="1" x14ac:dyDescent="0.3">
      <c r="H443" s="17"/>
      <c r="J443" s="15"/>
    </row>
    <row r="444" spans="8:10" ht="14.25" customHeight="1" x14ac:dyDescent="0.3">
      <c r="H444" s="17"/>
      <c r="J444" s="15"/>
    </row>
    <row r="445" spans="8:10" ht="14.25" customHeight="1" x14ac:dyDescent="0.3">
      <c r="H445" s="17"/>
      <c r="J445" s="15"/>
    </row>
    <row r="446" spans="8:10" ht="14.25" customHeight="1" x14ac:dyDescent="0.3">
      <c r="H446" s="17"/>
      <c r="J446" s="15"/>
    </row>
    <row r="447" spans="8:10" ht="14.25" customHeight="1" x14ac:dyDescent="0.3">
      <c r="H447" s="17"/>
      <c r="J447" s="15"/>
    </row>
    <row r="448" spans="8:10" ht="14.25" customHeight="1" x14ac:dyDescent="0.3">
      <c r="H448" s="17"/>
      <c r="J448" s="15"/>
    </row>
    <row r="449" spans="8:10" ht="14.25" customHeight="1" x14ac:dyDescent="0.3">
      <c r="H449" s="17"/>
      <c r="J449" s="15"/>
    </row>
    <row r="450" spans="8:10" ht="14.25" customHeight="1" x14ac:dyDescent="0.3">
      <c r="H450" s="17"/>
      <c r="J450" s="15"/>
    </row>
    <row r="451" spans="8:10" ht="14.25" customHeight="1" x14ac:dyDescent="0.3">
      <c r="H451" s="17"/>
      <c r="J451" s="15"/>
    </row>
    <row r="452" spans="8:10" ht="14.25" customHeight="1" x14ac:dyDescent="0.3">
      <c r="H452" s="17"/>
      <c r="J452" s="15"/>
    </row>
    <row r="453" spans="8:10" ht="14.25" customHeight="1" x14ac:dyDescent="0.3">
      <c r="H453" s="17"/>
      <c r="J453" s="15"/>
    </row>
    <row r="454" spans="8:10" ht="14.25" customHeight="1" x14ac:dyDescent="0.3">
      <c r="H454" s="17"/>
      <c r="J454" s="15"/>
    </row>
    <row r="455" spans="8:10" ht="14.25" customHeight="1" x14ac:dyDescent="0.3">
      <c r="H455" s="17"/>
      <c r="J455" s="15"/>
    </row>
    <row r="456" spans="8:10" ht="14.25" customHeight="1" x14ac:dyDescent="0.3">
      <c r="H456" s="17"/>
      <c r="J456" s="15"/>
    </row>
    <row r="457" spans="8:10" ht="14.25" customHeight="1" x14ac:dyDescent="0.3">
      <c r="H457" s="17"/>
      <c r="J457" s="15"/>
    </row>
    <row r="458" spans="8:10" ht="14.25" customHeight="1" x14ac:dyDescent="0.3">
      <c r="H458" s="17"/>
      <c r="J458" s="15"/>
    </row>
    <row r="459" spans="8:10" ht="14.25" customHeight="1" x14ac:dyDescent="0.3">
      <c r="H459" s="17"/>
      <c r="J459" s="15"/>
    </row>
    <row r="460" spans="8:10" ht="14.25" customHeight="1" x14ac:dyDescent="0.3">
      <c r="H460" s="17"/>
      <c r="J460" s="15"/>
    </row>
    <row r="461" spans="8:10" ht="14.25" customHeight="1" x14ac:dyDescent="0.3">
      <c r="H461" s="17"/>
      <c r="J461" s="15"/>
    </row>
    <row r="462" spans="8:10" ht="14.25" customHeight="1" x14ac:dyDescent="0.3">
      <c r="H462" s="17"/>
      <c r="J462" s="15"/>
    </row>
    <row r="463" spans="8:10" ht="14.25" customHeight="1" x14ac:dyDescent="0.3">
      <c r="H463" s="17"/>
      <c r="J463" s="15"/>
    </row>
    <row r="464" spans="8:10" ht="14.25" customHeight="1" x14ac:dyDescent="0.3">
      <c r="H464" s="17"/>
      <c r="J464" s="15"/>
    </row>
    <row r="465" spans="8:10" ht="14.25" customHeight="1" x14ac:dyDescent="0.3">
      <c r="H465" s="17"/>
      <c r="J465" s="15"/>
    </row>
    <row r="466" spans="8:10" ht="14.25" customHeight="1" x14ac:dyDescent="0.3">
      <c r="H466" s="17"/>
      <c r="J466" s="15"/>
    </row>
    <row r="467" spans="8:10" ht="14.25" customHeight="1" x14ac:dyDescent="0.3">
      <c r="H467" s="17"/>
      <c r="J467" s="15"/>
    </row>
    <row r="468" spans="8:10" ht="14.25" customHeight="1" x14ac:dyDescent="0.3">
      <c r="H468" s="17"/>
      <c r="J468" s="15"/>
    </row>
    <row r="469" spans="8:10" ht="14.25" customHeight="1" x14ac:dyDescent="0.3">
      <c r="H469" s="17"/>
      <c r="J469" s="15"/>
    </row>
    <row r="470" spans="8:10" ht="14.25" customHeight="1" x14ac:dyDescent="0.3">
      <c r="H470" s="17"/>
      <c r="J470" s="15"/>
    </row>
    <row r="471" spans="8:10" ht="14.25" customHeight="1" x14ac:dyDescent="0.3">
      <c r="H471" s="17"/>
      <c r="J471" s="15"/>
    </row>
    <row r="472" spans="8:10" ht="14.25" customHeight="1" x14ac:dyDescent="0.3">
      <c r="H472" s="17"/>
      <c r="J472" s="15"/>
    </row>
    <row r="473" spans="8:10" ht="14.25" customHeight="1" x14ac:dyDescent="0.3">
      <c r="H473" s="17"/>
      <c r="J473" s="15"/>
    </row>
    <row r="474" spans="8:10" ht="14.25" customHeight="1" x14ac:dyDescent="0.3">
      <c r="H474" s="17"/>
      <c r="J474" s="15"/>
    </row>
    <row r="475" spans="8:10" ht="14.25" customHeight="1" x14ac:dyDescent="0.3">
      <c r="H475" s="17"/>
      <c r="J475" s="15"/>
    </row>
    <row r="476" spans="8:10" ht="14.25" customHeight="1" x14ac:dyDescent="0.3">
      <c r="H476" s="17"/>
      <c r="J476" s="15"/>
    </row>
    <row r="477" spans="8:10" ht="14.25" customHeight="1" x14ac:dyDescent="0.3">
      <c r="H477" s="17"/>
      <c r="J477" s="15"/>
    </row>
    <row r="478" spans="8:10" ht="14.25" customHeight="1" x14ac:dyDescent="0.3">
      <c r="H478" s="17"/>
      <c r="J478" s="15"/>
    </row>
    <row r="479" spans="8:10" ht="14.25" customHeight="1" x14ac:dyDescent="0.3">
      <c r="H479" s="17"/>
      <c r="J479" s="15"/>
    </row>
    <row r="480" spans="8:10" ht="14.25" customHeight="1" x14ac:dyDescent="0.3">
      <c r="H480" s="17"/>
      <c r="J480" s="15"/>
    </row>
    <row r="481" spans="8:10" ht="14.25" customHeight="1" x14ac:dyDescent="0.3">
      <c r="H481" s="17"/>
      <c r="J481" s="15"/>
    </row>
    <row r="482" spans="8:10" ht="14.25" customHeight="1" x14ac:dyDescent="0.3">
      <c r="H482" s="17"/>
      <c r="J482" s="15"/>
    </row>
    <row r="483" spans="8:10" ht="14.25" customHeight="1" x14ac:dyDescent="0.3">
      <c r="H483" s="17"/>
      <c r="J483" s="15"/>
    </row>
    <row r="484" spans="8:10" ht="14.25" customHeight="1" x14ac:dyDescent="0.3">
      <c r="H484" s="17"/>
      <c r="J484" s="15"/>
    </row>
    <row r="485" spans="8:10" ht="14.25" customHeight="1" x14ac:dyDescent="0.3">
      <c r="H485" s="17"/>
      <c r="J485" s="15"/>
    </row>
    <row r="486" spans="8:10" ht="14.25" customHeight="1" x14ac:dyDescent="0.3">
      <c r="H486" s="17"/>
      <c r="J486" s="15"/>
    </row>
    <row r="487" spans="8:10" ht="14.25" customHeight="1" x14ac:dyDescent="0.3">
      <c r="H487" s="17"/>
      <c r="J487" s="15"/>
    </row>
    <row r="488" spans="8:10" ht="14.25" customHeight="1" x14ac:dyDescent="0.3">
      <c r="H488" s="17"/>
      <c r="J488" s="15"/>
    </row>
    <row r="489" spans="8:10" ht="14.25" customHeight="1" x14ac:dyDescent="0.3">
      <c r="H489" s="17"/>
      <c r="J489" s="15"/>
    </row>
    <row r="490" spans="8:10" ht="14.25" customHeight="1" x14ac:dyDescent="0.3">
      <c r="H490" s="17"/>
      <c r="J490" s="15"/>
    </row>
    <row r="491" spans="8:10" ht="14.25" customHeight="1" x14ac:dyDescent="0.3">
      <c r="H491" s="17"/>
      <c r="J491" s="15"/>
    </row>
    <row r="492" spans="8:10" ht="14.25" customHeight="1" x14ac:dyDescent="0.3">
      <c r="H492" s="17"/>
      <c r="J492" s="15"/>
    </row>
    <row r="493" spans="8:10" ht="14.25" customHeight="1" x14ac:dyDescent="0.3">
      <c r="H493" s="17"/>
      <c r="J493" s="15"/>
    </row>
    <row r="494" spans="8:10" ht="14.25" customHeight="1" x14ac:dyDescent="0.3">
      <c r="H494" s="17"/>
      <c r="J494" s="15"/>
    </row>
    <row r="495" spans="8:10" ht="14.25" customHeight="1" x14ac:dyDescent="0.3">
      <c r="H495" s="17"/>
      <c r="J495" s="15"/>
    </row>
    <row r="496" spans="8:10" ht="14.25" customHeight="1" x14ac:dyDescent="0.3">
      <c r="H496" s="17"/>
      <c r="J496" s="15"/>
    </row>
    <row r="497" spans="8:10" ht="14.25" customHeight="1" x14ac:dyDescent="0.3">
      <c r="H497" s="17"/>
      <c r="J497" s="15"/>
    </row>
    <row r="498" spans="8:10" ht="14.25" customHeight="1" x14ac:dyDescent="0.3">
      <c r="H498" s="17"/>
      <c r="J498" s="15"/>
    </row>
    <row r="499" spans="8:10" ht="14.25" customHeight="1" x14ac:dyDescent="0.3">
      <c r="H499" s="17"/>
      <c r="J499" s="15"/>
    </row>
    <row r="500" spans="8:10" ht="14.25" customHeight="1" x14ac:dyDescent="0.3">
      <c r="H500" s="17"/>
      <c r="J500" s="15"/>
    </row>
    <row r="501" spans="8:10" ht="14.25" customHeight="1" x14ac:dyDescent="0.3">
      <c r="H501" s="17"/>
      <c r="J501" s="15"/>
    </row>
    <row r="502" spans="8:10" ht="14.25" customHeight="1" x14ac:dyDescent="0.3">
      <c r="H502" s="17"/>
      <c r="J502" s="15"/>
    </row>
    <row r="503" spans="8:10" ht="14.25" customHeight="1" x14ac:dyDescent="0.3">
      <c r="H503" s="17"/>
      <c r="J503" s="15"/>
    </row>
    <row r="504" spans="8:10" ht="14.25" customHeight="1" x14ac:dyDescent="0.3">
      <c r="H504" s="17"/>
      <c r="J504" s="15"/>
    </row>
    <row r="505" spans="8:10" ht="14.25" customHeight="1" x14ac:dyDescent="0.3">
      <c r="H505" s="17"/>
      <c r="J505" s="15"/>
    </row>
    <row r="506" spans="8:10" ht="14.25" customHeight="1" x14ac:dyDescent="0.3">
      <c r="H506" s="17"/>
      <c r="J506" s="15"/>
    </row>
    <row r="507" spans="8:10" ht="14.25" customHeight="1" x14ac:dyDescent="0.3">
      <c r="H507" s="17"/>
      <c r="J507" s="15"/>
    </row>
    <row r="508" spans="8:10" ht="14.25" customHeight="1" x14ac:dyDescent="0.3">
      <c r="H508" s="17"/>
      <c r="J508" s="15"/>
    </row>
    <row r="509" spans="8:10" ht="14.25" customHeight="1" x14ac:dyDescent="0.3">
      <c r="H509" s="17"/>
      <c r="J509" s="15"/>
    </row>
    <row r="510" spans="8:10" ht="14.25" customHeight="1" x14ac:dyDescent="0.3">
      <c r="H510" s="17"/>
      <c r="J510" s="15"/>
    </row>
    <row r="511" spans="8:10" ht="14.25" customHeight="1" x14ac:dyDescent="0.3">
      <c r="H511" s="17"/>
      <c r="J511" s="15"/>
    </row>
    <row r="512" spans="8:10" ht="14.25" customHeight="1" x14ac:dyDescent="0.3">
      <c r="H512" s="17"/>
      <c r="J512" s="15"/>
    </row>
    <row r="513" spans="8:10" ht="14.25" customHeight="1" x14ac:dyDescent="0.3">
      <c r="H513" s="17"/>
      <c r="J513" s="15"/>
    </row>
    <row r="514" spans="8:10" ht="14.25" customHeight="1" x14ac:dyDescent="0.3">
      <c r="H514" s="17"/>
      <c r="J514" s="15"/>
    </row>
    <row r="515" spans="8:10" ht="14.25" customHeight="1" x14ac:dyDescent="0.3">
      <c r="H515" s="17"/>
      <c r="J515" s="15"/>
    </row>
    <row r="516" spans="8:10" ht="14.25" customHeight="1" x14ac:dyDescent="0.3">
      <c r="H516" s="17"/>
      <c r="J516" s="15"/>
    </row>
    <row r="517" spans="8:10" ht="14.25" customHeight="1" x14ac:dyDescent="0.3">
      <c r="H517" s="17"/>
      <c r="J517" s="15"/>
    </row>
    <row r="518" spans="8:10" ht="14.25" customHeight="1" x14ac:dyDescent="0.3">
      <c r="H518" s="17"/>
      <c r="J518" s="15"/>
    </row>
    <row r="519" spans="8:10" ht="14.25" customHeight="1" x14ac:dyDescent="0.3">
      <c r="H519" s="17"/>
      <c r="J519" s="15"/>
    </row>
    <row r="520" spans="8:10" ht="14.25" customHeight="1" x14ac:dyDescent="0.3">
      <c r="H520" s="17"/>
      <c r="J520" s="15"/>
    </row>
    <row r="521" spans="8:10" ht="14.25" customHeight="1" x14ac:dyDescent="0.3">
      <c r="H521" s="17"/>
      <c r="J521" s="15"/>
    </row>
    <row r="522" spans="8:10" ht="14.25" customHeight="1" x14ac:dyDescent="0.3">
      <c r="H522" s="17"/>
      <c r="J522" s="15"/>
    </row>
    <row r="523" spans="8:10" ht="14.25" customHeight="1" x14ac:dyDescent="0.3">
      <c r="H523" s="17"/>
      <c r="J523" s="15"/>
    </row>
    <row r="524" spans="8:10" ht="14.25" customHeight="1" x14ac:dyDescent="0.3">
      <c r="H524" s="17"/>
      <c r="J524" s="15"/>
    </row>
    <row r="525" spans="8:10" ht="14.25" customHeight="1" x14ac:dyDescent="0.3">
      <c r="H525" s="17"/>
      <c r="J525" s="15"/>
    </row>
    <row r="526" spans="8:10" ht="14.25" customHeight="1" x14ac:dyDescent="0.3">
      <c r="H526" s="17"/>
      <c r="J526" s="15"/>
    </row>
    <row r="527" spans="8:10" ht="14.25" customHeight="1" x14ac:dyDescent="0.3">
      <c r="H527" s="17"/>
      <c r="J527" s="15"/>
    </row>
    <row r="528" spans="8:10" ht="14.25" customHeight="1" x14ac:dyDescent="0.3">
      <c r="H528" s="17"/>
      <c r="J528" s="15"/>
    </row>
    <row r="529" spans="8:10" ht="14.25" customHeight="1" x14ac:dyDescent="0.3">
      <c r="H529" s="17"/>
      <c r="J529" s="15"/>
    </row>
    <row r="530" spans="8:10" ht="14.25" customHeight="1" x14ac:dyDescent="0.3">
      <c r="H530" s="17"/>
      <c r="J530" s="15"/>
    </row>
    <row r="531" spans="8:10" ht="14.25" customHeight="1" x14ac:dyDescent="0.3">
      <c r="H531" s="17"/>
      <c r="J531" s="15"/>
    </row>
    <row r="532" spans="8:10" ht="14.25" customHeight="1" x14ac:dyDescent="0.3">
      <c r="H532" s="17"/>
      <c r="J532" s="15"/>
    </row>
    <row r="533" spans="8:10" ht="14.25" customHeight="1" x14ac:dyDescent="0.3">
      <c r="H533" s="17"/>
      <c r="J533" s="15"/>
    </row>
    <row r="534" spans="8:10" ht="14.25" customHeight="1" x14ac:dyDescent="0.3">
      <c r="H534" s="17"/>
      <c r="J534" s="15"/>
    </row>
    <row r="535" spans="8:10" ht="14.25" customHeight="1" x14ac:dyDescent="0.3">
      <c r="H535" s="17"/>
      <c r="J535" s="15"/>
    </row>
    <row r="536" spans="8:10" ht="14.25" customHeight="1" x14ac:dyDescent="0.3">
      <c r="H536" s="17"/>
      <c r="J536" s="15"/>
    </row>
    <row r="537" spans="8:10" ht="14.25" customHeight="1" x14ac:dyDescent="0.3">
      <c r="H537" s="17"/>
      <c r="J537" s="15"/>
    </row>
    <row r="538" spans="8:10" ht="14.25" customHeight="1" x14ac:dyDescent="0.3">
      <c r="H538" s="17"/>
      <c r="J538" s="15"/>
    </row>
    <row r="539" spans="8:10" ht="14.25" customHeight="1" x14ac:dyDescent="0.3">
      <c r="H539" s="17"/>
      <c r="J539" s="15"/>
    </row>
    <row r="540" spans="8:10" ht="14.25" customHeight="1" x14ac:dyDescent="0.3">
      <c r="H540" s="17"/>
      <c r="J540" s="15"/>
    </row>
    <row r="541" spans="8:10" ht="14.25" customHeight="1" x14ac:dyDescent="0.3">
      <c r="H541" s="17"/>
      <c r="J541" s="15"/>
    </row>
    <row r="542" spans="8:10" ht="14.25" customHeight="1" x14ac:dyDescent="0.3">
      <c r="H542" s="17"/>
      <c r="J542" s="15"/>
    </row>
    <row r="543" spans="8:10" ht="14.25" customHeight="1" x14ac:dyDescent="0.3">
      <c r="H543" s="17"/>
      <c r="J543" s="15"/>
    </row>
    <row r="544" spans="8:10" ht="14.25" customHeight="1" x14ac:dyDescent="0.3">
      <c r="H544" s="17"/>
      <c r="J544" s="15"/>
    </row>
    <row r="545" spans="8:10" ht="14.25" customHeight="1" x14ac:dyDescent="0.3">
      <c r="H545" s="17"/>
      <c r="J545" s="15"/>
    </row>
    <row r="546" spans="8:10" ht="14.25" customHeight="1" x14ac:dyDescent="0.3">
      <c r="H546" s="17"/>
      <c r="J546" s="15"/>
    </row>
    <row r="547" spans="8:10" ht="14.25" customHeight="1" x14ac:dyDescent="0.3">
      <c r="H547" s="17"/>
      <c r="J547" s="15"/>
    </row>
    <row r="548" spans="8:10" ht="14.25" customHeight="1" x14ac:dyDescent="0.3">
      <c r="H548" s="17"/>
      <c r="J548" s="15"/>
    </row>
    <row r="549" spans="8:10" ht="14.25" customHeight="1" x14ac:dyDescent="0.3">
      <c r="H549" s="17"/>
      <c r="J549" s="15"/>
    </row>
    <row r="550" spans="8:10" ht="14.25" customHeight="1" x14ac:dyDescent="0.3">
      <c r="H550" s="17"/>
      <c r="J550" s="15"/>
    </row>
    <row r="551" spans="8:10" ht="14.25" customHeight="1" x14ac:dyDescent="0.3">
      <c r="H551" s="17"/>
      <c r="J551" s="15"/>
    </row>
    <row r="552" spans="8:10" ht="14.25" customHeight="1" x14ac:dyDescent="0.3">
      <c r="H552" s="17"/>
      <c r="J552" s="15"/>
    </row>
    <row r="553" spans="8:10" ht="14.25" customHeight="1" x14ac:dyDescent="0.3">
      <c r="H553" s="17"/>
      <c r="J553" s="15"/>
    </row>
    <row r="554" spans="8:10" ht="14.25" customHeight="1" x14ac:dyDescent="0.3">
      <c r="H554" s="17"/>
      <c r="J554" s="15"/>
    </row>
    <row r="555" spans="8:10" ht="14.25" customHeight="1" x14ac:dyDescent="0.3">
      <c r="H555" s="17"/>
      <c r="J555" s="15"/>
    </row>
    <row r="556" spans="8:10" ht="14.25" customHeight="1" x14ac:dyDescent="0.3">
      <c r="H556" s="17"/>
      <c r="J556" s="15"/>
    </row>
    <row r="557" spans="8:10" ht="14.25" customHeight="1" x14ac:dyDescent="0.3">
      <c r="H557" s="17"/>
      <c r="J557" s="15"/>
    </row>
    <row r="558" spans="8:10" ht="14.25" customHeight="1" x14ac:dyDescent="0.3">
      <c r="H558" s="17"/>
      <c r="J558" s="15"/>
    </row>
    <row r="559" spans="8:10" ht="14.25" customHeight="1" x14ac:dyDescent="0.3">
      <c r="H559" s="17"/>
      <c r="J559" s="15"/>
    </row>
    <row r="560" spans="8:10" ht="14.25" customHeight="1" x14ac:dyDescent="0.3">
      <c r="H560" s="17"/>
      <c r="J560" s="15"/>
    </row>
    <row r="561" spans="8:10" ht="14.25" customHeight="1" x14ac:dyDescent="0.3">
      <c r="H561" s="17"/>
      <c r="J561" s="15"/>
    </row>
    <row r="562" spans="8:10" ht="14.25" customHeight="1" x14ac:dyDescent="0.3">
      <c r="H562" s="17"/>
      <c r="J562" s="15"/>
    </row>
    <row r="563" spans="8:10" ht="14.25" customHeight="1" x14ac:dyDescent="0.3">
      <c r="H563" s="17"/>
      <c r="J563" s="15"/>
    </row>
    <row r="564" spans="8:10" ht="14.25" customHeight="1" x14ac:dyDescent="0.3">
      <c r="H564" s="17"/>
      <c r="J564" s="15"/>
    </row>
    <row r="565" spans="8:10" ht="14.25" customHeight="1" x14ac:dyDescent="0.3">
      <c r="H565" s="17"/>
      <c r="J565" s="15"/>
    </row>
    <row r="566" spans="8:10" ht="14.25" customHeight="1" x14ac:dyDescent="0.3">
      <c r="H566" s="17"/>
      <c r="J566" s="15"/>
    </row>
    <row r="567" spans="8:10" ht="14.25" customHeight="1" x14ac:dyDescent="0.3">
      <c r="H567" s="17"/>
      <c r="J567" s="15"/>
    </row>
    <row r="568" spans="8:10" ht="14.25" customHeight="1" x14ac:dyDescent="0.3">
      <c r="H568" s="17"/>
      <c r="J568" s="15"/>
    </row>
    <row r="569" spans="8:10" ht="14.25" customHeight="1" x14ac:dyDescent="0.3">
      <c r="H569" s="17"/>
      <c r="J569" s="15"/>
    </row>
    <row r="570" spans="8:10" ht="14.25" customHeight="1" x14ac:dyDescent="0.3">
      <c r="H570" s="17"/>
      <c r="J570" s="15"/>
    </row>
    <row r="571" spans="8:10" ht="14.25" customHeight="1" x14ac:dyDescent="0.3">
      <c r="H571" s="17"/>
      <c r="J571" s="15"/>
    </row>
    <row r="572" spans="8:10" ht="14.25" customHeight="1" x14ac:dyDescent="0.3">
      <c r="H572" s="17"/>
      <c r="J572" s="15"/>
    </row>
    <row r="573" spans="8:10" ht="14.25" customHeight="1" x14ac:dyDescent="0.3">
      <c r="H573" s="17"/>
      <c r="J573" s="15"/>
    </row>
    <row r="574" spans="8:10" ht="14.25" customHeight="1" x14ac:dyDescent="0.3">
      <c r="H574" s="17"/>
      <c r="J574" s="15"/>
    </row>
    <row r="575" spans="8:10" ht="14.25" customHeight="1" x14ac:dyDescent="0.3">
      <c r="H575" s="17"/>
      <c r="J575" s="15"/>
    </row>
    <row r="576" spans="8:10" ht="14.25" customHeight="1" x14ac:dyDescent="0.3">
      <c r="H576" s="17"/>
      <c r="J576" s="15"/>
    </row>
    <row r="577" spans="8:10" ht="14.25" customHeight="1" x14ac:dyDescent="0.3">
      <c r="H577" s="17"/>
      <c r="J577" s="15"/>
    </row>
    <row r="578" spans="8:10" ht="14.25" customHeight="1" x14ac:dyDescent="0.3">
      <c r="H578" s="17"/>
      <c r="J578" s="15"/>
    </row>
    <row r="579" spans="8:10" ht="14.25" customHeight="1" x14ac:dyDescent="0.3">
      <c r="H579" s="17"/>
      <c r="J579" s="15"/>
    </row>
    <row r="580" spans="8:10" ht="14.25" customHeight="1" x14ac:dyDescent="0.3">
      <c r="H580" s="17"/>
      <c r="J580" s="15"/>
    </row>
    <row r="581" spans="8:10" ht="14.25" customHeight="1" x14ac:dyDescent="0.3">
      <c r="H581" s="17"/>
      <c r="J581" s="15"/>
    </row>
    <row r="582" spans="8:10" ht="14.25" customHeight="1" x14ac:dyDescent="0.3">
      <c r="H582" s="17"/>
      <c r="J582" s="15"/>
    </row>
    <row r="583" spans="8:10" ht="14.25" customHeight="1" x14ac:dyDescent="0.3">
      <c r="H583" s="17"/>
      <c r="J583" s="15"/>
    </row>
    <row r="584" spans="8:10" ht="14.25" customHeight="1" x14ac:dyDescent="0.3">
      <c r="H584" s="17"/>
      <c r="J584" s="15"/>
    </row>
    <row r="585" spans="8:10" ht="14.25" customHeight="1" x14ac:dyDescent="0.3">
      <c r="H585" s="17"/>
      <c r="J585" s="15"/>
    </row>
    <row r="586" spans="8:10" ht="14.25" customHeight="1" x14ac:dyDescent="0.3">
      <c r="H586" s="17"/>
      <c r="J586" s="15"/>
    </row>
    <row r="587" spans="8:10" ht="14.25" customHeight="1" x14ac:dyDescent="0.3">
      <c r="H587" s="17"/>
      <c r="J587" s="15"/>
    </row>
    <row r="588" spans="8:10" ht="14.25" customHeight="1" x14ac:dyDescent="0.3">
      <c r="H588" s="17"/>
      <c r="J588" s="15"/>
    </row>
    <row r="589" spans="8:10" ht="14.25" customHeight="1" x14ac:dyDescent="0.3">
      <c r="H589" s="17"/>
      <c r="J589" s="15"/>
    </row>
    <row r="590" spans="8:10" ht="14.25" customHeight="1" x14ac:dyDescent="0.3">
      <c r="H590" s="17"/>
      <c r="J590" s="15"/>
    </row>
    <row r="591" spans="8:10" ht="14.25" customHeight="1" x14ac:dyDescent="0.3">
      <c r="H591" s="17"/>
      <c r="J591" s="15"/>
    </row>
    <row r="592" spans="8:10" ht="14.25" customHeight="1" x14ac:dyDescent="0.3">
      <c r="H592" s="17"/>
      <c r="J592" s="15"/>
    </row>
    <row r="593" spans="8:10" ht="14.25" customHeight="1" x14ac:dyDescent="0.3">
      <c r="H593" s="17"/>
      <c r="J593" s="15"/>
    </row>
    <row r="594" spans="8:10" ht="14.25" customHeight="1" x14ac:dyDescent="0.3">
      <c r="H594" s="17"/>
      <c r="J594" s="15"/>
    </row>
    <row r="595" spans="8:10" ht="14.25" customHeight="1" x14ac:dyDescent="0.3">
      <c r="H595" s="17"/>
      <c r="J595" s="15"/>
    </row>
    <row r="596" spans="8:10" ht="14.25" customHeight="1" x14ac:dyDescent="0.3">
      <c r="H596" s="17"/>
      <c r="J596" s="15"/>
    </row>
    <row r="597" spans="8:10" ht="14.25" customHeight="1" x14ac:dyDescent="0.3">
      <c r="H597" s="17"/>
      <c r="J597" s="15"/>
    </row>
    <row r="598" spans="8:10" ht="14.25" customHeight="1" x14ac:dyDescent="0.3">
      <c r="H598" s="17"/>
      <c r="J598" s="15"/>
    </row>
    <row r="599" spans="8:10" ht="14.25" customHeight="1" x14ac:dyDescent="0.3">
      <c r="H599" s="17"/>
      <c r="J599" s="15"/>
    </row>
    <row r="600" spans="8:10" ht="14.25" customHeight="1" x14ac:dyDescent="0.3">
      <c r="H600" s="17"/>
      <c r="J600" s="15"/>
    </row>
    <row r="601" spans="8:10" ht="14.25" customHeight="1" x14ac:dyDescent="0.3">
      <c r="H601" s="17"/>
      <c r="J601" s="15"/>
    </row>
    <row r="602" spans="8:10" ht="14.25" customHeight="1" x14ac:dyDescent="0.3">
      <c r="H602" s="17"/>
      <c r="J602" s="15"/>
    </row>
    <row r="603" spans="8:10" ht="14.25" customHeight="1" x14ac:dyDescent="0.3">
      <c r="H603" s="17"/>
      <c r="J603" s="15"/>
    </row>
    <row r="604" spans="8:10" ht="14.25" customHeight="1" x14ac:dyDescent="0.3">
      <c r="H604" s="17"/>
      <c r="J604" s="15"/>
    </row>
    <row r="605" spans="8:10" ht="14.25" customHeight="1" x14ac:dyDescent="0.3">
      <c r="H605" s="17"/>
      <c r="J605" s="15"/>
    </row>
    <row r="606" spans="8:10" ht="14.25" customHeight="1" x14ac:dyDescent="0.3">
      <c r="H606" s="17"/>
      <c r="J606" s="15"/>
    </row>
    <row r="607" spans="8:10" ht="14.25" customHeight="1" x14ac:dyDescent="0.3">
      <c r="H607" s="17"/>
      <c r="J607" s="15"/>
    </row>
    <row r="608" spans="8:10" ht="14.25" customHeight="1" x14ac:dyDescent="0.3">
      <c r="H608" s="17"/>
      <c r="J608" s="15"/>
    </row>
    <row r="609" spans="8:10" ht="14.25" customHeight="1" x14ac:dyDescent="0.3">
      <c r="H609" s="17"/>
      <c r="J609" s="15"/>
    </row>
    <row r="610" spans="8:10" ht="14.25" customHeight="1" x14ac:dyDescent="0.3">
      <c r="H610" s="17"/>
      <c r="J610" s="15"/>
    </row>
    <row r="611" spans="8:10" ht="14.25" customHeight="1" x14ac:dyDescent="0.3">
      <c r="H611" s="17"/>
      <c r="J611" s="15"/>
    </row>
    <row r="612" spans="8:10" ht="14.25" customHeight="1" x14ac:dyDescent="0.3">
      <c r="H612" s="17"/>
      <c r="J612" s="15"/>
    </row>
    <row r="613" spans="8:10" ht="14.25" customHeight="1" x14ac:dyDescent="0.3">
      <c r="H613" s="17"/>
      <c r="J613" s="15"/>
    </row>
    <row r="614" spans="8:10" ht="14.25" customHeight="1" x14ac:dyDescent="0.3">
      <c r="H614" s="17"/>
      <c r="J614" s="15"/>
    </row>
    <row r="615" spans="8:10" ht="14.25" customHeight="1" x14ac:dyDescent="0.3">
      <c r="H615" s="17"/>
      <c r="J615" s="15"/>
    </row>
    <row r="616" spans="8:10" ht="14.25" customHeight="1" x14ac:dyDescent="0.3">
      <c r="H616" s="17"/>
      <c r="J616" s="15"/>
    </row>
    <row r="617" spans="8:10" ht="14.25" customHeight="1" x14ac:dyDescent="0.3">
      <c r="H617" s="17"/>
      <c r="J617" s="15"/>
    </row>
    <row r="618" spans="8:10" ht="14.25" customHeight="1" x14ac:dyDescent="0.3">
      <c r="H618" s="17"/>
      <c r="J618" s="15"/>
    </row>
    <row r="619" spans="8:10" ht="14.25" customHeight="1" x14ac:dyDescent="0.3">
      <c r="H619" s="17"/>
      <c r="J619" s="15"/>
    </row>
    <row r="620" spans="8:10" ht="14.25" customHeight="1" x14ac:dyDescent="0.3">
      <c r="H620" s="17"/>
      <c r="J620" s="15"/>
    </row>
    <row r="621" spans="8:10" ht="14.25" customHeight="1" x14ac:dyDescent="0.3">
      <c r="H621" s="17"/>
      <c r="J621" s="15"/>
    </row>
    <row r="622" spans="8:10" ht="14.25" customHeight="1" x14ac:dyDescent="0.3">
      <c r="H622" s="17"/>
      <c r="J622" s="15"/>
    </row>
    <row r="623" spans="8:10" ht="14.25" customHeight="1" x14ac:dyDescent="0.3">
      <c r="H623" s="17"/>
      <c r="J623" s="15"/>
    </row>
    <row r="624" spans="8:10" ht="14.25" customHeight="1" x14ac:dyDescent="0.3">
      <c r="H624" s="17"/>
      <c r="J624" s="15"/>
    </row>
    <row r="625" spans="8:10" ht="14.25" customHeight="1" x14ac:dyDescent="0.3">
      <c r="H625" s="17"/>
      <c r="J625" s="15"/>
    </row>
    <row r="626" spans="8:10" ht="14.25" customHeight="1" x14ac:dyDescent="0.3">
      <c r="H626" s="17"/>
      <c r="J626" s="15"/>
    </row>
    <row r="627" spans="8:10" ht="14.25" customHeight="1" x14ac:dyDescent="0.3">
      <c r="H627" s="17"/>
      <c r="J627" s="15"/>
    </row>
    <row r="628" spans="8:10" ht="14.25" customHeight="1" x14ac:dyDescent="0.3">
      <c r="H628" s="17"/>
      <c r="J628" s="15"/>
    </row>
    <row r="629" spans="8:10" ht="14.25" customHeight="1" x14ac:dyDescent="0.3">
      <c r="H629" s="17"/>
      <c r="J629" s="15"/>
    </row>
    <row r="630" spans="8:10" ht="14.25" customHeight="1" x14ac:dyDescent="0.3">
      <c r="H630" s="17"/>
      <c r="J630" s="15"/>
    </row>
    <row r="631" spans="8:10" ht="14.25" customHeight="1" x14ac:dyDescent="0.3">
      <c r="H631" s="17"/>
      <c r="J631" s="15"/>
    </row>
    <row r="632" spans="8:10" ht="14.25" customHeight="1" x14ac:dyDescent="0.3">
      <c r="H632" s="17"/>
      <c r="J632" s="15"/>
    </row>
    <row r="633" spans="8:10" ht="14.25" customHeight="1" x14ac:dyDescent="0.3">
      <c r="H633" s="17"/>
      <c r="J633" s="15"/>
    </row>
    <row r="634" spans="8:10" ht="14.25" customHeight="1" x14ac:dyDescent="0.3">
      <c r="H634" s="17"/>
      <c r="J634" s="15"/>
    </row>
    <row r="635" spans="8:10" ht="14.25" customHeight="1" x14ac:dyDescent="0.3">
      <c r="H635" s="17"/>
      <c r="J635" s="15"/>
    </row>
    <row r="636" spans="8:10" ht="14.25" customHeight="1" x14ac:dyDescent="0.3">
      <c r="H636" s="17"/>
      <c r="J636" s="15"/>
    </row>
    <row r="637" spans="8:10" ht="14.25" customHeight="1" x14ac:dyDescent="0.3">
      <c r="H637" s="17"/>
      <c r="J637" s="15"/>
    </row>
    <row r="638" spans="8:10" ht="14.25" customHeight="1" x14ac:dyDescent="0.3">
      <c r="H638" s="17"/>
      <c r="J638" s="15"/>
    </row>
    <row r="639" spans="8:10" ht="14.25" customHeight="1" x14ac:dyDescent="0.3">
      <c r="H639" s="17"/>
      <c r="J639" s="15"/>
    </row>
    <row r="640" spans="8:10" ht="14.25" customHeight="1" x14ac:dyDescent="0.3">
      <c r="H640" s="17"/>
      <c r="J640" s="15"/>
    </row>
    <row r="641" spans="8:10" ht="14.25" customHeight="1" x14ac:dyDescent="0.3">
      <c r="H641" s="17"/>
      <c r="J641" s="15"/>
    </row>
    <row r="642" spans="8:10" ht="14.25" customHeight="1" x14ac:dyDescent="0.3">
      <c r="H642" s="17"/>
      <c r="J642" s="15"/>
    </row>
    <row r="643" spans="8:10" ht="14.25" customHeight="1" x14ac:dyDescent="0.3">
      <c r="H643" s="17"/>
      <c r="J643" s="15"/>
    </row>
    <row r="644" spans="8:10" ht="14.25" customHeight="1" x14ac:dyDescent="0.3">
      <c r="H644" s="17"/>
      <c r="J644" s="15"/>
    </row>
    <row r="645" spans="8:10" ht="14.25" customHeight="1" x14ac:dyDescent="0.3">
      <c r="H645" s="17"/>
      <c r="J645" s="15"/>
    </row>
    <row r="646" spans="8:10" ht="14.25" customHeight="1" x14ac:dyDescent="0.3">
      <c r="H646" s="17"/>
      <c r="J646" s="15"/>
    </row>
    <row r="647" spans="8:10" ht="14.25" customHeight="1" x14ac:dyDescent="0.3">
      <c r="H647" s="17"/>
      <c r="J647" s="15"/>
    </row>
    <row r="648" spans="8:10" ht="14.25" customHeight="1" x14ac:dyDescent="0.3">
      <c r="H648" s="17"/>
      <c r="J648" s="15"/>
    </row>
    <row r="649" spans="8:10" ht="14.25" customHeight="1" x14ac:dyDescent="0.3">
      <c r="H649" s="17"/>
      <c r="J649" s="15"/>
    </row>
    <row r="650" spans="8:10" ht="14.25" customHeight="1" x14ac:dyDescent="0.3">
      <c r="H650" s="17"/>
      <c r="J650" s="15"/>
    </row>
    <row r="651" spans="8:10" ht="14.25" customHeight="1" x14ac:dyDescent="0.3">
      <c r="H651" s="17"/>
      <c r="J651" s="15"/>
    </row>
    <row r="652" spans="8:10" ht="14.25" customHeight="1" x14ac:dyDescent="0.3">
      <c r="H652" s="17"/>
      <c r="J652" s="15"/>
    </row>
    <row r="653" spans="8:10" ht="14.25" customHeight="1" x14ac:dyDescent="0.3">
      <c r="H653" s="17"/>
      <c r="J653" s="15"/>
    </row>
    <row r="654" spans="8:10" ht="14.25" customHeight="1" x14ac:dyDescent="0.3">
      <c r="H654" s="17"/>
      <c r="J654" s="15"/>
    </row>
    <row r="655" spans="8:10" ht="14.25" customHeight="1" x14ac:dyDescent="0.3">
      <c r="H655" s="17"/>
      <c r="J655" s="15"/>
    </row>
    <row r="656" spans="8:10" ht="14.25" customHeight="1" x14ac:dyDescent="0.3">
      <c r="H656" s="17"/>
      <c r="J656" s="15"/>
    </row>
    <row r="657" spans="8:10" ht="14.25" customHeight="1" x14ac:dyDescent="0.3">
      <c r="H657" s="17"/>
      <c r="J657" s="15"/>
    </row>
    <row r="658" spans="8:10" ht="14.25" customHeight="1" x14ac:dyDescent="0.3">
      <c r="H658" s="17"/>
      <c r="J658" s="15"/>
    </row>
    <row r="659" spans="8:10" ht="14.25" customHeight="1" x14ac:dyDescent="0.3">
      <c r="H659" s="17"/>
      <c r="J659" s="15"/>
    </row>
    <row r="660" spans="8:10" ht="14.25" customHeight="1" x14ac:dyDescent="0.3">
      <c r="H660" s="17"/>
      <c r="J660" s="15"/>
    </row>
    <row r="661" spans="8:10" ht="14.25" customHeight="1" x14ac:dyDescent="0.3">
      <c r="H661" s="17"/>
      <c r="J661" s="15"/>
    </row>
    <row r="662" spans="8:10" ht="14.25" customHeight="1" x14ac:dyDescent="0.3">
      <c r="H662" s="17"/>
      <c r="J662" s="15"/>
    </row>
    <row r="663" spans="8:10" ht="14.25" customHeight="1" x14ac:dyDescent="0.3">
      <c r="H663" s="17"/>
      <c r="J663" s="15"/>
    </row>
    <row r="664" spans="8:10" ht="14.25" customHeight="1" x14ac:dyDescent="0.3">
      <c r="H664" s="17"/>
      <c r="J664" s="15"/>
    </row>
    <row r="665" spans="8:10" ht="14.25" customHeight="1" x14ac:dyDescent="0.3">
      <c r="H665" s="17"/>
      <c r="J665" s="15"/>
    </row>
    <row r="666" spans="8:10" ht="14.25" customHeight="1" x14ac:dyDescent="0.3">
      <c r="H666" s="17"/>
      <c r="J666" s="15"/>
    </row>
    <row r="667" spans="8:10" ht="14.25" customHeight="1" x14ac:dyDescent="0.3">
      <c r="H667" s="17"/>
      <c r="J667" s="15"/>
    </row>
    <row r="668" spans="8:10" ht="14.25" customHeight="1" x14ac:dyDescent="0.3">
      <c r="H668" s="17"/>
      <c r="J668" s="15"/>
    </row>
    <row r="669" spans="8:10" ht="14.25" customHeight="1" x14ac:dyDescent="0.3">
      <c r="H669" s="17"/>
      <c r="J669" s="15"/>
    </row>
    <row r="670" spans="8:10" ht="14.25" customHeight="1" x14ac:dyDescent="0.3">
      <c r="H670" s="17"/>
      <c r="J670" s="15"/>
    </row>
    <row r="671" spans="8:10" ht="14.25" customHeight="1" x14ac:dyDescent="0.3">
      <c r="H671" s="17"/>
      <c r="J671" s="15"/>
    </row>
    <row r="672" spans="8:10" ht="14.25" customHeight="1" x14ac:dyDescent="0.3">
      <c r="H672" s="17"/>
      <c r="J672" s="15"/>
    </row>
    <row r="673" spans="8:10" ht="14.25" customHeight="1" x14ac:dyDescent="0.3">
      <c r="H673" s="17"/>
      <c r="J673" s="15"/>
    </row>
    <row r="674" spans="8:10" ht="14.25" customHeight="1" x14ac:dyDescent="0.3">
      <c r="H674" s="17"/>
      <c r="J674" s="15"/>
    </row>
    <row r="675" spans="8:10" ht="14.25" customHeight="1" x14ac:dyDescent="0.3">
      <c r="H675" s="17"/>
      <c r="J675" s="15"/>
    </row>
    <row r="676" spans="8:10" ht="14.25" customHeight="1" x14ac:dyDescent="0.3">
      <c r="H676" s="17"/>
      <c r="J676" s="15"/>
    </row>
    <row r="677" spans="8:10" ht="14.25" customHeight="1" x14ac:dyDescent="0.3">
      <c r="H677" s="17"/>
      <c r="J677" s="15"/>
    </row>
    <row r="678" spans="8:10" ht="14.25" customHeight="1" x14ac:dyDescent="0.3">
      <c r="H678" s="17"/>
      <c r="J678" s="15"/>
    </row>
    <row r="679" spans="8:10" ht="14.25" customHeight="1" x14ac:dyDescent="0.3">
      <c r="H679" s="17"/>
      <c r="J679" s="15"/>
    </row>
    <row r="680" spans="8:10" ht="14.25" customHeight="1" x14ac:dyDescent="0.3">
      <c r="H680" s="17"/>
      <c r="J680" s="15"/>
    </row>
    <row r="681" spans="8:10" ht="14.25" customHeight="1" x14ac:dyDescent="0.3">
      <c r="H681" s="17"/>
      <c r="J681" s="15"/>
    </row>
    <row r="682" spans="8:10" ht="14.25" customHeight="1" x14ac:dyDescent="0.3">
      <c r="H682" s="17"/>
      <c r="J682" s="15"/>
    </row>
    <row r="683" spans="8:10" ht="14.25" customHeight="1" x14ac:dyDescent="0.3">
      <c r="H683" s="17"/>
      <c r="J683" s="15"/>
    </row>
    <row r="684" spans="8:10" ht="14.25" customHeight="1" x14ac:dyDescent="0.3">
      <c r="H684" s="17"/>
      <c r="J684" s="15"/>
    </row>
    <row r="685" spans="8:10" ht="14.25" customHeight="1" x14ac:dyDescent="0.3">
      <c r="H685" s="17"/>
      <c r="J685" s="15"/>
    </row>
    <row r="686" spans="8:10" ht="14.25" customHeight="1" x14ac:dyDescent="0.3">
      <c r="H686" s="17"/>
      <c r="J686" s="15"/>
    </row>
    <row r="687" spans="8:10" ht="14.25" customHeight="1" x14ac:dyDescent="0.3">
      <c r="H687" s="17"/>
      <c r="J687" s="15"/>
    </row>
    <row r="688" spans="8:10" ht="14.25" customHeight="1" x14ac:dyDescent="0.3">
      <c r="H688" s="17"/>
      <c r="J688" s="15"/>
    </row>
    <row r="689" spans="8:10" ht="14.25" customHeight="1" x14ac:dyDescent="0.3">
      <c r="H689" s="17"/>
      <c r="J689" s="15"/>
    </row>
    <row r="690" spans="8:10" ht="14.25" customHeight="1" x14ac:dyDescent="0.3">
      <c r="H690" s="17"/>
      <c r="J690" s="15"/>
    </row>
    <row r="691" spans="8:10" ht="14.25" customHeight="1" x14ac:dyDescent="0.3">
      <c r="H691" s="17"/>
      <c r="J691" s="15"/>
    </row>
    <row r="692" spans="8:10" ht="14.25" customHeight="1" x14ac:dyDescent="0.3">
      <c r="H692" s="17"/>
      <c r="J692" s="15"/>
    </row>
    <row r="693" spans="8:10" ht="14.25" customHeight="1" x14ac:dyDescent="0.3">
      <c r="H693" s="17"/>
      <c r="J693" s="15"/>
    </row>
    <row r="694" spans="8:10" ht="14.25" customHeight="1" x14ac:dyDescent="0.3">
      <c r="H694" s="17"/>
      <c r="J694" s="15"/>
    </row>
    <row r="695" spans="8:10" ht="14.25" customHeight="1" x14ac:dyDescent="0.3">
      <c r="H695" s="17"/>
      <c r="J695" s="15"/>
    </row>
    <row r="696" spans="8:10" ht="14.25" customHeight="1" x14ac:dyDescent="0.3">
      <c r="H696" s="17"/>
      <c r="J696" s="15"/>
    </row>
    <row r="697" spans="8:10" ht="14.25" customHeight="1" x14ac:dyDescent="0.3">
      <c r="H697" s="17"/>
      <c r="J697" s="15"/>
    </row>
    <row r="698" spans="8:10" ht="14.25" customHeight="1" x14ac:dyDescent="0.3">
      <c r="H698" s="17"/>
      <c r="J698" s="15"/>
    </row>
    <row r="699" spans="8:10" ht="14.25" customHeight="1" x14ac:dyDescent="0.3">
      <c r="H699" s="17"/>
      <c r="J699" s="15"/>
    </row>
    <row r="700" spans="8:10" ht="14.25" customHeight="1" x14ac:dyDescent="0.3">
      <c r="H700" s="17"/>
      <c r="J700" s="15"/>
    </row>
    <row r="701" spans="8:10" ht="14.25" customHeight="1" x14ac:dyDescent="0.3">
      <c r="H701" s="17"/>
      <c r="J701" s="15"/>
    </row>
    <row r="702" spans="8:10" ht="14.25" customHeight="1" x14ac:dyDescent="0.3">
      <c r="H702" s="17"/>
      <c r="J702" s="15"/>
    </row>
    <row r="703" spans="8:10" ht="14.25" customHeight="1" x14ac:dyDescent="0.3">
      <c r="H703" s="17"/>
      <c r="J703" s="15"/>
    </row>
    <row r="704" spans="8:10" ht="14.25" customHeight="1" x14ac:dyDescent="0.3">
      <c r="H704" s="17"/>
      <c r="J704" s="15"/>
    </row>
    <row r="705" spans="8:10" ht="14.25" customHeight="1" x14ac:dyDescent="0.3">
      <c r="H705" s="17"/>
      <c r="J705" s="15"/>
    </row>
    <row r="706" spans="8:10" ht="14.25" customHeight="1" x14ac:dyDescent="0.3">
      <c r="H706" s="17"/>
      <c r="J706" s="15"/>
    </row>
    <row r="707" spans="8:10" ht="14.25" customHeight="1" x14ac:dyDescent="0.3">
      <c r="H707" s="17"/>
      <c r="J707" s="15"/>
    </row>
    <row r="708" spans="8:10" ht="14.25" customHeight="1" x14ac:dyDescent="0.3">
      <c r="H708" s="17"/>
      <c r="J708" s="15"/>
    </row>
    <row r="709" spans="8:10" ht="14.25" customHeight="1" x14ac:dyDescent="0.3">
      <c r="H709" s="17"/>
      <c r="J709" s="15"/>
    </row>
    <row r="710" spans="8:10" ht="14.25" customHeight="1" x14ac:dyDescent="0.3">
      <c r="H710" s="17"/>
      <c r="J710" s="15"/>
    </row>
    <row r="711" spans="8:10" ht="14.25" customHeight="1" x14ac:dyDescent="0.3">
      <c r="H711" s="17"/>
      <c r="J711" s="15"/>
    </row>
    <row r="712" spans="8:10" ht="14.25" customHeight="1" x14ac:dyDescent="0.3">
      <c r="H712" s="17"/>
      <c r="J712" s="15"/>
    </row>
    <row r="713" spans="8:10" ht="14.25" customHeight="1" x14ac:dyDescent="0.3">
      <c r="H713" s="17"/>
      <c r="J713" s="15"/>
    </row>
    <row r="714" spans="8:10" ht="14.25" customHeight="1" x14ac:dyDescent="0.3">
      <c r="H714" s="17"/>
      <c r="J714" s="15"/>
    </row>
    <row r="715" spans="8:10" ht="14.25" customHeight="1" x14ac:dyDescent="0.3">
      <c r="H715" s="17"/>
      <c r="J715" s="15"/>
    </row>
    <row r="716" spans="8:10" ht="14.25" customHeight="1" x14ac:dyDescent="0.3">
      <c r="H716" s="17"/>
      <c r="J716" s="15"/>
    </row>
    <row r="717" spans="8:10" ht="14.25" customHeight="1" x14ac:dyDescent="0.3">
      <c r="H717" s="17"/>
      <c r="J717" s="15"/>
    </row>
    <row r="718" spans="8:10" ht="14.25" customHeight="1" x14ac:dyDescent="0.3">
      <c r="H718" s="17"/>
      <c r="J718" s="15"/>
    </row>
    <row r="719" spans="8:10" ht="14.25" customHeight="1" x14ac:dyDescent="0.3">
      <c r="H719" s="17"/>
      <c r="J719" s="15"/>
    </row>
    <row r="720" spans="8:10" ht="14.25" customHeight="1" x14ac:dyDescent="0.3">
      <c r="H720" s="17"/>
      <c r="J720" s="15"/>
    </row>
    <row r="721" spans="8:10" ht="14.25" customHeight="1" x14ac:dyDescent="0.3">
      <c r="H721" s="17"/>
      <c r="J721" s="15"/>
    </row>
    <row r="722" spans="8:10" ht="14.25" customHeight="1" x14ac:dyDescent="0.3">
      <c r="H722" s="17"/>
      <c r="J722" s="15"/>
    </row>
    <row r="723" spans="8:10" ht="14.25" customHeight="1" x14ac:dyDescent="0.3">
      <c r="H723" s="17"/>
      <c r="J723" s="15"/>
    </row>
    <row r="724" spans="8:10" ht="14.25" customHeight="1" x14ac:dyDescent="0.3">
      <c r="H724" s="17"/>
      <c r="J724" s="15"/>
    </row>
    <row r="725" spans="8:10" ht="14.25" customHeight="1" x14ac:dyDescent="0.3">
      <c r="H725" s="17"/>
      <c r="J725" s="15"/>
    </row>
    <row r="726" spans="8:10" ht="14.25" customHeight="1" x14ac:dyDescent="0.3">
      <c r="H726" s="17"/>
      <c r="J726" s="15"/>
    </row>
    <row r="727" spans="8:10" ht="14.25" customHeight="1" x14ac:dyDescent="0.3">
      <c r="H727" s="17"/>
      <c r="J727" s="15"/>
    </row>
    <row r="728" spans="8:10" ht="14.25" customHeight="1" x14ac:dyDescent="0.3">
      <c r="H728" s="17"/>
      <c r="J728" s="15"/>
    </row>
    <row r="729" spans="8:10" ht="14.25" customHeight="1" x14ac:dyDescent="0.3">
      <c r="H729" s="17"/>
      <c r="J729" s="15"/>
    </row>
    <row r="730" spans="8:10" ht="14.25" customHeight="1" x14ac:dyDescent="0.3">
      <c r="H730" s="17"/>
      <c r="J730" s="15"/>
    </row>
    <row r="731" spans="8:10" ht="14.25" customHeight="1" x14ac:dyDescent="0.3">
      <c r="H731" s="17"/>
      <c r="J731" s="15"/>
    </row>
    <row r="732" spans="8:10" ht="14.25" customHeight="1" x14ac:dyDescent="0.3">
      <c r="H732" s="17"/>
      <c r="J732" s="15"/>
    </row>
    <row r="733" spans="8:10" ht="14.25" customHeight="1" x14ac:dyDescent="0.3">
      <c r="H733" s="17"/>
      <c r="J733" s="15"/>
    </row>
    <row r="734" spans="8:10" ht="14.25" customHeight="1" x14ac:dyDescent="0.3">
      <c r="H734" s="17"/>
      <c r="J734" s="15"/>
    </row>
    <row r="735" spans="8:10" ht="14.25" customHeight="1" x14ac:dyDescent="0.3">
      <c r="H735" s="17"/>
      <c r="J735" s="15"/>
    </row>
    <row r="736" spans="8:10" ht="14.25" customHeight="1" x14ac:dyDescent="0.3">
      <c r="H736" s="17"/>
      <c r="J736" s="15"/>
    </row>
    <row r="737" spans="8:10" ht="14.25" customHeight="1" x14ac:dyDescent="0.3">
      <c r="H737" s="17"/>
      <c r="J737" s="15"/>
    </row>
    <row r="738" spans="8:10" ht="14.25" customHeight="1" x14ac:dyDescent="0.3">
      <c r="H738" s="17"/>
      <c r="J738" s="15"/>
    </row>
    <row r="739" spans="8:10" ht="14.25" customHeight="1" x14ac:dyDescent="0.3">
      <c r="H739" s="17"/>
      <c r="J739" s="15"/>
    </row>
    <row r="740" spans="8:10" ht="14.25" customHeight="1" x14ac:dyDescent="0.3">
      <c r="H740" s="17"/>
      <c r="J740" s="15"/>
    </row>
    <row r="741" spans="8:10" ht="14.25" customHeight="1" x14ac:dyDescent="0.3">
      <c r="H741" s="17"/>
      <c r="J741" s="15"/>
    </row>
    <row r="742" spans="8:10" ht="14.25" customHeight="1" x14ac:dyDescent="0.3">
      <c r="H742" s="17"/>
      <c r="J742" s="15"/>
    </row>
    <row r="743" spans="8:10" ht="14.25" customHeight="1" x14ac:dyDescent="0.3">
      <c r="H743" s="17"/>
      <c r="J743" s="15"/>
    </row>
    <row r="744" spans="8:10" ht="14.25" customHeight="1" x14ac:dyDescent="0.3">
      <c r="H744" s="17"/>
      <c r="J744" s="15"/>
    </row>
    <row r="745" spans="8:10" ht="14.25" customHeight="1" x14ac:dyDescent="0.3">
      <c r="H745" s="17"/>
      <c r="J745" s="15"/>
    </row>
    <row r="746" spans="8:10" ht="14.25" customHeight="1" x14ac:dyDescent="0.3">
      <c r="H746" s="17"/>
      <c r="J746" s="15"/>
    </row>
    <row r="747" spans="8:10" ht="14.25" customHeight="1" x14ac:dyDescent="0.3">
      <c r="H747" s="17"/>
      <c r="J747" s="15"/>
    </row>
    <row r="748" spans="8:10" ht="14.25" customHeight="1" x14ac:dyDescent="0.3">
      <c r="H748" s="17"/>
      <c r="J748" s="15"/>
    </row>
    <row r="749" spans="8:10" ht="14.25" customHeight="1" x14ac:dyDescent="0.3">
      <c r="H749" s="17"/>
      <c r="J749" s="15"/>
    </row>
    <row r="750" spans="8:10" ht="14.25" customHeight="1" x14ac:dyDescent="0.3">
      <c r="H750" s="17"/>
      <c r="J750" s="15"/>
    </row>
    <row r="751" spans="8:10" ht="14.25" customHeight="1" x14ac:dyDescent="0.3">
      <c r="H751" s="17"/>
      <c r="J751" s="15"/>
    </row>
    <row r="752" spans="8:10" ht="14.25" customHeight="1" x14ac:dyDescent="0.3">
      <c r="H752" s="17"/>
      <c r="J752" s="15"/>
    </row>
    <row r="753" spans="8:10" ht="14.25" customHeight="1" x14ac:dyDescent="0.3">
      <c r="H753" s="17"/>
      <c r="J753" s="15"/>
    </row>
    <row r="754" spans="8:10" ht="14.25" customHeight="1" x14ac:dyDescent="0.3">
      <c r="H754" s="17"/>
      <c r="J754" s="15"/>
    </row>
    <row r="755" spans="8:10" ht="14.25" customHeight="1" x14ac:dyDescent="0.3">
      <c r="H755" s="17"/>
      <c r="J755" s="15"/>
    </row>
    <row r="756" spans="8:10" ht="14.25" customHeight="1" x14ac:dyDescent="0.3">
      <c r="H756" s="17"/>
      <c r="J756" s="15"/>
    </row>
    <row r="757" spans="8:10" ht="14.25" customHeight="1" x14ac:dyDescent="0.3">
      <c r="H757" s="17"/>
      <c r="J757" s="15"/>
    </row>
    <row r="758" spans="8:10" ht="14.25" customHeight="1" x14ac:dyDescent="0.3">
      <c r="H758" s="17"/>
      <c r="J758" s="15"/>
    </row>
    <row r="759" spans="8:10" ht="14.25" customHeight="1" x14ac:dyDescent="0.3">
      <c r="H759" s="17"/>
      <c r="J759" s="15"/>
    </row>
    <row r="760" spans="8:10" ht="14.25" customHeight="1" x14ac:dyDescent="0.3">
      <c r="H760" s="17"/>
      <c r="J760" s="15"/>
    </row>
    <row r="761" spans="8:10" ht="14.25" customHeight="1" x14ac:dyDescent="0.3">
      <c r="H761" s="17"/>
      <c r="J761" s="15"/>
    </row>
    <row r="762" spans="8:10" ht="14.25" customHeight="1" x14ac:dyDescent="0.3">
      <c r="H762" s="17"/>
      <c r="J762" s="15"/>
    </row>
    <row r="763" spans="8:10" ht="14.25" customHeight="1" x14ac:dyDescent="0.3">
      <c r="H763" s="17"/>
      <c r="J763" s="15"/>
    </row>
    <row r="764" spans="8:10" ht="14.25" customHeight="1" x14ac:dyDescent="0.3">
      <c r="H764" s="17"/>
      <c r="J764" s="15"/>
    </row>
    <row r="765" spans="8:10" ht="14.25" customHeight="1" x14ac:dyDescent="0.3">
      <c r="H765" s="17"/>
      <c r="J765" s="15"/>
    </row>
    <row r="766" spans="8:10" ht="14.25" customHeight="1" x14ac:dyDescent="0.3">
      <c r="H766" s="17"/>
      <c r="J766" s="15"/>
    </row>
    <row r="767" spans="8:10" ht="14.25" customHeight="1" x14ac:dyDescent="0.3">
      <c r="H767" s="17"/>
      <c r="J767" s="15"/>
    </row>
    <row r="768" spans="8:10" ht="14.25" customHeight="1" x14ac:dyDescent="0.3">
      <c r="H768" s="17"/>
      <c r="J768" s="15"/>
    </row>
    <row r="769" spans="8:10" ht="14.25" customHeight="1" x14ac:dyDescent="0.3">
      <c r="H769" s="17"/>
      <c r="J769" s="15"/>
    </row>
    <row r="770" spans="8:10" ht="14.25" customHeight="1" x14ac:dyDescent="0.3">
      <c r="H770" s="17"/>
      <c r="J770" s="15"/>
    </row>
    <row r="771" spans="8:10" ht="14.25" customHeight="1" x14ac:dyDescent="0.3">
      <c r="H771" s="17"/>
      <c r="J771" s="15"/>
    </row>
    <row r="772" spans="8:10" ht="14.25" customHeight="1" x14ac:dyDescent="0.3">
      <c r="H772" s="17"/>
      <c r="J772" s="15"/>
    </row>
    <row r="773" spans="8:10" ht="14.25" customHeight="1" x14ac:dyDescent="0.3">
      <c r="H773" s="17"/>
      <c r="J773" s="15"/>
    </row>
    <row r="774" spans="8:10" ht="14.25" customHeight="1" x14ac:dyDescent="0.3">
      <c r="H774" s="17"/>
      <c r="J774" s="15"/>
    </row>
    <row r="775" spans="8:10" ht="14.25" customHeight="1" x14ac:dyDescent="0.3">
      <c r="H775" s="17"/>
      <c r="J775" s="15"/>
    </row>
    <row r="776" spans="8:10" ht="14.25" customHeight="1" x14ac:dyDescent="0.3">
      <c r="H776" s="17"/>
      <c r="J776" s="15"/>
    </row>
    <row r="777" spans="8:10" ht="14.25" customHeight="1" x14ac:dyDescent="0.3">
      <c r="H777" s="17"/>
      <c r="J777" s="15"/>
    </row>
    <row r="778" spans="8:10" ht="14.25" customHeight="1" x14ac:dyDescent="0.3">
      <c r="H778" s="17"/>
      <c r="J778" s="15"/>
    </row>
    <row r="779" spans="8:10" ht="14.25" customHeight="1" x14ac:dyDescent="0.3">
      <c r="H779" s="17"/>
      <c r="J779" s="15"/>
    </row>
    <row r="780" spans="8:10" ht="14.25" customHeight="1" x14ac:dyDescent="0.3">
      <c r="H780" s="17"/>
      <c r="J780" s="15"/>
    </row>
    <row r="781" spans="8:10" ht="14.25" customHeight="1" x14ac:dyDescent="0.3">
      <c r="H781" s="17"/>
      <c r="J781" s="15"/>
    </row>
    <row r="782" spans="8:10" ht="14.25" customHeight="1" x14ac:dyDescent="0.3">
      <c r="H782" s="17"/>
      <c r="J782" s="15"/>
    </row>
    <row r="783" spans="8:10" ht="14.25" customHeight="1" x14ac:dyDescent="0.3">
      <c r="H783" s="17"/>
      <c r="J783" s="15"/>
    </row>
    <row r="784" spans="8:10" ht="14.25" customHeight="1" x14ac:dyDescent="0.3">
      <c r="H784" s="17"/>
      <c r="J784" s="15"/>
    </row>
    <row r="785" spans="8:10" ht="14.25" customHeight="1" x14ac:dyDescent="0.3">
      <c r="H785" s="17"/>
      <c r="J785" s="15"/>
    </row>
    <row r="786" spans="8:10" ht="14.25" customHeight="1" x14ac:dyDescent="0.3">
      <c r="H786" s="17"/>
      <c r="J786" s="15"/>
    </row>
    <row r="787" spans="8:10" ht="14.25" customHeight="1" x14ac:dyDescent="0.3">
      <c r="H787" s="17"/>
      <c r="J787" s="15"/>
    </row>
    <row r="788" spans="8:10" ht="14.25" customHeight="1" x14ac:dyDescent="0.3">
      <c r="H788" s="17"/>
      <c r="J788" s="15"/>
    </row>
    <row r="789" spans="8:10" ht="14.25" customHeight="1" x14ac:dyDescent="0.3">
      <c r="H789" s="17"/>
      <c r="J789" s="15"/>
    </row>
    <row r="790" spans="8:10" ht="14.25" customHeight="1" x14ac:dyDescent="0.3">
      <c r="H790" s="17"/>
      <c r="J790" s="15"/>
    </row>
    <row r="791" spans="8:10" ht="14.25" customHeight="1" x14ac:dyDescent="0.3">
      <c r="H791" s="17"/>
      <c r="J791" s="15"/>
    </row>
    <row r="792" spans="8:10" ht="14.25" customHeight="1" x14ac:dyDescent="0.3">
      <c r="H792" s="17"/>
      <c r="J792" s="15"/>
    </row>
    <row r="793" spans="8:10" ht="14.25" customHeight="1" x14ac:dyDescent="0.3">
      <c r="H793" s="17"/>
      <c r="J793" s="15"/>
    </row>
    <row r="794" spans="8:10" ht="14.25" customHeight="1" x14ac:dyDescent="0.3">
      <c r="H794" s="17"/>
      <c r="J794" s="15"/>
    </row>
    <row r="795" spans="8:10" ht="14.25" customHeight="1" x14ac:dyDescent="0.3">
      <c r="H795" s="17"/>
      <c r="J795" s="15"/>
    </row>
    <row r="796" spans="8:10" ht="14.25" customHeight="1" x14ac:dyDescent="0.3">
      <c r="H796" s="17"/>
      <c r="J796" s="15"/>
    </row>
    <row r="797" spans="8:10" ht="14.25" customHeight="1" x14ac:dyDescent="0.3">
      <c r="H797" s="17"/>
      <c r="J797" s="15"/>
    </row>
    <row r="798" spans="8:10" ht="14.25" customHeight="1" x14ac:dyDescent="0.3">
      <c r="H798" s="17"/>
      <c r="J798" s="15"/>
    </row>
    <row r="799" spans="8:10" ht="14.25" customHeight="1" x14ac:dyDescent="0.3">
      <c r="H799" s="17"/>
      <c r="J799" s="15"/>
    </row>
    <row r="800" spans="8:10" ht="14.25" customHeight="1" x14ac:dyDescent="0.3">
      <c r="H800" s="17"/>
      <c r="J800" s="15"/>
    </row>
    <row r="801" spans="8:10" ht="14.25" customHeight="1" x14ac:dyDescent="0.3">
      <c r="H801" s="17"/>
      <c r="J801" s="15"/>
    </row>
    <row r="802" spans="8:10" ht="14.25" customHeight="1" x14ac:dyDescent="0.3">
      <c r="H802" s="17"/>
      <c r="J802" s="15"/>
    </row>
    <row r="803" spans="8:10" ht="14.25" customHeight="1" x14ac:dyDescent="0.3">
      <c r="H803" s="17"/>
      <c r="J803" s="15"/>
    </row>
    <row r="804" spans="8:10" ht="14.25" customHeight="1" x14ac:dyDescent="0.3">
      <c r="H804" s="17"/>
      <c r="J804" s="15"/>
    </row>
    <row r="805" spans="8:10" ht="14.25" customHeight="1" x14ac:dyDescent="0.3">
      <c r="H805" s="17"/>
      <c r="J805" s="15"/>
    </row>
    <row r="806" spans="8:10" ht="14.25" customHeight="1" x14ac:dyDescent="0.3">
      <c r="H806" s="17"/>
      <c r="J806" s="15"/>
    </row>
    <row r="807" spans="8:10" ht="14.25" customHeight="1" x14ac:dyDescent="0.3">
      <c r="H807" s="17"/>
      <c r="J807" s="15"/>
    </row>
    <row r="808" spans="8:10" ht="14.25" customHeight="1" x14ac:dyDescent="0.3">
      <c r="H808" s="17"/>
      <c r="J808" s="15"/>
    </row>
    <row r="809" spans="8:10" ht="14.25" customHeight="1" x14ac:dyDescent="0.3">
      <c r="H809" s="17"/>
      <c r="J809" s="15"/>
    </row>
    <row r="810" spans="8:10" ht="14.25" customHeight="1" x14ac:dyDescent="0.3">
      <c r="H810" s="17"/>
      <c r="J810" s="15"/>
    </row>
    <row r="811" spans="8:10" ht="14.25" customHeight="1" x14ac:dyDescent="0.3">
      <c r="H811" s="17"/>
      <c r="J811" s="15"/>
    </row>
    <row r="812" spans="8:10" ht="14.25" customHeight="1" x14ac:dyDescent="0.3">
      <c r="H812" s="17"/>
      <c r="J812" s="15"/>
    </row>
    <row r="813" spans="8:10" ht="14.25" customHeight="1" x14ac:dyDescent="0.3">
      <c r="H813" s="17"/>
      <c r="J813" s="15"/>
    </row>
    <row r="814" spans="8:10" ht="14.25" customHeight="1" x14ac:dyDescent="0.3">
      <c r="H814" s="17"/>
      <c r="J814" s="15"/>
    </row>
    <row r="815" spans="8:10" ht="14.25" customHeight="1" x14ac:dyDescent="0.3">
      <c r="H815" s="17"/>
      <c r="J815" s="15"/>
    </row>
    <row r="816" spans="8:10" ht="14.25" customHeight="1" x14ac:dyDescent="0.3">
      <c r="H816" s="17"/>
      <c r="J816" s="15"/>
    </row>
    <row r="817" spans="8:10" ht="14.25" customHeight="1" x14ac:dyDescent="0.3">
      <c r="H817" s="17"/>
      <c r="J817" s="15"/>
    </row>
    <row r="818" spans="8:10" ht="14.25" customHeight="1" x14ac:dyDescent="0.3">
      <c r="H818" s="17"/>
      <c r="J818" s="15"/>
    </row>
    <row r="819" spans="8:10" ht="14.25" customHeight="1" x14ac:dyDescent="0.3">
      <c r="H819" s="17"/>
      <c r="J819" s="15"/>
    </row>
    <row r="820" spans="8:10" ht="14.25" customHeight="1" x14ac:dyDescent="0.3">
      <c r="H820" s="17"/>
      <c r="J820" s="15"/>
    </row>
    <row r="821" spans="8:10" ht="14.25" customHeight="1" x14ac:dyDescent="0.3">
      <c r="H821" s="17"/>
      <c r="J821" s="15"/>
    </row>
    <row r="822" spans="8:10" ht="14.25" customHeight="1" x14ac:dyDescent="0.3">
      <c r="H822" s="17"/>
      <c r="J822" s="15"/>
    </row>
    <row r="823" spans="8:10" ht="14.25" customHeight="1" x14ac:dyDescent="0.3">
      <c r="H823" s="17"/>
      <c r="J823" s="15"/>
    </row>
    <row r="824" spans="8:10" ht="14.25" customHeight="1" x14ac:dyDescent="0.3">
      <c r="H824" s="17"/>
      <c r="J824" s="15"/>
    </row>
    <row r="825" spans="8:10" ht="14.25" customHeight="1" x14ac:dyDescent="0.3">
      <c r="H825" s="17"/>
      <c r="J825" s="15"/>
    </row>
    <row r="826" spans="8:10" ht="14.25" customHeight="1" x14ac:dyDescent="0.3">
      <c r="H826" s="17"/>
      <c r="J826" s="15"/>
    </row>
    <row r="827" spans="8:10" ht="14.25" customHeight="1" x14ac:dyDescent="0.3">
      <c r="H827" s="17"/>
      <c r="J827" s="15"/>
    </row>
    <row r="828" spans="8:10" ht="14.25" customHeight="1" x14ac:dyDescent="0.3">
      <c r="H828" s="17"/>
      <c r="J828" s="15"/>
    </row>
    <row r="829" spans="8:10" ht="14.25" customHeight="1" x14ac:dyDescent="0.3">
      <c r="H829" s="17"/>
      <c r="J829" s="15"/>
    </row>
    <row r="830" spans="8:10" ht="14.25" customHeight="1" x14ac:dyDescent="0.3">
      <c r="H830" s="17"/>
      <c r="J830" s="15"/>
    </row>
    <row r="831" spans="8:10" ht="14.25" customHeight="1" x14ac:dyDescent="0.3">
      <c r="H831" s="17"/>
      <c r="J831" s="15"/>
    </row>
    <row r="832" spans="8:10" ht="14.25" customHeight="1" x14ac:dyDescent="0.3">
      <c r="H832" s="17"/>
      <c r="J832" s="15"/>
    </row>
    <row r="833" spans="8:10" ht="14.25" customHeight="1" x14ac:dyDescent="0.3">
      <c r="H833" s="17"/>
      <c r="J833" s="15"/>
    </row>
    <row r="834" spans="8:10" ht="14.25" customHeight="1" x14ac:dyDescent="0.3">
      <c r="H834" s="17"/>
      <c r="J834" s="15"/>
    </row>
    <row r="835" spans="8:10" ht="14.25" customHeight="1" x14ac:dyDescent="0.3">
      <c r="H835" s="17"/>
      <c r="J835" s="15"/>
    </row>
    <row r="836" spans="8:10" ht="14.25" customHeight="1" x14ac:dyDescent="0.3">
      <c r="H836" s="17"/>
      <c r="J836" s="15"/>
    </row>
    <row r="837" spans="8:10" ht="14.25" customHeight="1" x14ac:dyDescent="0.3">
      <c r="H837" s="17"/>
      <c r="J837" s="15"/>
    </row>
    <row r="838" spans="8:10" ht="14.25" customHeight="1" x14ac:dyDescent="0.3">
      <c r="H838" s="17"/>
      <c r="J838" s="15"/>
    </row>
    <row r="839" spans="8:10" ht="14.25" customHeight="1" x14ac:dyDescent="0.3">
      <c r="H839" s="17"/>
      <c r="J839" s="15"/>
    </row>
    <row r="840" spans="8:10" ht="14.25" customHeight="1" x14ac:dyDescent="0.3">
      <c r="H840" s="17"/>
      <c r="J840" s="15"/>
    </row>
    <row r="841" spans="8:10" ht="14.25" customHeight="1" x14ac:dyDescent="0.3">
      <c r="H841" s="17"/>
      <c r="J841" s="15"/>
    </row>
    <row r="842" spans="8:10" ht="14.25" customHeight="1" x14ac:dyDescent="0.3">
      <c r="H842" s="17"/>
      <c r="J842" s="15"/>
    </row>
    <row r="843" spans="8:10" ht="14.25" customHeight="1" x14ac:dyDescent="0.3">
      <c r="H843" s="17"/>
      <c r="J843" s="15"/>
    </row>
    <row r="844" spans="8:10" ht="14.25" customHeight="1" x14ac:dyDescent="0.3">
      <c r="H844" s="17"/>
      <c r="J844" s="15"/>
    </row>
    <row r="845" spans="8:10" ht="14.25" customHeight="1" x14ac:dyDescent="0.3">
      <c r="H845" s="17"/>
      <c r="J845" s="15"/>
    </row>
    <row r="846" spans="8:10" ht="14.25" customHeight="1" x14ac:dyDescent="0.3">
      <c r="H846" s="17"/>
      <c r="J846" s="15"/>
    </row>
    <row r="847" spans="8:10" ht="14.25" customHeight="1" x14ac:dyDescent="0.3">
      <c r="H847" s="17"/>
      <c r="J847" s="15"/>
    </row>
    <row r="848" spans="8:10" ht="14.25" customHeight="1" x14ac:dyDescent="0.3">
      <c r="H848" s="17"/>
      <c r="J848" s="15"/>
    </row>
    <row r="849" spans="8:10" ht="14.25" customHeight="1" x14ac:dyDescent="0.3">
      <c r="H849" s="17"/>
      <c r="J849" s="15"/>
    </row>
    <row r="850" spans="8:10" ht="14.25" customHeight="1" x14ac:dyDescent="0.3">
      <c r="H850" s="17"/>
      <c r="J850" s="15"/>
    </row>
    <row r="851" spans="8:10" ht="14.25" customHeight="1" x14ac:dyDescent="0.3">
      <c r="H851" s="17"/>
      <c r="J851" s="15"/>
    </row>
    <row r="852" spans="8:10" ht="14.25" customHeight="1" x14ac:dyDescent="0.3">
      <c r="H852" s="17"/>
      <c r="J852" s="15"/>
    </row>
    <row r="853" spans="8:10" ht="14.25" customHeight="1" x14ac:dyDescent="0.3">
      <c r="H853" s="17"/>
      <c r="J853" s="15"/>
    </row>
    <row r="854" spans="8:10" ht="14.25" customHeight="1" x14ac:dyDescent="0.3">
      <c r="H854" s="17"/>
      <c r="J854" s="15"/>
    </row>
    <row r="855" spans="8:10" ht="14.25" customHeight="1" x14ac:dyDescent="0.3">
      <c r="H855" s="17"/>
      <c r="J855" s="15"/>
    </row>
    <row r="856" spans="8:10" ht="14.25" customHeight="1" x14ac:dyDescent="0.3">
      <c r="H856" s="17"/>
      <c r="J856" s="15"/>
    </row>
    <row r="857" spans="8:10" ht="14.25" customHeight="1" x14ac:dyDescent="0.3">
      <c r="H857" s="17"/>
      <c r="J857" s="15"/>
    </row>
    <row r="858" spans="8:10" ht="14.25" customHeight="1" x14ac:dyDescent="0.3">
      <c r="H858" s="17"/>
      <c r="J858" s="15"/>
    </row>
    <row r="859" spans="8:10" ht="14.25" customHeight="1" x14ac:dyDescent="0.3">
      <c r="H859" s="17"/>
      <c r="J859" s="15"/>
    </row>
    <row r="860" spans="8:10" ht="14.25" customHeight="1" x14ac:dyDescent="0.3">
      <c r="H860" s="17"/>
      <c r="J860" s="15"/>
    </row>
    <row r="861" spans="8:10" ht="14.25" customHeight="1" x14ac:dyDescent="0.3">
      <c r="H861" s="17"/>
      <c r="J861" s="15"/>
    </row>
    <row r="862" spans="8:10" ht="14.25" customHeight="1" x14ac:dyDescent="0.3">
      <c r="H862" s="17"/>
      <c r="J862" s="15"/>
    </row>
    <row r="863" spans="8:10" ht="14.25" customHeight="1" x14ac:dyDescent="0.3">
      <c r="H863" s="17"/>
      <c r="J863" s="15"/>
    </row>
    <row r="864" spans="8:10" ht="14.25" customHeight="1" x14ac:dyDescent="0.3">
      <c r="H864" s="17"/>
      <c r="J864" s="15"/>
    </row>
    <row r="865" spans="8:10" ht="14.25" customHeight="1" x14ac:dyDescent="0.3">
      <c r="H865" s="17"/>
      <c r="J865" s="15"/>
    </row>
    <row r="866" spans="8:10" ht="14.25" customHeight="1" x14ac:dyDescent="0.3">
      <c r="H866" s="17"/>
      <c r="J866" s="15"/>
    </row>
    <row r="867" spans="8:10" ht="14.25" customHeight="1" x14ac:dyDescent="0.3">
      <c r="H867" s="17"/>
      <c r="J867" s="15"/>
    </row>
    <row r="868" spans="8:10" ht="14.25" customHeight="1" x14ac:dyDescent="0.3">
      <c r="H868" s="17"/>
      <c r="J868" s="15"/>
    </row>
    <row r="869" spans="8:10" ht="14.25" customHeight="1" x14ac:dyDescent="0.3">
      <c r="H869" s="17"/>
      <c r="J869" s="15"/>
    </row>
    <row r="870" spans="8:10" ht="14.25" customHeight="1" x14ac:dyDescent="0.3">
      <c r="H870" s="17"/>
      <c r="J870" s="15"/>
    </row>
    <row r="871" spans="8:10" ht="14.25" customHeight="1" x14ac:dyDescent="0.3">
      <c r="H871" s="17"/>
      <c r="J871" s="15"/>
    </row>
    <row r="872" spans="8:10" ht="14.25" customHeight="1" x14ac:dyDescent="0.3">
      <c r="H872" s="17"/>
      <c r="J872" s="15"/>
    </row>
    <row r="873" spans="8:10" ht="14.25" customHeight="1" x14ac:dyDescent="0.3">
      <c r="H873" s="17"/>
      <c r="J873" s="15"/>
    </row>
    <row r="874" spans="8:10" ht="14.25" customHeight="1" x14ac:dyDescent="0.3">
      <c r="H874" s="17"/>
      <c r="J874" s="15"/>
    </row>
    <row r="875" spans="8:10" ht="14.25" customHeight="1" x14ac:dyDescent="0.3">
      <c r="H875" s="17"/>
      <c r="J875" s="15"/>
    </row>
    <row r="876" spans="8:10" ht="14.25" customHeight="1" x14ac:dyDescent="0.3">
      <c r="H876" s="17"/>
      <c r="J876" s="15"/>
    </row>
    <row r="877" spans="8:10" ht="14.25" customHeight="1" x14ac:dyDescent="0.3">
      <c r="H877" s="17"/>
      <c r="J877" s="15"/>
    </row>
    <row r="878" spans="8:10" ht="14.25" customHeight="1" x14ac:dyDescent="0.3">
      <c r="H878" s="17"/>
      <c r="J878" s="15"/>
    </row>
    <row r="879" spans="8:10" ht="14.25" customHeight="1" x14ac:dyDescent="0.3">
      <c r="H879" s="17"/>
      <c r="J879" s="15"/>
    </row>
    <row r="880" spans="8:10" ht="14.25" customHeight="1" x14ac:dyDescent="0.3">
      <c r="H880" s="17"/>
      <c r="J880" s="15"/>
    </row>
    <row r="881" spans="8:10" ht="14.25" customHeight="1" x14ac:dyDescent="0.3">
      <c r="H881" s="17"/>
      <c r="J881" s="15"/>
    </row>
    <row r="882" spans="8:10" ht="14.25" customHeight="1" x14ac:dyDescent="0.3">
      <c r="H882" s="17"/>
      <c r="J882" s="15"/>
    </row>
    <row r="883" spans="8:10" ht="14.25" customHeight="1" x14ac:dyDescent="0.3">
      <c r="H883" s="17"/>
      <c r="J883" s="15"/>
    </row>
    <row r="884" spans="8:10" ht="14.25" customHeight="1" x14ac:dyDescent="0.3">
      <c r="H884" s="17"/>
      <c r="J884" s="15"/>
    </row>
    <row r="885" spans="8:10" ht="14.25" customHeight="1" x14ac:dyDescent="0.3">
      <c r="H885" s="17"/>
      <c r="J885" s="15"/>
    </row>
    <row r="886" spans="8:10" ht="14.25" customHeight="1" x14ac:dyDescent="0.3">
      <c r="H886" s="17"/>
      <c r="J886" s="15"/>
    </row>
    <row r="887" spans="8:10" ht="14.25" customHeight="1" x14ac:dyDescent="0.3">
      <c r="H887" s="17"/>
      <c r="J887" s="15"/>
    </row>
    <row r="888" spans="8:10" ht="14.25" customHeight="1" x14ac:dyDescent="0.3">
      <c r="H888" s="17"/>
      <c r="J888" s="15"/>
    </row>
    <row r="889" spans="8:10" ht="14.25" customHeight="1" x14ac:dyDescent="0.3">
      <c r="H889" s="17"/>
      <c r="J889" s="15"/>
    </row>
    <row r="890" spans="8:10" ht="14.25" customHeight="1" x14ac:dyDescent="0.3">
      <c r="H890" s="17"/>
      <c r="J890" s="15"/>
    </row>
    <row r="891" spans="8:10" ht="14.25" customHeight="1" x14ac:dyDescent="0.3">
      <c r="H891" s="17"/>
      <c r="J891" s="15"/>
    </row>
    <row r="892" spans="8:10" ht="14.25" customHeight="1" x14ac:dyDescent="0.3">
      <c r="H892" s="17"/>
      <c r="J892" s="15"/>
    </row>
    <row r="893" spans="8:10" ht="14.25" customHeight="1" x14ac:dyDescent="0.3">
      <c r="H893" s="17"/>
      <c r="J893" s="15"/>
    </row>
    <row r="894" spans="8:10" ht="14.25" customHeight="1" x14ac:dyDescent="0.3">
      <c r="H894" s="17"/>
      <c r="J894" s="15"/>
    </row>
    <row r="895" spans="8:10" ht="14.25" customHeight="1" x14ac:dyDescent="0.3">
      <c r="H895" s="17"/>
      <c r="J895" s="15"/>
    </row>
    <row r="896" spans="8:10" ht="14.25" customHeight="1" x14ac:dyDescent="0.3">
      <c r="H896" s="17"/>
      <c r="J896" s="15"/>
    </row>
    <row r="897" spans="8:10" ht="14.25" customHeight="1" x14ac:dyDescent="0.3">
      <c r="H897" s="17"/>
      <c r="J897" s="15"/>
    </row>
    <row r="898" spans="8:10" ht="14.25" customHeight="1" x14ac:dyDescent="0.3">
      <c r="H898" s="17"/>
      <c r="J898" s="15"/>
    </row>
    <row r="899" spans="8:10" ht="14.25" customHeight="1" x14ac:dyDescent="0.3">
      <c r="H899" s="17"/>
      <c r="J899" s="15"/>
    </row>
    <row r="900" spans="8:10" ht="14.25" customHeight="1" x14ac:dyDescent="0.3">
      <c r="H900" s="17"/>
      <c r="J900" s="15"/>
    </row>
    <row r="901" spans="8:10" ht="14.25" customHeight="1" x14ac:dyDescent="0.3">
      <c r="H901" s="17"/>
      <c r="J901" s="15"/>
    </row>
    <row r="902" spans="8:10" ht="14.25" customHeight="1" x14ac:dyDescent="0.3">
      <c r="H902" s="17"/>
      <c r="J902" s="15"/>
    </row>
    <row r="903" spans="8:10" ht="14.25" customHeight="1" x14ac:dyDescent="0.3">
      <c r="H903" s="17"/>
      <c r="J903" s="15"/>
    </row>
    <row r="904" spans="8:10" ht="14.25" customHeight="1" x14ac:dyDescent="0.3">
      <c r="H904" s="17"/>
      <c r="J904" s="15"/>
    </row>
    <row r="905" spans="8:10" ht="14.25" customHeight="1" x14ac:dyDescent="0.3">
      <c r="H905" s="17"/>
      <c r="J905" s="15"/>
    </row>
    <row r="906" spans="8:10" ht="14.25" customHeight="1" x14ac:dyDescent="0.3">
      <c r="H906" s="17"/>
      <c r="J906" s="15"/>
    </row>
    <row r="907" spans="8:10" ht="14.25" customHeight="1" x14ac:dyDescent="0.3">
      <c r="H907" s="17"/>
      <c r="J907" s="15"/>
    </row>
    <row r="908" spans="8:10" ht="14.25" customHeight="1" x14ac:dyDescent="0.3">
      <c r="H908" s="17"/>
      <c r="J908" s="15"/>
    </row>
    <row r="909" spans="8:10" ht="14.25" customHeight="1" x14ac:dyDescent="0.3">
      <c r="H909" s="17"/>
      <c r="J909" s="15"/>
    </row>
    <row r="910" spans="8:10" ht="14.25" customHeight="1" x14ac:dyDescent="0.3">
      <c r="H910" s="17"/>
      <c r="J910" s="15"/>
    </row>
    <row r="911" spans="8:10" ht="14.25" customHeight="1" x14ac:dyDescent="0.3">
      <c r="H911" s="17"/>
      <c r="J911" s="15"/>
    </row>
    <row r="912" spans="8:10" ht="14.25" customHeight="1" x14ac:dyDescent="0.3">
      <c r="H912" s="17"/>
      <c r="J912" s="15"/>
    </row>
    <row r="913" spans="8:10" ht="14.25" customHeight="1" x14ac:dyDescent="0.3">
      <c r="H913" s="17"/>
      <c r="J913" s="15"/>
    </row>
    <row r="914" spans="8:10" ht="14.25" customHeight="1" x14ac:dyDescent="0.3">
      <c r="H914" s="17"/>
      <c r="J914" s="15"/>
    </row>
    <row r="915" spans="8:10" ht="14.25" customHeight="1" x14ac:dyDescent="0.3">
      <c r="H915" s="17"/>
      <c r="J915" s="15"/>
    </row>
    <row r="916" spans="8:10" ht="14.25" customHeight="1" x14ac:dyDescent="0.3">
      <c r="H916" s="17"/>
      <c r="J916" s="15"/>
    </row>
    <row r="917" spans="8:10" ht="14.25" customHeight="1" x14ac:dyDescent="0.3">
      <c r="H917" s="17"/>
      <c r="J917" s="15"/>
    </row>
    <row r="918" spans="8:10" ht="14.25" customHeight="1" x14ac:dyDescent="0.3">
      <c r="H918" s="17"/>
      <c r="J918" s="15"/>
    </row>
    <row r="919" spans="8:10" ht="14.25" customHeight="1" x14ac:dyDescent="0.3">
      <c r="H919" s="17"/>
      <c r="J919" s="15"/>
    </row>
    <row r="920" spans="8:10" ht="14.25" customHeight="1" x14ac:dyDescent="0.3">
      <c r="H920" s="17"/>
      <c r="J920" s="15"/>
    </row>
    <row r="921" spans="8:10" ht="14.25" customHeight="1" x14ac:dyDescent="0.3">
      <c r="H921" s="17"/>
      <c r="J921" s="15"/>
    </row>
    <row r="922" spans="8:10" ht="14.25" customHeight="1" x14ac:dyDescent="0.3">
      <c r="H922" s="17"/>
      <c r="J922" s="15"/>
    </row>
    <row r="923" spans="8:10" ht="14.25" customHeight="1" x14ac:dyDescent="0.3">
      <c r="H923" s="17"/>
      <c r="J923" s="15"/>
    </row>
    <row r="924" spans="8:10" ht="14.25" customHeight="1" x14ac:dyDescent="0.3">
      <c r="H924" s="17"/>
      <c r="J924" s="15"/>
    </row>
    <row r="925" spans="8:10" ht="14.25" customHeight="1" x14ac:dyDescent="0.3">
      <c r="H925" s="17"/>
      <c r="J925" s="15"/>
    </row>
    <row r="926" spans="8:10" ht="14.25" customHeight="1" x14ac:dyDescent="0.3">
      <c r="H926" s="17"/>
      <c r="J926" s="15"/>
    </row>
    <row r="927" spans="8:10" ht="14.25" customHeight="1" x14ac:dyDescent="0.3">
      <c r="H927" s="17"/>
      <c r="J927" s="15"/>
    </row>
    <row r="928" spans="8:10" ht="14.25" customHeight="1" x14ac:dyDescent="0.3">
      <c r="H928" s="17"/>
      <c r="J928" s="15"/>
    </row>
    <row r="929" spans="8:10" ht="14.25" customHeight="1" x14ac:dyDescent="0.3">
      <c r="H929" s="17"/>
      <c r="J929" s="15"/>
    </row>
    <row r="930" spans="8:10" ht="14.25" customHeight="1" x14ac:dyDescent="0.3">
      <c r="H930" s="17"/>
      <c r="J930" s="15"/>
    </row>
    <row r="931" spans="8:10" ht="14.25" customHeight="1" x14ac:dyDescent="0.3">
      <c r="H931" s="17"/>
      <c r="J931" s="15"/>
    </row>
    <row r="932" spans="8:10" ht="14.25" customHeight="1" x14ac:dyDescent="0.3">
      <c r="H932" s="17"/>
      <c r="J932" s="15"/>
    </row>
    <row r="933" spans="8:10" ht="14.25" customHeight="1" x14ac:dyDescent="0.3">
      <c r="H933" s="17"/>
      <c r="J933" s="15"/>
    </row>
    <row r="934" spans="8:10" ht="14.25" customHeight="1" x14ac:dyDescent="0.3">
      <c r="H934" s="17"/>
      <c r="J934" s="15"/>
    </row>
    <row r="935" spans="8:10" ht="14.25" customHeight="1" x14ac:dyDescent="0.3">
      <c r="H935" s="17"/>
      <c r="J935" s="15"/>
    </row>
    <row r="936" spans="8:10" ht="14.25" customHeight="1" x14ac:dyDescent="0.3">
      <c r="H936" s="17"/>
      <c r="J936" s="15"/>
    </row>
    <row r="937" spans="8:10" ht="14.25" customHeight="1" x14ac:dyDescent="0.3">
      <c r="H937" s="17"/>
      <c r="J937" s="15"/>
    </row>
    <row r="938" spans="8:10" ht="14.25" customHeight="1" x14ac:dyDescent="0.3">
      <c r="H938" s="17"/>
      <c r="J938" s="15"/>
    </row>
    <row r="939" spans="8:10" ht="14.25" customHeight="1" x14ac:dyDescent="0.3">
      <c r="H939" s="17"/>
      <c r="J939" s="15"/>
    </row>
    <row r="940" spans="8:10" ht="14.25" customHeight="1" x14ac:dyDescent="0.3">
      <c r="H940" s="17"/>
      <c r="J940" s="15"/>
    </row>
    <row r="941" spans="8:10" ht="14.25" customHeight="1" x14ac:dyDescent="0.3">
      <c r="H941" s="17"/>
      <c r="J941" s="15"/>
    </row>
    <row r="942" spans="8:10" ht="14.25" customHeight="1" x14ac:dyDescent="0.3">
      <c r="H942" s="17"/>
      <c r="J942" s="15"/>
    </row>
    <row r="943" spans="8:10" ht="14.25" customHeight="1" x14ac:dyDescent="0.3">
      <c r="H943" s="17"/>
      <c r="J943" s="15"/>
    </row>
    <row r="944" spans="8:10" ht="14.25" customHeight="1" x14ac:dyDescent="0.3">
      <c r="H944" s="17"/>
      <c r="J944" s="15"/>
    </row>
    <row r="945" spans="8:10" ht="14.25" customHeight="1" x14ac:dyDescent="0.3">
      <c r="H945" s="17"/>
      <c r="J945" s="15"/>
    </row>
    <row r="946" spans="8:10" ht="14.25" customHeight="1" x14ac:dyDescent="0.3">
      <c r="H946" s="17"/>
      <c r="J946" s="15"/>
    </row>
    <row r="947" spans="8:10" ht="14.25" customHeight="1" x14ac:dyDescent="0.3">
      <c r="H947" s="17"/>
      <c r="J947" s="15"/>
    </row>
    <row r="948" spans="8:10" ht="14.25" customHeight="1" x14ac:dyDescent="0.3">
      <c r="H948" s="17"/>
      <c r="J948" s="15"/>
    </row>
    <row r="949" spans="8:10" ht="14.25" customHeight="1" x14ac:dyDescent="0.3">
      <c r="H949" s="17"/>
      <c r="J949" s="15"/>
    </row>
    <row r="950" spans="8:10" ht="14.25" customHeight="1" x14ac:dyDescent="0.3">
      <c r="H950" s="17"/>
      <c r="J950" s="15"/>
    </row>
    <row r="951" spans="8:10" ht="14.25" customHeight="1" x14ac:dyDescent="0.3">
      <c r="H951" s="17"/>
      <c r="J951" s="15"/>
    </row>
    <row r="952" spans="8:10" ht="14.25" customHeight="1" x14ac:dyDescent="0.3">
      <c r="H952" s="17"/>
      <c r="J952" s="15"/>
    </row>
    <row r="953" spans="8:10" ht="14.25" customHeight="1" x14ac:dyDescent="0.3">
      <c r="H953" s="17"/>
      <c r="J953" s="15"/>
    </row>
    <row r="954" spans="8:10" ht="14.25" customHeight="1" x14ac:dyDescent="0.3">
      <c r="H954" s="17"/>
      <c r="J954" s="15"/>
    </row>
    <row r="955" spans="8:10" ht="14.25" customHeight="1" x14ac:dyDescent="0.3">
      <c r="H955" s="17"/>
      <c r="J955" s="15"/>
    </row>
    <row r="956" spans="8:10" ht="14.25" customHeight="1" x14ac:dyDescent="0.3">
      <c r="H956" s="17"/>
      <c r="J956" s="15"/>
    </row>
    <row r="957" spans="8:10" ht="14.25" customHeight="1" x14ac:dyDescent="0.3">
      <c r="H957" s="17"/>
      <c r="J957" s="15"/>
    </row>
    <row r="958" spans="8:10" ht="14.25" customHeight="1" x14ac:dyDescent="0.3">
      <c r="H958" s="17"/>
      <c r="J958" s="15"/>
    </row>
    <row r="959" spans="8:10" ht="14.25" customHeight="1" x14ac:dyDescent="0.3">
      <c r="H959" s="17"/>
      <c r="J959" s="15"/>
    </row>
    <row r="960" spans="8:10" ht="14.25" customHeight="1" x14ac:dyDescent="0.3">
      <c r="H960" s="17"/>
      <c r="J960" s="15"/>
    </row>
    <row r="961" spans="8:10" ht="14.25" customHeight="1" x14ac:dyDescent="0.3">
      <c r="H961" s="17"/>
      <c r="J961" s="15"/>
    </row>
    <row r="962" spans="8:10" ht="14.25" customHeight="1" x14ac:dyDescent="0.3">
      <c r="H962" s="17"/>
      <c r="J962" s="15"/>
    </row>
    <row r="963" spans="8:10" ht="14.25" customHeight="1" x14ac:dyDescent="0.3">
      <c r="H963" s="17"/>
      <c r="J963" s="15"/>
    </row>
    <row r="964" spans="8:10" ht="14.25" customHeight="1" x14ac:dyDescent="0.3">
      <c r="H964" s="17"/>
      <c r="J964" s="15"/>
    </row>
    <row r="965" spans="8:10" ht="14.25" customHeight="1" x14ac:dyDescent="0.3">
      <c r="H965" s="17"/>
      <c r="J965" s="15"/>
    </row>
    <row r="966" spans="8:10" ht="14.25" customHeight="1" x14ac:dyDescent="0.3">
      <c r="H966" s="17"/>
      <c r="J966" s="15"/>
    </row>
    <row r="967" spans="8:10" ht="14.25" customHeight="1" x14ac:dyDescent="0.3">
      <c r="H967" s="17"/>
      <c r="J967" s="15"/>
    </row>
    <row r="968" spans="8:10" ht="14.25" customHeight="1" x14ac:dyDescent="0.3">
      <c r="H968" s="17"/>
      <c r="J968" s="15"/>
    </row>
    <row r="969" spans="8:10" ht="14.25" customHeight="1" x14ac:dyDescent="0.3">
      <c r="H969" s="17"/>
      <c r="J969" s="15"/>
    </row>
    <row r="970" spans="8:10" ht="14.25" customHeight="1" x14ac:dyDescent="0.3">
      <c r="H970" s="17"/>
      <c r="J970" s="15"/>
    </row>
    <row r="971" spans="8:10" ht="14.25" customHeight="1" x14ac:dyDescent="0.3">
      <c r="H971" s="17"/>
      <c r="J971" s="15"/>
    </row>
    <row r="972" spans="8:10" ht="14.25" customHeight="1" x14ac:dyDescent="0.3">
      <c r="H972" s="17"/>
      <c r="J972" s="15"/>
    </row>
    <row r="973" spans="8:10" ht="14.25" customHeight="1" x14ac:dyDescent="0.3">
      <c r="H973" s="17"/>
      <c r="J973" s="15"/>
    </row>
    <row r="974" spans="8:10" ht="14.25" customHeight="1" x14ac:dyDescent="0.3">
      <c r="H974" s="17"/>
      <c r="J974" s="15"/>
    </row>
    <row r="975" spans="8:10" ht="14.25" customHeight="1" x14ac:dyDescent="0.3">
      <c r="H975" s="17"/>
      <c r="J975" s="15"/>
    </row>
    <row r="976" spans="8:10" ht="14.25" customHeight="1" x14ac:dyDescent="0.3">
      <c r="H976" s="17"/>
      <c r="J976" s="15"/>
    </row>
    <row r="977" spans="8:10" ht="14.25" customHeight="1" x14ac:dyDescent="0.3">
      <c r="H977" s="17"/>
      <c r="J977" s="15"/>
    </row>
    <row r="978" spans="8:10" ht="14.25" customHeight="1" x14ac:dyDescent="0.3">
      <c r="H978" s="17"/>
      <c r="J978" s="15"/>
    </row>
    <row r="979" spans="8:10" ht="14.25" customHeight="1" x14ac:dyDescent="0.3">
      <c r="H979" s="17"/>
      <c r="J979" s="15"/>
    </row>
    <row r="980" spans="8:10" ht="14.25" customHeight="1" x14ac:dyDescent="0.3">
      <c r="H980" s="17"/>
      <c r="J980" s="15"/>
    </row>
    <row r="981" spans="8:10" ht="14.25" customHeight="1" x14ac:dyDescent="0.3">
      <c r="H981" s="17"/>
      <c r="J981" s="15"/>
    </row>
    <row r="982" spans="8:10" ht="14.25" customHeight="1" x14ac:dyDescent="0.3">
      <c r="H982" s="17"/>
      <c r="J982" s="15"/>
    </row>
    <row r="983" spans="8:10" ht="14.25" customHeight="1" x14ac:dyDescent="0.3">
      <c r="H983" s="17"/>
      <c r="J983" s="15"/>
    </row>
    <row r="984" spans="8:10" ht="14.25" customHeight="1" x14ac:dyDescent="0.3">
      <c r="H984" s="17"/>
      <c r="J984" s="15"/>
    </row>
    <row r="985" spans="8:10" ht="14.25" customHeight="1" x14ac:dyDescent="0.3">
      <c r="H985" s="17"/>
      <c r="J985" s="15"/>
    </row>
    <row r="986" spans="8:10" ht="14.25" customHeight="1" x14ac:dyDescent="0.3">
      <c r="H986" s="17"/>
      <c r="J986" s="15"/>
    </row>
    <row r="987" spans="8:10" ht="14.25" customHeight="1" x14ac:dyDescent="0.3">
      <c r="H987" s="17"/>
      <c r="J987" s="15"/>
    </row>
    <row r="988" spans="8:10" ht="14.25" customHeight="1" x14ac:dyDescent="0.3">
      <c r="H988" s="17"/>
      <c r="J988" s="15"/>
    </row>
    <row r="989" spans="8:10" ht="14.25" customHeight="1" x14ac:dyDescent="0.3">
      <c r="H989" s="17"/>
      <c r="J989" s="15"/>
    </row>
    <row r="990" spans="8:10" ht="14.25" customHeight="1" x14ac:dyDescent="0.3">
      <c r="H990" s="17"/>
      <c r="J990" s="15"/>
    </row>
    <row r="991" spans="8:10" ht="14.25" customHeight="1" x14ac:dyDescent="0.3">
      <c r="H991" s="17"/>
      <c r="J991" s="15"/>
    </row>
    <row r="992" spans="8:10" ht="14.25" customHeight="1" x14ac:dyDescent="0.3">
      <c r="H992" s="17"/>
      <c r="J992" s="15"/>
    </row>
    <row r="993" spans="8:10" ht="14.25" customHeight="1" x14ac:dyDescent="0.3">
      <c r="H993" s="17"/>
      <c r="J993" s="15"/>
    </row>
    <row r="994" spans="8:10" ht="14.25" customHeight="1" x14ac:dyDescent="0.3">
      <c r="H994" s="17"/>
      <c r="J994" s="15"/>
    </row>
    <row r="995" spans="8:10" ht="14.25" customHeight="1" x14ac:dyDescent="0.3">
      <c r="H995" s="17"/>
      <c r="J995" s="15"/>
    </row>
    <row r="996" spans="8:10" ht="14.25" customHeight="1" x14ac:dyDescent="0.3">
      <c r="H996" s="17"/>
      <c r="J996" s="15"/>
    </row>
    <row r="997" spans="8:10" ht="14.25" customHeight="1" x14ac:dyDescent="0.3">
      <c r="H997" s="17"/>
      <c r="J997" s="15"/>
    </row>
    <row r="998" spans="8:10" ht="14.25" customHeight="1" x14ac:dyDescent="0.3">
      <c r="H998" s="17"/>
      <c r="J998" s="15"/>
    </row>
    <row r="999" spans="8:10" ht="14.25" customHeight="1" x14ac:dyDescent="0.3">
      <c r="H999" s="17"/>
      <c r="J999" s="15"/>
    </row>
    <row r="1000" spans="8:10" ht="14.25" customHeight="1" x14ac:dyDescent="0.3">
      <c r="H1000" s="17"/>
      <c r="J1000" s="15"/>
    </row>
    <row r="1001" spans="8:10" ht="14.25" customHeight="1" x14ac:dyDescent="0.3">
      <c r="H1001" s="17"/>
      <c r="J1001" s="15"/>
    </row>
  </sheetData>
  <mergeCells count="15">
    <mergeCell ref="B69:J70"/>
    <mergeCell ref="B75:J75"/>
    <mergeCell ref="B81:J82"/>
    <mergeCell ref="A102:E102"/>
    <mergeCell ref="A101:B101"/>
    <mergeCell ref="A100:B100"/>
    <mergeCell ref="A99:H99"/>
    <mergeCell ref="A97:B97"/>
    <mergeCell ref="B49:J49"/>
    <mergeCell ref="B55:J56"/>
    <mergeCell ref="B4:J4"/>
    <mergeCell ref="B10:J11"/>
    <mergeCell ref="B24:J25"/>
    <mergeCell ref="B31:J31"/>
    <mergeCell ref="B37:J38"/>
  </mergeCells>
  <conditionalFormatting sqref="C97">
    <cfRule type="cellIs" dxfId="1" priority="1" operator="between">
      <formula>30</formula>
      <formula>60</formula>
    </cfRule>
    <cfRule type="expression" dxfId="0" priority="2">
      <formula>"AND(c57&gt;=30;c57&lt;=60)"</formula>
    </cfRule>
  </conditionalFormatting>
  <pageMargins left="0.7" right="0.7" top="0.75" bottom="0.75" header="0" footer="0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A381D-D99A-4B9C-A646-5E0BAE1C9D7E}">
  <dimension ref="A1:J13"/>
  <sheetViews>
    <sheetView workbookViewId="0">
      <selection activeCell="F16" sqref="F16"/>
    </sheetView>
  </sheetViews>
  <sheetFormatPr defaultRowHeight="14.4" x14ac:dyDescent="0.3"/>
  <sheetData>
    <row r="1" spans="1:10" ht="16.2" thickBot="1" x14ac:dyDescent="0.35">
      <c r="A1" s="130" t="s">
        <v>115</v>
      </c>
      <c r="B1" s="131"/>
      <c r="C1" s="131"/>
      <c r="D1" s="131"/>
      <c r="E1" s="131"/>
      <c r="F1" s="132"/>
      <c r="G1" s="27"/>
      <c r="H1" s="24"/>
      <c r="I1" s="23"/>
      <c r="J1" s="25"/>
    </row>
    <row r="2" spans="1:10" ht="16.2" thickBot="1" x14ac:dyDescent="0.35">
      <c r="A2" s="140" t="s">
        <v>157</v>
      </c>
      <c r="B2" s="141"/>
      <c r="C2" s="146" t="s">
        <v>158</v>
      </c>
      <c r="D2" s="147"/>
      <c r="E2" s="135" t="s">
        <v>116</v>
      </c>
      <c r="F2" s="136"/>
      <c r="G2" s="26"/>
      <c r="H2" s="24"/>
      <c r="I2" s="23"/>
      <c r="J2" s="25"/>
    </row>
    <row r="3" spans="1:10" ht="15.6" x14ac:dyDescent="0.3">
      <c r="A3" s="142" t="s">
        <v>117</v>
      </c>
      <c r="B3" s="143"/>
      <c r="C3" s="142" t="s">
        <v>118</v>
      </c>
      <c r="D3" s="138"/>
      <c r="E3" s="137">
        <v>35</v>
      </c>
      <c r="F3" s="138"/>
      <c r="G3" s="26"/>
      <c r="H3" s="24"/>
      <c r="I3" s="23"/>
      <c r="J3" s="25"/>
    </row>
    <row r="4" spans="1:10" ht="15.6" x14ac:dyDescent="0.3">
      <c r="A4" s="133" t="s">
        <v>119</v>
      </c>
      <c r="B4" s="144"/>
      <c r="C4" s="133" t="s">
        <v>120</v>
      </c>
      <c r="D4" s="134"/>
      <c r="E4" s="139">
        <v>85</v>
      </c>
      <c r="F4" s="134"/>
      <c r="G4" s="26"/>
      <c r="H4" s="24"/>
      <c r="I4" s="23"/>
      <c r="J4" s="25"/>
    </row>
    <row r="5" spans="1:10" ht="15.6" x14ac:dyDescent="0.3">
      <c r="A5" s="133" t="s">
        <v>121</v>
      </c>
      <c r="B5" s="144"/>
      <c r="C5" s="133" t="s">
        <v>122</v>
      </c>
      <c r="D5" s="134"/>
      <c r="E5" s="139">
        <v>35</v>
      </c>
      <c r="F5" s="134"/>
      <c r="G5" s="26"/>
      <c r="H5" s="24"/>
      <c r="I5" s="23"/>
      <c r="J5" s="25"/>
    </row>
    <row r="6" spans="1:10" ht="15.6" x14ac:dyDescent="0.3">
      <c r="A6" s="123" t="s">
        <v>123</v>
      </c>
      <c r="B6" s="124"/>
      <c r="C6" s="123" t="s">
        <v>124</v>
      </c>
      <c r="D6" s="124"/>
      <c r="E6" s="123">
        <v>85</v>
      </c>
      <c r="F6" s="124"/>
      <c r="G6" s="26"/>
      <c r="H6" s="24"/>
      <c r="I6" s="23"/>
      <c r="J6" s="25"/>
    </row>
    <row r="7" spans="1:10" ht="15.6" x14ac:dyDescent="0.3">
      <c r="A7" s="123" t="s">
        <v>120</v>
      </c>
      <c r="B7" s="124"/>
      <c r="C7" s="123" t="s">
        <v>124</v>
      </c>
      <c r="D7" s="124"/>
      <c r="E7" s="123">
        <v>5</v>
      </c>
      <c r="F7" s="124"/>
      <c r="G7" s="26"/>
      <c r="H7" s="24"/>
      <c r="I7" s="23"/>
      <c r="J7" s="25"/>
    </row>
    <row r="8" spans="1:10" ht="15.6" x14ac:dyDescent="0.3">
      <c r="A8" s="123" t="s">
        <v>122</v>
      </c>
      <c r="B8" s="124"/>
      <c r="C8" s="123" t="s">
        <v>118</v>
      </c>
      <c r="D8" s="124"/>
      <c r="E8" s="123">
        <v>5</v>
      </c>
      <c r="F8" s="124"/>
      <c r="G8" s="26"/>
      <c r="H8" s="24"/>
      <c r="I8" s="23"/>
      <c r="J8" s="25"/>
    </row>
    <row r="9" spans="1:10" ht="15.6" x14ac:dyDescent="0.3">
      <c r="A9" s="123" t="s">
        <v>117</v>
      </c>
      <c r="B9" s="124"/>
      <c r="C9" s="123" t="s">
        <v>121</v>
      </c>
      <c r="D9" s="124"/>
      <c r="E9" s="123">
        <v>5</v>
      </c>
      <c r="F9" s="124"/>
      <c r="G9" s="26"/>
      <c r="H9" s="24"/>
      <c r="I9" s="23"/>
      <c r="J9" s="25"/>
    </row>
    <row r="10" spans="1:10" ht="16.2" thickBot="1" x14ac:dyDescent="0.35">
      <c r="A10" s="126" t="s">
        <v>123</v>
      </c>
      <c r="B10" s="145"/>
      <c r="C10" s="126" t="s">
        <v>119</v>
      </c>
      <c r="D10" s="127"/>
      <c r="E10" s="129">
        <v>5</v>
      </c>
      <c r="F10" s="127"/>
      <c r="G10" s="26"/>
      <c r="H10" s="24"/>
      <c r="I10" s="23"/>
      <c r="J10" s="25"/>
    </row>
    <row r="11" spans="1:10" x14ac:dyDescent="0.3">
      <c r="A11" s="23"/>
      <c r="B11" s="23"/>
      <c r="C11" s="23"/>
      <c r="D11" s="23"/>
      <c r="F11" s="23"/>
      <c r="G11" s="23"/>
      <c r="H11" s="24"/>
      <c r="I11" s="23"/>
      <c r="J11" s="25"/>
    </row>
    <row r="12" spans="1:10" ht="15.6" x14ac:dyDescent="0.3">
      <c r="A12" s="128" t="s">
        <v>125</v>
      </c>
      <c r="B12" s="128"/>
      <c r="C12" s="128"/>
      <c r="D12" s="128"/>
      <c r="E12" s="125">
        <f>SUM(E3:F10)</f>
        <v>260</v>
      </c>
      <c r="F12" s="125"/>
      <c r="G12" s="23"/>
      <c r="H12" s="24"/>
      <c r="I12" s="23"/>
      <c r="J12" s="25"/>
    </row>
    <row r="13" spans="1:10" x14ac:dyDescent="0.3">
      <c r="A13" s="23"/>
      <c r="B13" s="23"/>
      <c r="C13" s="23"/>
      <c r="D13" s="23"/>
      <c r="E13" s="23"/>
      <c r="F13" s="23"/>
      <c r="G13" s="23"/>
      <c r="H13" s="24"/>
      <c r="I13" s="23"/>
      <c r="J13" s="25"/>
    </row>
  </sheetData>
  <mergeCells count="30">
    <mergeCell ref="A3:B3"/>
    <mergeCell ref="A4:B4"/>
    <mergeCell ref="A5:B5"/>
    <mergeCell ref="A10:B10"/>
    <mergeCell ref="C2:D2"/>
    <mergeCell ref="C3:D3"/>
    <mergeCell ref="C8:D8"/>
    <mergeCell ref="A1:F1"/>
    <mergeCell ref="A6:B6"/>
    <mergeCell ref="C6:D6"/>
    <mergeCell ref="E6:F6"/>
    <mergeCell ref="E9:F9"/>
    <mergeCell ref="C9:D9"/>
    <mergeCell ref="A9:B9"/>
    <mergeCell ref="A7:B7"/>
    <mergeCell ref="A8:B8"/>
    <mergeCell ref="C4:D4"/>
    <mergeCell ref="C5:D5"/>
    <mergeCell ref="E2:F2"/>
    <mergeCell ref="E3:F3"/>
    <mergeCell ref="E4:F4"/>
    <mergeCell ref="E5:F5"/>
    <mergeCell ref="A2:B2"/>
    <mergeCell ref="E8:F8"/>
    <mergeCell ref="E7:F7"/>
    <mergeCell ref="C7:D7"/>
    <mergeCell ref="E12:F12"/>
    <mergeCell ref="C10:D10"/>
    <mergeCell ref="A12:D12"/>
    <mergeCell ref="E10:F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D2DF1-EEB7-4492-8A92-1BDE7B755239}">
  <dimension ref="A1:Q104"/>
  <sheetViews>
    <sheetView topLeftCell="A10" zoomScale="70" zoomScaleNormal="70" workbookViewId="0">
      <selection activeCell="B59" sqref="B59"/>
    </sheetView>
  </sheetViews>
  <sheetFormatPr defaultColWidth="8.88671875" defaultRowHeight="14.4" x14ac:dyDescent="0.3"/>
  <cols>
    <col min="1" max="1" width="24.44140625" style="30" customWidth="1"/>
    <col min="2" max="2" width="29.33203125" style="30" customWidth="1"/>
    <col min="3" max="3" width="19.88671875" style="30" customWidth="1"/>
    <col min="4" max="5" width="26" style="30" customWidth="1"/>
    <col min="6" max="6" width="48.5546875" style="30" customWidth="1"/>
    <col min="7" max="7" width="45.88671875" style="30" customWidth="1"/>
    <col min="8" max="8" width="19.6640625" style="30" customWidth="1"/>
    <col min="9" max="9" width="22.44140625" style="30" customWidth="1"/>
    <col min="10" max="10" width="22.6640625" style="30" customWidth="1"/>
    <col min="11" max="16384" width="8.88671875" style="30"/>
  </cols>
  <sheetData>
    <row r="1" spans="1:10" ht="15" thickBot="1" x14ac:dyDescent="0.35">
      <c r="A1" s="40" t="s">
        <v>168</v>
      </c>
      <c r="B1" s="41" t="s">
        <v>179</v>
      </c>
      <c r="C1" s="31"/>
      <c r="E1" s="31"/>
    </row>
    <row r="2" spans="1:10" x14ac:dyDescent="0.3">
      <c r="A2" s="38" t="s">
        <v>169</v>
      </c>
      <c r="B2" s="39">
        <v>25</v>
      </c>
      <c r="C2" s="31"/>
      <c r="E2" s="31"/>
    </row>
    <row r="3" spans="1:10" x14ac:dyDescent="0.3">
      <c r="A3" s="33" t="s">
        <v>170</v>
      </c>
      <c r="B3" s="36">
        <v>0.1</v>
      </c>
      <c r="C3" s="31"/>
      <c r="E3" s="31"/>
    </row>
    <row r="4" spans="1:10" ht="15" thickBot="1" x14ac:dyDescent="0.35">
      <c r="A4" s="34" t="s">
        <v>171</v>
      </c>
      <c r="B4" s="37">
        <v>300</v>
      </c>
      <c r="C4" s="31"/>
      <c r="E4" s="31"/>
    </row>
    <row r="6" spans="1:10" x14ac:dyDescent="0.3">
      <c r="A6" s="30" t="s">
        <v>180</v>
      </c>
      <c r="B6" s="30">
        <v>0.7</v>
      </c>
    </row>
    <row r="8" spans="1:10" ht="15" thickBot="1" x14ac:dyDescent="0.35"/>
    <row r="9" spans="1:10" ht="15" thickBot="1" x14ac:dyDescent="0.35">
      <c r="A9" s="41" t="s">
        <v>173</v>
      </c>
      <c r="B9" s="79" t="s">
        <v>9</v>
      </c>
      <c r="C9" s="80"/>
      <c r="D9" s="28" t="s">
        <v>172</v>
      </c>
      <c r="E9" s="42" t="s">
        <v>176</v>
      </c>
      <c r="F9" s="42" t="s">
        <v>177</v>
      </c>
      <c r="G9" s="29" t="s">
        <v>165</v>
      </c>
      <c r="H9" s="42" t="s">
        <v>166</v>
      </c>
      <c r="I9" s="29" t="s">
        <v>167</v>
      </c>
      <c r="J9" s="41" t="s">
        <v>178</v>
      </c>
    </row>
    <row r="10" spans="1:10" x14ac:dyDescent="0.3">
      <c r="A10" s="83" t="s">
        <v>174</v>
      </c>
      <c r="B10" s="81" t="s">
        <v>12</v>
      </c>
      <c r="C10" s="82"/>
      <c r="D10" s="32">
        <v>1</v>
      </c>
      <c r="E10" s="32">
        <f>F10*D10/1000</f>
        <v>0.38506999999999997</v>
      </c>
      <c r="F10" s="35">
        <f t="shared" ref="F10:F33" si="0">SUM($B$2*G10,$B$3*H10,$B$4*I10)*$B$6</f>
        <v>385.07</v>
      </c>
      <c r="G10" s="43">
        <v>10</v>
      </c>
      <c r="H10" s="35">
        <v>1</v>
      </c>
      <c r="I10" s="43">
        <v>1</v>
      </c>
      <c r="J10" s="36">
        <f t="shared" ref="J10:J33" si="1">SUM(G10:I10)*D10</f>
        <v>12</v>
      </c>
    </row>
    <row r="11" spans="1:10" x14ac:dyDescent="0.3">
      <c r="A11" s="84"/>
      <c r="B11" s="75" t="s">
        <v>14</v>
      </c>
      <c r="C11" s="76"/>
      <c r="D11" s="33">
        <v>1</v>
      </c>
      <c r="E11" s="33">
        <f t="shared" ref="E11:E33" si="2">F11*D11/1000</f>
        <v>0.38506999999999997</v>
      </c>
      <c r="F11" s="36">
        <f t="shared" si="0"/>
        <v>385.07</v>
      </c>
      <c r="G11" s="44">
        <v>10</v>
      </c>
      <c r="H11" s="36">
        <v>1</v>
      </c>
      <c r="I11" s="44">
        <v>1</v>
      </c>
      <c r="J11" s="36">
        <f t="shared" si="1"/>
        <v>12</v>
      </c>
    </row>
    <row r="12" spans="1:10" x14ac:dyDescent="0.3">
      <c r="A12" s="84"/>
      <c r="B12" s="75" t="s">
        <v>17</v>
      </c>
      <c r="C12" s="76"/>
      <c r="D12" s="33">
        <v>5</v>
      </c>
      <c r="E12" s="33">
        <f t="shared" si="2"/>
        <v>1.7503499999999999</v>
      </c>
      <c r="F12" s="36">
        <f t="shared" si="0"/>
        <v>350.07</v>
      </c>
      <c r="G12" s="44">
        <v>8</v>
      </c>
      <c r="H12" s="36">
        <v>1</v>
      </c>
      <c r="I12" s="44">
        <v>1</v>
      </c>
      <c r="J12" s="36">
        <f t="shared" si="1"/>
        <v>50</v>
      </c>
    </row>
    <row r="13" spans="1:10" x14ac:dyDescent="0.3">
      <c r="A13" s="84"/>
      <c r="B13" s="75" t="s">
        <v>26</v>
      </c>
      <c r="C13" s="76"/>
      <c r="D13" s="33">
        <v>1</v>
      </c>
      <c r="E13" s="33">
        <f t="shared" si="2"/>
        <v>0.70013999999999998</v>
      </c>
      <c r="F13" s="36">
        <f t="shared" si="0"/>
        <v>700.14</v>
      </c>
      <c r="G13" s="44">
        <v>16</v>
      </c>
      <c r="H13" s="36">
        <v>2</v>
      </c>
      <c r="I13" s="44">
        <v>2</v>
      </c>
      <c r="J13" s="36">
        <f t="shared" si="1"/>
        <v>20</v>
      </c>
    </row>
    <row r="14" spans="1:10" x14ac:dyDescent="0.3">
      <c r="A14" s="84"/>
      <c r="B14" s="75" t="s">
        <v>30</v>
      </c>
      <c r="C14" s="76"/>
      <c r="D14" s="33">
        <v>7</v>
      </c>
      <c r="E14" s="33">
        <f t="shared" si="2"/>
        <v>3.1854899999999997</v>
      </c>
      <c r="F14" s="36">
        <f t="shared" si="0"/>
        <v>455.07</v>
      </c>
      <c r="G14" s="44">
        <v>14</v>
      </c>
      <c r="H14" s="36">
        <v>1</v>
      </c>
      <c r="I14" s="44">
        <v>1</v>
      </c>
      <c r="J14" s="36">
        <f t="shared" si="1"/>
        <v>112</v>
      </c>
    </row>
    <row r="15" spans="1:10" x14ac:dyDescent="0.3">
      <c r="A15" s="84"/>
      <c r="B15" s="75" t="s">
        <v>28</v>
      </c>
      <c r="C15" s="76"/>
      <c r="D15" s="33">
        <v>1</v>
      </c>
      <c r="E15" s="33">
        <f t="shared" si="2"/>
        <v>1.52257</v>
      </c>
      <c r="F15" s="36">
        <f t="shared" si="0"/>
        <v>1522.57</v>
      </c>
      <c r="G15" s="44">
        <v>63</v>
      </c>
      <c r="H15" s="36">
        <v>1</v>
      </c>
      <c r="I15" s="44">
        <v>2</v>
      </c>
      <c r="J15" s="36">
        <f t="shared" si="1"/>
        <v>66</v>
      </c>
    </row>
    <row r="16" spans="1:10" x14ac:dyDescent="0.3">
      <c r="A16" s="84"/>
      <c r="B16" s="75" t="s">
        <v>36</v>
      </c>
      <c r="C16" s="76"/>
      <c r="D16" s="33">
        <v>2</v>
      </c>
      <c r="E16" s="33">
        <f t="shared" si="2"/>
        <v>2.1351399999999998</v>
      </c>
      <c r="F16" s="36">
        <f t="shared" si="0"/>
        <v>1067.57</v>
      </c>
      <c r="G16" s="44">
        <v>37</v>
      </c>
      <c r="H16" s="36">
        <v>1</v>
      </c>
      <c r="I16" s="44">
        <v>2</v>
      </c>
      <c r="J16" s="36">
        <f t="shared" si="1"/>
        <v>80</v>
      </c>
    </row>
    <row r="17" spans="1:10" x14ac:dyDescent="0.3">
      <c r="A17" s="84"/>
      <c r="B17" s="75" t="s">
        <v>45</v>
      </c>
      <c r="C17" s="76"/>
      <c r="D17" s="33">
        <v>2</v>
      </c>
      <c r="E17" s="33">
        <f t="shared" si="2"/>
        <v>1.3651399999999998</v>
      </c>
      <c r="F17" s="36">
        <f t="shared" si="0"/>
        <v>682.56999999999994</v>
      </c>
      <c r="G17" s="44">
        <v>15</v>
      </c>
      <c r="H17" s="36">
        <v>1</v>
      </c>
      <c r="I17" s="44">
        <v>2</v>
      </c>
      <c r="J17" s="36">
        <f t="shared" si="1"/>
        <v>36</v>
      </c>
    </row>
    <row r="18" spans="1:10" x14ac:dyDescent="0.3">
      <c r="A18" s="84"/>
      <c r="B18" s="75" t="s">
        <v>48</v>
      </c>
      <c r="C18" s="76"/>
      <c r="D18" s="33">
        <v>2</v>
      </c>
      <c r="E18" s="33">
        <f t="shared" si="2"/>
        <v>0.77013999999999994</v>
      </c>
      <c r="F18" s="36">
        <f t="shared" si="0"/>
        <v>385.07</v>
      </c>
      <c r="G18" s="44">
        <v>10</v>
      </c>
      <c r="H18" s="36">
        <v>1</v>
      </c>
      <c r="I18" s="44">
        <v>1</v>
      </c>
      <c r="J18" s="36">
        <f t="shared" si="1"/>
        <v>24</v>
      </c>
    </row>
    <row r="19" spans="1:10" x14ac:dyDescent="0.3">
      <c r="A19" s="84"/>
      <c r="B19" s="75" t="s">
        <v>52</v>
      </c>
      <c r="C19" s="76"/>
      <c r="D19" s="33">
        <v>5</v>
      </c>
      <c r="E19" s="33">
        <f t="shared" si="2"/>
        <v>1.7503499999999999</v>
      </c>
      <c r="F19" s="36">
        <f t="shared" si="0"/>
        <v>350.07</v>
      </c>
      <c r="G19" s="44">
        <v>8</v>
      </c>
      <c r="H19" s="36">
        <v>1</v>
      </c>
      <c r="I19" s="44">
        <v>1</v>
      </c>
      <c r="J19" s="36">
        <f t="shared" si="1"/>
        <v>50</v>
      </c>
    </row>
    <row r="20" spans="1:10" x14ac:dyDescent="0.3">
      <c r="A20" s="84"/>
      <c r="B20" s="75" t="s">
        <v>60</v>
      </c>
      <c r="C20" s="76"/>
      <c r="D20" s="33">
        <v>6</v>
      </c>
      <c r="E20" s="33">
        <f t="shared" si="2"/>
        <v>2.5204200000000001</v>
      </c>
      <c r="F20" s="36">
        <f t="shared" si="0"/>
        <v>420.07</v>
      </c>
      <c r="G20" s="44">
        <v>12</v>
      </c>
      <c r="H20" s="36">
        <v>1</v>
      </c>
      <c r="I20" s="44">
        <v>1</v>
      </c>
      <c r="J20" s="36">
        <f t="shared" si="1"/>
        <v>84</v>
      </c>
    </row>
    <row r="21" spans="1:10" ht="15" thickBot="1" x14ac:dyDescent="0.35">
      <c r="A21" s="85"/>
      <c r="B21" s="77" t="s">
        <v>94</v>
      </c>
      <c r="C21" s="78"/>
      <c r="D21" s="34">
        <v>0</v>
      </c>
      <c r="E21" s="34">
        <f t="shared" si="2"/>
        <v>0</v>
      </c>
      <c r="F21" s="37">
        <f t="shared" si="0"/>
        <v>420.07</v>
      </c>
      <c r="G21" s="45">
        <v>12</v>
      </c>
      <c r="H21" s="37">
        <v>1</v>
      </c>
      <c r="I21" s="45">
        <v>1</v>
      </c>
      <c r="J21" s="46">
        <f t="shared" si="1"/>
        <v>0</v>
      </c>
    </row>
    <row r="22" spans="1:10" x14ac:dyDescent="0.3">
      <c r="A22" s="83" t="s">
        <v>175</v>
      </c>
      <c r="B22" s="81" t="s">
        <v>12</v>
      </c>
      <c r="C22" s="82"/>
      <c r="D22" s="32">
        <v>1</v>
      </c>
      <c r="E22" s="38">
        <f t="shared" si="2"/>
        <v>0.38506999999999997</v>
      </c>
      <c r="F22" s="35">
        <f t="shared" si="0"/>
        <v>385.07</v>
      </c>
      <c r="G22" s="43">
        <v>10</v>
      </c>
      <c r="H22" s="35">
        <v>1</v>
      </c>
      <c r="I22" s="43">
        <v>1</v>
      </c>
      <c r="J22" s="35">
        <f t="shared" si="1"/>
        <v>12</v>
      </c>
    </row>
    <row r="23" spans="1:10" x14ac:dyDescent="0.3">
      <c r="A23" s="84"/>
      <c r="B23" s="75" t="s">
        <v>14</v>
      </c>
      <c r="C23" s="76"/>
      <c r="D23" s="33">
        <v>1</v>
      </c>
      <c r="E23" s="33">
        <f t="shared" si="2"/>
        <v>0.38506999999999997</v>
      </c>
      <c r="F23" s="36">
        <f t="shared" si="0"/>
        <v>385.07</v>
      </c>
      <c r="G23" s="44">
        <v>10</v>
      </c>
      <c r="H23" s="36">
        <v>1</v>
      </c>
      <c r="I23" s="44">
        <v>1</v>
      </c>
      <c r="J23" s="36">
        <f t="shared" si="1"/>
        <v>12</v>
      </c>
    </row>
    <row r="24" spans="1:10" x14ac:dyDescent="0.3">
      <c r="A24" s="84"/>
      <c r="B24" s="75" t="s">
        <v>17</v>
      </c>
      <c r="C24" s="76"/>
      <c r="D24" s="33">
        <v>5</v>
      </c>
      <c r="E24" s="33">
        <f t="shared" si="2"/>
        <v>1.7503499999999999</v>
      </c>
      <c r="F24" s="36">
        <f t="shared" si="0"/>
        <v>350.07</v>
      </c>
      <c r="G24" s="44">
        <v>8</v>
      </c>
      <c r="H24" s="36">
        <v>1</v>
      </c>
      <c r="I24" s="44">
        <v>1</v>
      </c>
      <c r="J24" s="36">
        <f t="shared" si="1"/>
        <v>50</v>
      </c>
    </row>
    <row r="25" spans="1:10" x14ac:dyDescent="0.3">
      <c r="A25" s="84"/>
      <c r="B25" s="75" t="s">
        <v>26</v>
      </c>
      <c r="C25" s="76"/>
      <c r="D25" s="33">
        <v>1</v>
      </c>
      <c r="E25" s="33">
        <f t="shared" si="2"/>
        <v>0.70013999999999998</v>
      </c>
      <c r="F25" s="36">
        <f t="shared" si="0"/>
        <v>700.14</v>
      </c>
      <c r="G25" s="44">
        <v>16</v>
      </c>
      <c r="H25" s="36">
        <v>2</v>
      </c>
      <c r="I25" s="44">
        <v>2</v>
      </c>
      <c r="J25" s="36">
        <f t="shared" si="1"/>
        <v>20</v>
      </c>
    </row>
    <row r="26" spans="1:10" x14ac:dyDescent="0.3">
      <c r="A26" s="84"/>
      <c r="B26" s="75" t="s">
        <v>30</v>
      </c>
      <c r="C26" s="76"/>
      <c r="D26" s="33">
        <v>7</v>
      </c>
      <c r="E26" s="33">
        <f t="shared" si="2"/>
        <v>3.1854899999999997</v>
      </c>
      <c r="F26" s="36">
        <f t="shared" si="0"/>
        <v>455.07</v>
      </c>
      <c r="G26" s="44">
        <v>14</v>
      </c>
      <c r="H26" s="36">
        <v>1</v>
      </c>
      <c r="I26" s="44">
        <v>1</v>
      </c>
      <c r="J26" s="36">
        <f t="shared" si="1"/>
        <v>112</v>
      </c>
    </row>
    <row r="27" spans="1:10" x14ac:dyDescent="0.3">
      <c r="A27" s="84"/>
      <c r="B27" s="75" t="s">
        <v>28</v>
      </c>
      <c r="C27" s="76"/>
      <c r="D27" s="33">
        <v>1</v>
      </c>
      <c r="E27" s="33">
        <f t="shared" si="2"/>
        <v>1.52257</v>
      </c>
      <c r="F27" s="36">
        <f t="shared" si="0"/>
        <v>1522.57</v>
      </c>
      <c r="G27" s="44">
        <v>63</v>
      </c>
      <c r="H27" s="36">
        <v>1</v>
      </c>
      <c r="I27" s="44">
        <v>2</v>
      </c>
      <c r="J27" s="36">
        <f t="shared" si="1"/>
        <v>66</v>
      </c>
    </row>
    <row r="28" spans="1:10" x14ac:dyDescent="0.3">
      <c r="A28" s="84"/>
      <c r="B28" s="75" t="s">
        <v>36</v>
      </c>
      <c r="C28" s="76"/>
      <c r="D28" s="33">
        <v>2</v>
      </c>
      <c r="E28" s="33">
        <f t="shared" si="2"/>
        <v>2.1351399999999998</v>
      </c>
      <c r="F28" s="36">
        <f t="shared" si="0"/>
        <v>1067.57</v>
      </c>
      <c r="G28" s="44">
        <v>37</v>
      </c>
      <c r="H28" s="36">
        <v>1</v>
      </c>
      <c r="I28" s="44">
        <v>2</v>
      </c>
      <c r="J28" s="36">
        <f t="shared" si="1"/>
        <v>80</v>
      </c>
    </row>
    <row r="29" spans="1:10" x14ac:dyDescent="0.3">
      <c r="A29" s="84"/>
      <c r="B29" s="75" t="s">
        <v>45</v>
      </c>
      <c r="C29" s="76"/>
      <c r="D29" s="33">
        <v>0</v>
      </c>
      <c r="E29" s="33">
        <f t="shared" si="2"/>
        <v>0</v>
      </c>
      <c r="F29" s="36">
        <f t="shared" si="0"/>
        <v>682.56999999999994</v>
      </c>
      <c r="G29" s="44">
        <v>15</v>
      </c>
      <c r="H29" s="36">
        <v>1</v>
      </c>
      <c r="I29" s="44">
        <v>2</v>
      </c>
      <c r="J29" s="36">
        <f t="shared" si="1"/>
        <v>0</v>
      </c>
    </row>
    <row r="30" spans="1:10" x14ac:dyDescent="0.3">
      <c r="A30" s="84"/>
      <c r="B30" s="75" t="s">
        <v>48</v>
      </c>
      <c r="C30" s="76"/>
      <c r="D30" s="33">
        <v>2</v>
      </c>
      <c r="E30" s="33">
        <f t="shared" si="2"/>
        <v>0.77013999999999994</v>
      </c>
      <c r="F30" s="36">
        <f t="shared" si="0"/>
        <v>385.07</v>
      </c>
      <c r="G30" s="44">
        <v>10</v>
      </c>
      <c r="H30" s="36">
        <v>1</v>
      </c>
      <c r="I30" s="44">
        <v>1</v>
      </c>
      <c r="J30" s="36">
        <f t="shared" si="1"/>
        <v>24</v>
      </c>
    </row>
    <row r="31" spans="1:10" x14ac:dyDescent="0.3">
      <c r="A31" s="84"/>
      <c r="B31" s="75" t="s">
        <v>52</v>
      </c>
      <c r="C31" s="76"/>
      <c r="D31" s="33">
        <v>5</v>
      </c>
      <c r="E31" s="33">
        <f t="shared" si="2"/>
        <v>1.7503499999999999</v>
      </c>
      <c r="F31" s="36">
        <f t="shared" si="0"/>
        <v>350.07</v>
      </c>
      <c r="G31" s="44">
        <v>8</v>
      </c>
      <c r="H31" s="36">
        <v>1</v>
      </c>
      <c r="I31" s="44">
        <v>1</v>
      </c>
      <c r="J31" s="36">
        <f t="shared" si="1"/>
        <v>50</v>
      </c>
    </row>
    <row r="32" spans="1:10" x14ac:dyDescent="0.3">
      <c r="A32" s="84"/>
      <c r="B32" s="75" t="s">
        <v>60</v>
      </c>
      <c r="C32" s="76"/>
      <c r="D32" s="33">
        <v>6</v>
      </c>
      <c r="E32" s="33">
        <f t="shared" si="2"/>
        <v>2.5204200000000001</v>
      </c>
      <c r="F32" s="36">
        <f t="shared" si="0"/>
        <v>420.07</v>
      </c>
      <c r="G32" s="44">
        <v>12</v>
      </c>
      <c r="H32" s="36">
        <v>1</v>
      </c>
      <c r="I32" s="44">
        <v>1</v>
      </c>
      <c r="J32" s="36">
        <f t="shared" si="1"/>
        <v>84</v>
      </c>
    </row>
    <row r="33" spans="1:17" ht="15" thickBot="1" x14ac:dyDescent="0.35">
      <c r="A33" s="85"/>
      <c r="B33" s="77" t="s">
        <v>94</v>
      </c>
      <c r="C33" s="78"/>
      <c r="D33" s="34">
        <v>1</v>
      </c>
      <c r="E33" s="34">
        <f t="shared" si="2"/>
        <v>0.42007</v>
      </c>
      <c r="F33" s="37">
        <f t="shared" si="0"/>
        <v>420.07</v>
      </c>
      <c r="G33" s="45">
        <v>12</v>
      </c>
      <c r="H33" s="37">
        <v>1</v>
      </c>
      <c r="I33" s="45">
        <v>1</v>
      </c>
      <c r="J33" s="37">
        <f t="shared" si="1"/>
        <v>14</v>
      </c>
    </row>
    <row r="34" spans="1:17" x14ac:dyDescent="0.3">
      <c r="B34" s="86" t="s">
        <v>181</v>
      </c>
      <c r="C34" s="86"/>
      <c r="D34" s="86"/>
      <c r="E34" s="30">
        <f>_xlfn.CEILING.MATH(SUM(E10:E33))</f>
        <v>32</v>
      </c>
      <c r="H34" s="86" t="s">
        <v>182</v>
      </c>
      <c r="I34" s="86"/>
      <c r="J34" s="30">
        <f>SUM(J10:J33)</f>
        <v>1070</v>
      </c>
    </row>
    <row r="35" spans="1:17" x14ac:dyDescent="0.3">
      <c r="H35" s="87" t="s">
        <v>202</v>
      </c>
      <c r="I35" s="88"/>
      <c r="J35" s="30">
        <f>SUMPRODUCT(H10:H33,D10:D33)</f>
        <v>67</v>
      </c>
    </row>
    <row r="36" spans="1:17" x14ac:dyDescent="0.3">
      <c r="H36" s="87" t="s">
        <v>203</v>
      </c>
      <c r="I36" s="88"/>
      <c r="J36" s="30">
        <f>SUMPRODUCT(I10:I33,D10:D33)</f>
        <v>75</v>
      </c>
    </row>
    <row r="37" spans="1:17" ht="15" thickBot="1" x14ac:dyDescent="0.35">
      <c r="H37" s="87" t="s">
        <v>204</v>
      </c>
      <c r="I37" s="88"/>
      <c r="J37" s="30">
        <f>SUMPRODUCT(G10:G33,D10:D33)</f>
        <v>928</v>
      </c>
    </row>
    <row r="38" spans="1:17" x14ac:dyDescent="0.3">
      <c r="A38" s="96" t="s">
        <v>183</v>
      </c>
      <c r="B38" s="89" t="s">
        <v>206</v>
      </c>
      <c r="C38" s="90"/>
      <c r="D38" s="98" t="s">
        <v>207</v>
      </c>
      <c r="E38" s="98" t="s">
        <v>208</v>
      </c>
      <c r="F38" s="100" t="s">
        <v>209</v>
      </c>
      <c r="G38" s="101"/>
      <c r="H38" s="101"/>
      <c r="I38" s="101"/>
      <c r="J38" s="101"/>
      <c r="K38" s="101"/>
      <c r="L38" s="101"/>
      <c r="M38" s="101"/>
      <c r="N38" s="101"/>
      <c r="O38" s="101"/>
      <c r="P38" s="101"/>
      <c r="Q38" s="102"/>
    </row>
    <row r="39" spans="1:17" ht="15" thickBot="1" x14ac:dyDescent="0.35">
      <c r="A39" s="97"/>
      <c r="B39" s="91"/>
      <c r="C39" s="92"/>
      <c r="D39" s="99"/>
      <c r="E39" s="99"/>
      <c r="F39" s="50" t="s">
        <v>12</v>
      </c>
      <c r="G39" s="50" t="s">
        <v>14</v>
      </c>
      <c r="H39" s="50" t="s">
        <v>17</v>
      </c>
      <c r="I39" s="50" t="s">
        <v>26</v>
      </c>
      <c r="J39" s="50" t="s">
        <v>30</v>
      </c>
      <c r="K39" s="50" t="s">
        <v>28</v>
      </c>
      <c r="L39" s="50" t="s">
        <v>36</v>
      </c>
      <c r="M39" s="50" t="s">
        <v>45</v>
      </c>
      <c r="N39" s="50" t="s">
        <v>48</v>
      </c>
      <c r="O39" s="50" t="s">
        <v>52</v>
      </c>
      <c r="P39" s="50" t="s">
        <v>60</v>
      </c>
      <c r="Q39" s="51" t="s">
        <v>94</v>
      </c>
    </row>
    <row r="40" spans="1:17" x14ac:dyDescent="0.3">
      <c r="A40" s="48" t="s">
        <v>11</v>
      </c>
      <c r="B40" s="81" cm="1">
        <f t="array" ref="B40">SUMPRODUCT(F40:Q40,TRANSPOSE($G$10:$G$21))</f>
        <v>246</v>
      </c>
      <c r="C40" s="82"/>
      <c r="D40" s="49" cm="1">
        <f t="array" ref="D40">SUMPRODUCT(F40:Q40,TRANSPOSE($I$10:$I$21))</f>
        <v>18</v>
      </c>
      <c r="E40" s="42" cm="1">
        <f t="array" ref="E40">SUMPRODUCT(F40:Q40,TRANSPOSE($H$10:$H$21))</f>
        <v>16</v>
      </c>
      <c r="F40" s="49">
        <v>1</v>
      </c>
      <c r="G40" s="35">
        <v>1</v>
      </c>
      <c r="H40" s="49">
        <v>5</v>
      </c>
      <c r="I40" s="35">
        <v>1</v>
      </c>
      <c r="J40" s="49">
        <v>5</v>
      </c>
      <c r="K40" s="35">
        <v>1</v>
      </c>
      <c r="L40" s="49">
        <v>1</v>
      </c>
      <c r="M40" s="35">
        <v>0</v>
      </c>
      <c r="N40" s="49">
        <v>0</v>
      </c>
      <c r="O40" s="35">
        <v>0</v>
      </c>
      <c r="P40" s="49">
        <v>0</v>
      </c>
      <c r="Q40" s="35">
        <v>0</v>
      </c>
    </row>
    <row r="41" spans="1:17" x14ac:dyDescent="0.3">
      <c r="A41" s="52" t="s">
        <v>39</v>
      </c>
      <c r="B41" s="75" cm="1">
        <f t="array" ref="B41">SUMPRODUCT(F41:Q41,TRANSPOSE($G$10:$G$21))</f>
        <v>227</v>
      </c>
      <c r="C41" s="76"/>
      <c r="D41" s="44" cm="1">
        <f t="array" ref="D41">SUMPRODUCT(F41:Q41,TRANSPOSE($I$10:$I$21))</f>
        <v>21</v>
      </c>
      <c r="E41" s="36" cm="1">
        <f t="array" ref="E41">SUMPRODUCT(F41:Q41,TRANSPOSE($H$10:$H$21))</f>
        <v>18</v>
      </c>
      <c r="F41" s="44">
        <v>0</v>
      </c>
      <c r="G41" s="36">
        <v>0</v>
      </c>
      <c r="H41" s="44">
        <v>0</v>
      </c>
      <c r="I41" s="36">
        <v>0</v>
      </c>
      <c r="J41" s="44">
        <v>2</v>
      </c>
      <c r="K41" s="36">
        <v>0</v>
      </c>
      <c r="L41" s="44">
        <v>1</v>
      </c>
      <c r="M41" s="36">
        <v>2</v>
      </c>
      <c r="N41" s="44">
        <v>2</v>
      </c>
      <c r="O41" s="36">
        <v>5</v>
      </c>
      <c r="P41" s="44">
        <v>6</v>
      </c>
      <c r="Q41" s="36">
        <v>0</v>
      </c>
    </row>
    <row r="42" spans="1:17" x14ac:dyDescent="0.3">
      <c r="A42" s="52" t="s">
        <v>68</v>
      </c>
      <c r="B42" s="75" cm="1">
        <f t="array" ref="B42">SUMPRODUCT(F42:Q42,TRANSPOSE($G$10:$G$21))</f>
        <v>246</v>
      </c>
      <c r="C42" s="76"/>
      <c r="D42" s="44" cm="1">
        <f t="array" ref="D42">SUMPRODUCT(F42:Q42,TRANSPOSE($I$10:$I$21))</f>
        <v>18</v>
      </c>
      <c r="E42" s="39" cm="1">
        <f t="array" ref="E42">SUMPRODUCT(F42:Q42,TRANSPOSE($H$10:$H$21))</f>
        <v>16</v>
      </c>
      <c r="F42" s="44">
        <v>1</v>
      </c>
      <c r="G42" s="36">
        <v>1</v>
      </c>
      <c r="H42" s="44">
        <v>5</v>
      </c>
      <c r="I42" s="36">
        <v>1</v>
      </c>
      <c r="J42" s="44">
        <v>5</v>
      </c>
      <c r="K42" s="36">
        <v>1</v>
      </c>
      <c r="L42" s="44">
        <v>1</v>
      </c>
      <c r="M42" s="36">
        <v>0</v>
      </c>
      <c r="N42" s="44">
        <v>0</v>
      </c>
      <c r="O42" s="36">
        <v>0</v>
      </c>
      <c r="P42" s="44">
        <v>0</v>
      </c>
      <c r="Q42" s="36">
        <v>0</v>
      </c>
    </row>
    <row r="43" spans="1:17" ht="15" thickBot="1" x14ac:dyDescent="0.35">
      <c r="A43" s="53" t="s">
        <v>88</v>
      </c>
      <c r="B43" s="77" cm="1">
        <f t="array" ref="B43">SUMPRODUCT(F43:Q43,TRANSPOSE($G$10:$G$21))</f>
        <v>209</v>
      </c>
      <c r="C43" s="78"/>
      <c r="D43" s="45" cm="1">
        <f t="array" ref="D43">SUMPRODUCT(F43:Q43,TRANSPOSE($I$10:$I$21))</f>
        <v>18</v>
      </c>
      <c r="E43" s="37" cm="1">
        <f t="array" ref="E43">SUMPRODUCT(F43:Q43,TRANSPOSE($H$10:$H$21))</f>
        <v>17</v>
      </c>
      <c r="F43" s="45">
        <v>0</v>
      </c>
      <c r="G43" s="37">
        <v>0</v>
      </c>
      <c r="H43" s="45">
        <v>0</v>
      </c>
      <c r="I43" s="37">
        <v>0</v>
      </c>
      <c r="J43" s="45">
        <v>2</v>
      </c>
      <c r="K43" s="37">
        <v>0</v>
      </c>
      <c r="L43" s="45">
        <v>1</v>
      </c>
      <c r="M43" s="37">
        <v>0</v>
      </c>
      <c r="N43" s="45">
        <v>2</v>
      </c>
      <c r="O43" s="37">
        <v>5</v>
      </c>
      <c r="P43" s="45">
        <v>6</v>
      </c>
      <c r="Q43" s="37">
        <v>1</v>
      </c>
    </row>
    <row r="44" spans="1:17" x14ac:dyDescent="0.3">
      <c r="A44" s="47" t="s">
        <v>210</v>
      </c>
      <c r="B44" s="30">
        <f>SUM(B40:E43)</f>
        <v>1070</v>
      </c>
    </row>
    <row r="46" spans="1:17" ht="15" thickBot="1" x14ac:dyDescent="0.35"/>
    <row r="47" spans="1:17" ht="15" thickBot="1" x14ac:dyDescent="0.35">
      <c r="A47" s="93" t="s">
        <v>161</v>
      </c>
      <c r="B47" s="159"/>
      <c r="C47" s="159"/>
      <c r="D47" s="159"/>
      <c r="E47" s="159"/>
      <c r="F47" s="159"/>
      <c r="G47" s="159"/>
      <c r="H47" s="159"/>
      <c r="I47" s="159"/>
      <c r="J47" s="95"/>
    </row>
    <row r="48" spans="1:17" x14ac:dyDescent="0.3">
      <c r="A48" s="75" t="s">
        <v>159</v>
      </c>
      <c r="B48" s="93" t="s">
        <v>164</v>
      </c>
      <c r="C48" s="94"/>
      <c r="D48" s="94"/>
      <c r="E48" s="95"/>
      <c r="F48" s="93" t="s">
        <v>160</v>
      </c>
      <c r="G48" s="94"/>
      <c r="H48" s="94"/>
      <c r="I48" s="95"/>
      <c r="J48" s="175" t="s">
        <v>183</v>
      </c>
    </row>
    <row r="49" spans="1:10" x14ac:dyDescent="0.3">
      <c r="A49" s="75"/>
      <c r="B49" s="67" t="s">
        <v>162</v>
      </c>
      <c r="C49" s="62" t="s">
        <v>189</v>
      </c>
      <c r="D49" s="63" t="s">
        <v>200</v>
      </c>
      <c r="E49" s="160" t="s">
        <v>163</v>
      </c>
      <c r="F49" s="67" t="s">
        <v>162</v>
      </c>
      <c r="G49" s="62" t="s">
        <v>189</v>
      </c>
      <c r="H49" s="62" t="s">
        <v>200</v>
      </c>
      <c r="I49" s="68" t="s">
        <v>163</v>
      </c>
      <c r="J49" s="175"/>
    </row>
    <row r="50" spans="1:10" ht="15" thickBot="1" x14ac:dyDescent="0.35">
      <c r="A50" s="157" t="s">
        <v>269</v>
      </c>
      <c r="B50" s="148" t="s">
        <v>270</v>
      </c>
      <c r="C50" s="149">
        <v>1</v>
      </c>
      <c r="D50" s="150">
        <v>3686.6</v>
      </c>
      <c r="E50" s="161" t="s">
        <v>188</v>
      </c>
      <c r="F50" s="148" t="s">
        <v>271</v>
      </c>
      <c r="G50" s="149">
        <v>1</v>
      </c>
      <c r="H50" s="151" t="s">
        <v>274</v>
      </c>
      <c r="I50" s="161" t="s">
        <v>188</v>
      </c>
      <c r="J50" s="176"/>
    </row>
    <row r="51" spans="1:10" x14ac:dyDescent="0.3">
      <c r="A51" s="158" t="s">
        <v>186</v>
      </c>
      <c r="B51" s="162" t="s">
        <v>197</v>
      </c>
      <c r="C51" s="66">
        <v>1</v>
      </c>
      <c r="D51" s="156">
        <v>6100.82</v>
      </c>
      <c r="E51" s="163" t="s">
        <v>188</v>
      </c>
      <c r="F51" s="155" t="s">
        <v>211</v>
      </c>
      <c r="G51" s="66">
        <v>1</v>
      </c>
      <c r="H51" s="156">
        <v>26334.7</v>
      </c>
      <c r="I51" s="163" t="s">
        <v>188</v>
      </c>
      <c r="J51" s="102" t="s">
        <v>11</v>
      </c>
    </row>
    <row r="52" spans="1:10" x14ac:dyDescent="0.3">
      <c r="A52" s="52" t="s">
        <v>187</v>
      </c>
      <c r="B52" s="164" t="s">
        <v>191</v>
      </c>
      <c r="C52" s="62">
        <v>1</v>
      </c>
      <c r="D52" s="64">
        <v>7123.14</v>
      </c>
      <c r="E52" s="165" t="s">
        <v>188</v>
      </c>
      <c r="F52" s="69" t="s">
        <v>212</v>
      </c>
      <c r="G52" s="62">
        <v>1</v>
      </c>
      <c r="H52" s="61">
        <v>14125.61</v>
      </c>
      <c r="I52" s="165" t="s">
        <v>188</v>
      </c>
      <c r="J52" s="175"/>
    </row>
    <row r="53" spans="1:10" x14ac:dyDescent="0.3">
      <c r="A53" s="52" t="s">
        <v>193</v>
      </c>
      <c r="B53" s="166" t="s">
        <v>194</v>
      </c>
      <c r="C53" s="73">
        <f>_xlfn.CEILING.MATH(SUM(B40,E40)/48)</f>
        <v>6</v>
      </c>
      <c r="D53" s="74">
        <v>4959.83</v>
      </c>
      <c r="E53" s="167" t="s">
        <v>188</v>
      </c>
      <c r="F53" s="166" t="s">
        <v>213</v>
      </c>
      <c r="G53" s="73">
        <f>_xlfn.CEILING.MATH(SUM(B40,E40)/48)</f>
        <v>6</v>
      </c>
      <c r="H53" s="74">
        <v>5350</v>
      </c>
      <c r="I53" s="167" t="s">
        <v>188</v>
      </c>
      <c r="J53" s="175"/>
    </row>
    <row r="54" spans="1:10" x14ac:dyDescent="0.3">
      <c r="A54" s="52" t="s">
        <v>195</v>
      </c>
      <c r="B54" s="168"/>
      <c r="C54" s="73"/>
      <c r="D54" s="74"/>
      <c r="E54" s="167"/>
      <c r="F54" s="103"/>
      <c r="G54" s="73"/>
      <c r="H54" s="74"/>
      <c r="I54" s="167"/>
      <c r="J54" s="175"/>
    </row>
    <row r="55" spans="1:10" x14ac:dyDescent="0.3">
      <c r="A55" s="179" t="s">
        <v>275</v>
      </c>
      <c r="B55" s="69" t="s">
        <v>276</v>
      </c>
      <c r="C55" s="62">
        <f>(12+2)</f>
        <v>14</v>
      </c>
      <c r="D55" s="61">
        <v>343.64</v>
      </c>
      <c r="E55" s="165" t="s">
        <v>188</v>
      </c>
      <c r="F55" s="67" t="s">
        <v>278</v>
      </c>
      <c r="G55" s="62">
        <v>12</v>
      </c>
      <c r="H55" s="61">
        <v>1295</v>
      </c>
      <c r="I55" s="165" t="s">
        <v>188</v>
      </c>
      <c r="J55" s="175"/>
    </row>
    <row r="56" spans="1:10" x14ac:dyDescent="0.3">
      <c r="A56" s="52" t="s">
        <v>198</v>
      </c>
      <c r="B56" s="164" t="s">
        <v>277</v>
      </c>
      <c r="C56" s="62">
        <v>1</v>
      </c>
      <c r="D56" s="64">
        <v>17336.86</v>
      </c>
      <c r="E56" s="165" t="s">
        <v>188</v>
      </c>
      <c r="F56" s="69" t="s">
        <v>214</v>
      </c>
      <c r="G56" s="62">
        <v>1</v>
      </c>
      <c r="H56" s="61">
        <v>47650</v>
      </c>
      <c r="I56" s="165" t="s">
        <v>188</v>
      </c>
      <c r="J56" s="175"/>
    </row>
    <row r="57" spans="1:10" x14ac:dyDescent="0.3">
      <c r="A57" s="52" t="s">
        <v>192</v>
      </c>
      <c r="B57" s="69" t="s">
        <v>273</v>
      </c>
      <c r="C57" s="62">
        <f>_xlfn.CEILING.MATH(D40/48)</f>
        <v>1</v>
      </c>
      <c r="D57" s="61">
        <v>5015.78</v>
      </c>
      <c r="E57" s="165" t="s">
        <v>188</v>
      </c>
      <c r="F57" s="69" t="s">
        <v>215</v>
      </c>
      <c r="G57" s="62">
        <f>_xlfn.CEILING.MATH(D40/24)</f>
        <v>1</v>
      </c>
      <c r="H57" s="61">
        <v>15545</v>
      </c>
      <c r="I57" s="165" t="s">
        <v>188</v>
      </c>
      <c r="J57" s="175"/>
    </row>
    <row r="58" spans="1:10" x14ac:dyDescent="0.3">
      <c r="A58" s="33" t="s">
        <v>184</v>
      </c>
      <c r="B58" s="69" t="s">
        <v>205</v>
      </c>
      <c r="C58" s="62">
        <f>D40</f>
        <v>18</v>
      </c>
      <c r="D58" s="61">
        <v>5455.89</v>
      </c>
      <c r="E58" s="165" t="s">
        <v>188</v>
      </c>
      <c r="F58" s="69" t="s">
        <v>216</v>
      </c>
      <c r="G58" s="62">
        <f>D40</f>
        <v>18</v>
      </c>
      <c r="H58" s="61">
        <v>1475.37</v>
      </c>
      <c r="I58" s="165" t="s">
        <v>188</v>
      </c>
      <c r="J58" s="175"/>
    </row>
    <row r="59" spans="1:10" x14ac:dyDescent="0.3">
      <c r="A59" s="33" t="s">
        <v>185</v>
      </c>
      <c r="B59" s="69" t="s">
        <v>279</v>
      </c>
      <c r="C59" s="62">
        <v>1</v>
      </c>
      <c r="D59" s="61" t="s">
        <v>280</v>
      </c>
      <c r="E59" s="165" t="s">
        <v>188</v>
      </c>
      <c r="F59" s="69" t="s">
        <v>217</v>
      </c>
      <c r="G59" s="62">
        <v>1</v>
      </c>
      <c r="H59" s="61">
        <v>68179.320000000007</v>
      </c>
      <c r="I59" s="165" t="s">
        <v>188</v>
      </c>
      <c r="J59" s="175"/>
    </row>
    <row r="60" spans="1:10" ht="15" thickBot="1" x14ac:dyDescent="0.35">
      <c r="A60" s="34" t="s">
        <v>190</v>
      </c>
      <c r="B60" s="169" t="s">
        <v>201</v>
      </c>
      <c r="C60" s="71">
        <f>E40</f>
        <v>16</v>
      </c>
      <c r="D60" s="72">
        <v>366.2</v>
      </c>
      <c r="E60" s="170" t="s">
        <v>188</v>
      </c>
      <c r="F60" s="172" t="s">
        <v>218</v>
      </c>
      <c r="G60" s="71">
        <f>E40</f>
        <v>16</v>
      </c>
      <c r="H60" s="72">
        <v>194.99</v>
      </c>
      <c r="I60" s="170" t="s">
        <v>188</v>
      </c>
      <c r="J60" s="177"/>
    </row>
    <row r="61" spans="1:10" x14ac:dyDescent="0.3">
      <c r="A61" s="32" t="s">
        <v>186</v>
      </c>
      <c r="B61" s="162" t="s">
        <v>197</v>
      </c>
      <c r="C61" s="66">
        <v>1</v>
      </c>
      <c r="D61" s="156">
        <v>6100.82</v>
      </c>
      <c r="E61" s="163" t="s">
        <v>188</v>
      </c>
      <c r="F61" s="65" t="s">
        <v>211</v>
      </c>
      <c r="G61" s="66">
        <v>1</v>
      </c>
      <c r="H61" s="156">
        <v>26334.7</v>
      </c>
      <c r="I61" s="163" t="s">
        <v>188</v>
      </c>
      <c r="J61" s="102" t="s">
        <v>39</v>
      </c>
    </row>
    <row r="62" spans="1:10" x14ac:dyDescent="0.3">
      <c r="A62" s="52" t="s">
        <v>187</v>
      </c>
      <c r="B62" s="69" t="s">
        <v>191</v>
      </c>
      <c r="C62" s="62">
        <v>1</v>
      </c>
      <c r="D62" s="64">
        <v>7123.14</v>
      </c>
      <c r="E62" s="165" t="s">
        <v>188</v>
      </c>
      <c r="F62" s="67" t="s">
        <v>212</v>
      </c>
      <c r="G62" s="62">
        <v>1</v>
      </c>
      <c r="H62" s="61">
        <v>14125.61</v>
      </c>
      <c r="I62" s="165" t="s">
        <v>188</v>
      </c>
      <c r="J62" s="175"/>
    </row>
    <row r="63" spans="1:10" x14ac:dyDescent="0.3">
      <c r="A63" s="52" t="s">
        <v>193</v>
      </c>
      <c r="B63" s="168" t="s">
        <v>194</v>
      </c>
      <c r="C63" s="73">
        <f>_xlfn.CEILING.MATH(SUM($B$41,$E$41)/48)</f>
        <v>6</v>
      </c>
      <c r="D63" s="74">
        <v>4959.83</v>
      </c>
      <c r="E63" s="167" t="s">
        <v>188</v>
      </c>
      <c r="F63" s="166" t="s">
        <v>213</v>
      </c>
      <c r="G63" s="73">
        <f>_xlfn.CEILING.MATH(SUM($B$41,$E$41)/48)</f>
        <v>6</v>
      </c>
      <c r="H63" s="74">
        <v>5350</v>
      </c>
      <c r="I63" s="167" t="s">
        <v>188</v>
      </c>
      <c r="J63" s="175"/>
    </row>
    <row r="64" spans="1:10" x14ac:dyDescent="0.3">
      <c r="A64" s="52" t="s">
        <v>195</v>
      </c>
      <c r="B64" s="168"/>
      <c r="C64" s="73"/>
      <c r="D64" s="74"/>
      <c r="E64" s="167"/>
      <c r="F64" s="103"/>
      <c r="G64" s="73"/>
      <c r="H64" s="74"/>
      <c r="I64" s="167"/>
      <c r="J64" s="175"/>
    </row>
    <row r="65" spans="1:10" x14ac:dyDescent="0.3">
      <c r="A65" s="52" t="s">
        <v>198</v>
      </c>
      <c r="B65" s="70" t="s">
        <v>199</v>
      </c>
      <c r="C65" s="62">
        <v>1</v>
      </c>
      <c r="D65" s="64">
        <v>17336.86</v>
      </c>
      <c r="E65" s="165" t="s">
        <v>188</v>
      </c>
      <c r="F65" s="69" t="s">
        <v>214</v>
      </c>
      <c r="G65" s="62">
        <v>1</v>
      </c>
      <c r="H65" s="61">
        <v>47650</v>
      </c>
      <c r="I65" s="165" t="s">
        <v>188</v>
      </c>
      <c r="J65" s="175"/>
    </row>
    <row r="66" spans="1:10" x14ac:dyDescent="0.3">
      <c r="A66" s="179" t="s">
        <v>275</v>
      </c>
      <c r="B66" s="69" t="s">
        <v>276</v>
      </c>
      <c r="C66" s="62">
        <v>12</v>
      </c>
      <c r="D66" s="61">
        <v>343.64</v>
      </c>
      <c r="E66" s="165" t="s">
        <v>188</v>
      </c>
      <c r="F66" s="67" t="s">
        <v>278</v>
      </c>
      <c r="G66" s="62">
        <v>12</v>
      </c>
      <c r="H66" s="61">
        <v>1295</v>
      </c>
      <c r="I66" s="165" t="s">
        <v>188</v>
      </c>
      <c r="J66" s="175"/>
    </row>
    <row r="67" spans="1:10" x14ac:dyDescent="0.3">
      <c r="A67" s="52" t="s">
        <v>192</v>
      </c>
      <c r="B67" s="69" t="s">
        <v>273</v>
      </c>
      <c r="C67" s="62">
        <f>_xlfn.CEILING.MATH($D$41/48)</f>
        <v>1</v>
      </c>
      <c r="D67" s="61">
        <v>5015.78</v>
      </c>
      <c r="E67" s="165" t="s">
        <v>188</v>
      </c>
      <c r="F67" s="69" t="s">
        <v>215</v>
      </c>
      <c r="G67" s="62">
        <f>_xlfn.CEILING.MATH($D$41/24)</f>
        <v>1</v>
      </c>
      <c r="H67" s="61">
        <v>15545</v>
      </c>
      <c r="I67" s="165" t="s">
        <v>188</v>
      </c>
      <c r="J67" s="175"/>
    </row>
    <row r="68" spans="1:10" x14ac:dyDescent="0.3">
      <c r="A68" s="33" t="s">
        <v>184</v>
      </c>
      <c r="B68" s="70" t="s">
        <v>196</v>
      </c>
      <c r="C68" s="62">
        <f>$D$41</f>
        <v>21</v>
      </c>
      <c r="D68" s="61">
        <v>5455.89</v>
      </c>
      <c r="E68" s="165" t="s">
        <v>188</v>
      </c>
      <c r="F68" s="67" t="s">
        <v>216</v>
      </c>
      <c r="G68" s="62">
        <f>$D$41</f>
        <v>21</v>
      </c>
      <c r="H68" s="61">
        <v>1475.37</v>
      </c>
      <c r="I68" s="165" t="s">
        <v>188</v>
      </c>
      <c r="J68" s="175"/>
    </row>
    <row r="69" spans="1:10" ht="15" thickBot="1" x14ac:dyDescent="0.35">
      <c r="A69" s="34" t="s">
        <v>190</v>
      </c>
      <c r="B69" s="171" t="s">
        <v>201</v>
      </c>
      <c r="C69" s="71">
        <f>$E$41</f>
        <v>18</v>
      </c>
      <c r="D69" s="72">
        <v>366.2</v>
      </c>
      <c r="E69" s="170" t="s">
        <v>188</v>
      </c>
      <c r="F69" s="172" t="s">
        <v>218</v>
      </c>
      <c r="G69" s="71">
        <f>$E$41</f>
        <v>18</v>
      </c>
      <c r="H69" s="72">
        <v>194.99</v>
      </c>
      <c r="I69" s="170" t="s">
        <v>188</v>
      </c>
      <c r="J69" s="177"/>
    </row>
    <row r="70" spans="1:10" x14ac:dyDescent="0.3">
      <c r="A70" s="32" t="s">
        <v>186</v>
      </c>
      <c r="B70" s="162" t="s">
        <v>197</v>
      </c>
      <c r="C70" s="66">
        <v>1</v>
      </c>
      <c r="D70" s="156">
        <v>6100.82</v>
      </c>
      <c r="E70" s="163" t="s">
        <v>188</v>
      </c>
      <c r="F70" s="65" t="s">
        <v>211</v>
      </c>
      <c r="G70" s="66">
        <v>1</v>
      </c>
      <c r="H70" s="156">
        <v>26334.7</v>
      </c>
      <c r="I70" s="163" t="s">
        <v>188</v>
      </c>
      <c r="J70" s="102" t="s">
        <v>68</v>
      </c>
    </row>
    <row r="71" spans="1:10" x14ac:dyDescent="0.3">
      <c r="A71" s="52" t="s">
        <v>187</v>
      </c>
      <c r="B71" s="70" t="s">
        <v>191</v>
      </c>
      <c r="C71" s="62">
        <v>1</v>
      </c>
      <c r="D71" s="64">
        <v>7123.14</v>
      </c>
      <c r="E71" s="165" t="s">
        <v>188</v>
      </c>
      <c r="F71" s="67" t="s">
        <v>212</v>
      </c>
      <c r="G71" s="62">
        <v>1</v>
      </c>
      <c r="H71" s="61">
        <v>14125.61</v>
      </c>
      <c r="I71" s="165" t="s">
        <v>188</v>
      </c>
      <c r="J71" s="175"/>
    </row>
    <row r="72" spans="1:10" x14ac:dyDescent="0.3">
      <c r="A72" s="52" t="s">
        <v>193</v>
      </c>
      <c r="B72" s="168" t="s">
        <v>194</v>
      </c>
      <c r="C72" s="73">
        <f>_xlfn.CEILING.MATH(SUM($B$42,$E$42)/48)</f>
        <v>6</v>
      </c>
      <c r="D72" s="74">
        <v>4959.83</v>
      </c>
      <c r="E72" s="167" t="s">
        <v>188</v>
      </c>
      <c r="F72" s="166" t="s">
        <v>213</v>
      </c>
      <c r="G72" s="73">
        <f>_xlfn.CEILING.MATH(SUM($B$42,$E$42)/48)</f>
        <v>6</v>
      </c>
      <c r="H72" s="74">
        <v>5350</v>
      </c>
      <c r="I72" s="167" t="s">
        <v>188</v>
      </c>
      <c r="J72" s="175"/>
    </row>
    <row r="73" spans="1:10" x14ac:dyDescent="0.3">
      <c r="A73" s="52" t="s">
        <v>195</v>
      </c>
      <c r="B73" s="168"/>
      <c r="C73" s="73"/>
      <c r="D73" s="74"/>
      <c r="E73" s="167"/>
      <c r="F73" s="103"/>
      <c r="G73" s="73"/>
      <c r="H73" s="74"/>
      <c r="I73" s="167"/>
      <c r="J73" s="175"/>
    </row>
    <row r="74" spans="1:10" x14ac:dyDescent="0.3">
      <c r="A74" s="52" t="s">
        <v>198</v>
      </c>
      <c r="B74" s="70" t="s">
        <v>199</v>
      </c>
      <c r="C74" s="62">
        <v>1</v>
      </c>
      <c r="D74" s="64">
        <v>17336.86</v>
      </c>
      <c r="E74" s="165" t="s">
        <v>188</v>
      </c>
      <c r="F74" s="69" t="s">
        <v>214</v>
      </c>
      <c r="G74" s="62">
        <v>1</v>
      </c>
      <c r="H74" s="61">
        <v>47650</v>
      </c>
      <c r="I74" s="165" t="s">
        <v>188</v>
      </c>
      <c r="J74" s="175"/>
    </row>
    <row r="75" spans="1:10" x14ac:dyDescent="0.3">
      <c r="A75" s="179" t="s">
        <v>275</v>
      </c>
      <c r="B75" s="69" t="s">
        <v>276</v>
      </c>
      <c r="C75" s="62">
        <v>12</v>
      </c>
      <c r="D75" s="61">
        <v>343.64</v>
      </c>
      <c r="E75" s="165" t="s">
        <v>188</v>
      </c>
      <c r="F75" s="67" t="s">
        <v>278</v>
      </c>
      <c r="G75" s="62">
        <v>12</v>
      </c>
      <c r="H75" s="61">
        <v>1295</v>
      </c>
      <c r="I75" s="165" t="s">
        <v>188</v>
      </c>
      <c r="J75" s="175"/>
    </row>
    <row r="76" spans="1:10" x14ac:dyDescent="0.3">
      <c r="A76" s="52" t="s">
        <v>192</v>
      </c>
      <c r="B76" s="69" t="s">
        <v>273</v>
      </c>
      <c r="C76" s="62">
        <f>_xlfn.CEILING.MATH($D$42/48)</f>
        <v>1</v>
      </c>
      <c r="D76" s="61">
        <v>5015.78</v>
      </c>
      <c r="E76" s="165" t="s">
        <v>188</v>
      </c>
      <c r="F76" s="69" t="s">
        <v>215</v>
      </c>
      <c r="G76" s="62">
        <f>_xlfn.CEILING.MATH($D$42/24)</f>
        <v>1</v>
      </c>
      <c r="H76" s="61">
        <v>15545</v>
      </c>
      <c r="I76" s="165" t="s">
        <v>188</v>
      </c>
      <c r="J76" s="175"/>
    </row>
    <row r="77" spans="1:10" x14ac:dyDescent="0.3">
      <c r="A77" s="33" t="s">
        <v>184</v>
      </c>
      <c r="B77" s="70" t="s">
        <v>196</v>
      </c>
      <c r="C77" s="62">
        <f>$D$42</f>
        <v>18</v>
      </c>
      <c r="D77" s="61">
        <v>5455.89</v>
      </c>
      <c r="E77" s="165" t="s">
        <v>188</v>
      </c>
      <c r="F77" s="67" t="s">
        <v>216</v>
      </c>
      <c r="G77" s="62">
        <f>$D$42</f>
        <v>18</v>
      </c>
      <c r="H77" s="61">
        <v>1475.37</v>
      </c>
      <c r="I77" s="165" t="s">
        <v>188</v>
      </c>
      <c r="J77" s="175"/>
    </row>
    <row r="78" spans="1:10" ht="15" thickBot="1" x14ac:dyDescent="0.35">
      <c r="A78" s="34" t="s">
        <v>190</v>
      </c>
      <c r="B78" s="172" t="s">
        <v>201</v>
      </c>
      <c r="C78" s="71">
        <f>$E$42</f>
        <v>16</v>
      </c>
      <c r="D78" s="72">
        <v>366.2</v>
      </c>
      <c r="E78" s="170" t="s">
        <v>188</v>
      </c>
      <c r="F78" s="172" t="s">
        <v>218</v>
      </c>
      <c r="G78" s="71">
        <f>$E$42</f>
        <v>16</v>
      </c>
      <c r="H78" s="72">
        <v>194.99</v>
      </c>
      <c r="I78" s="170" t="s">
        <v>188</v>
      </c>
      <c r="J78" s="177"/>
    </row>
    <row r="79" spans="1:10" x14ac:dyDescent="0.3">
      <c r="A79" s="38" t="s">
        <v>186</v>
      </c>
      <c r="B79" s="173" t="s">
        <v>197</v>
      </c>
      <c r="C79" s="153">
        <v>1</v>
      </c>
      <c r="D79" s="154">
        <v>6100.82</v>
      </c>
      <c r="E79" s="174" t="s">
        <v>188</v>
      </c>
      <c r="F79" s="152" t="s">
        <v>211</v>
      </c>
      <c r="G79" s="153">
        <v>1</v>
      </c>
      <c r="H79" s="154">
        <v>26334.7</v>
      </c>
      <c r="I79" s="174" t="s">
        <v>188</v>
      </c>
      <c r="J79" s="178" t="s">
        <v>88</v>
      </c>
    </row>
    <row r="80" spans="1:10" x14ac:dyDescent="0.3">
      <c r="A80" s="52" t="s">
        <v>187</v>
      </c>
      <c r="B80" s="70" t="s">
        <v>191</v>
      </c>
      <c r="C80" s="62">
        <v>1</v>
      </c>
      <c r="D80" s="64">
        <v>7123.14</v>
      </c>
      <c r="E80" s="165" t="s">
        <v>188</v>
      </c>
      <c r="F80" s="67" t="s">
        <v>212</v>
      </c>
      <c r="G80" s="62">
        <v>1</v>
      </c>
      <c r="H80" s="61">
        <v>14125.61</v>
      </c>
      <c r="I80" s="165" t="s">
        <v>188</v>
      </c>
      <c r="J80" s="175"/>
    </row>
    <row r="81" spans="1:10" x14ac:dyDescent="0.3">
      <c r="A81" s="52" t="s">
        <v>193</v>
      </c>
      <c r="B81" s="168" t="s">
        <v>194</v>
      </c>
      <c r="C81" s="73">
        <f>_xlfn.CEILING.MATH(SUM($B$43,$E$43)/48)</f>
        <v>5</v>
      </c>
      <c r="D81" s="74">
        <v>4959.83</v>
      </c>
      <c r="E81" s="167" t="s">
        <v>188</v>
      </c>
      <c r="F81" s="166" t="s">
        <v>213</v>
      </c>
      <c r="G81" s="73">
        <f>_xlfn.CEILING.MATH(SUM($B$43,$E$43)/48)</f>
        <v>5</v>
      </c>
      <c r="H81" s="74">
        <v>5350</v>
      </c>
      <c r="I81" s="167" t="s">
        <v>188</v>
      </c>
      <c r="J81" s="175"/>
    </row>
    <row r="82" spans="1:10" x14ac:dyDescent="0.3">
      <c r="A82" s="52" t="s">
        <v>195</v>
      </c>
      <c r="B82" s="168"/>
      <c r="C82" s="73"/>
      <c r="D82" s="74"/>
      <c r="E82" s="167"/>
      <c r="F82" s="103"/>
      <c r="G82" s="73"/>
      <c r="H82" s="74"/>
      <c r="I82" s="167"/>
      <c r="J82" s="175"/>
    </row>
    <row r="83" spans="1:10" x14ac:dyDescent="0.3">
      <c r="A83" s="52" t="s">
        <v>198</v>
      </c>
      <c r="B83" s="70" t="s">
        <v>199</v>
      </c>
      <c r="C83" s="62">
        <v>1</v>
      </c>
      <c r="D83" s="64">
        <v>17336.86</v>
      </c>
      <c r="E83" s="165" t="s">
        <v>188</v>
      </c>
      <c r="F83" s="69" t="s">
        <v>214</v>
      </c>
      <c r="G83" s="62">
        <v>1</v>
      </c>
      <c r="H83" s="61">
        <v>47650</v>
      </c>
      <c r="I83" s="165" t="s">
        <v>188</v>
      </c>
      <c r="J83" s="175"/>
    </row>
    <row r="84" spans="1:10" x14ac:dyDescent="0.3">
      <c r="A84" s="179" t="s">
        <v>275</v>
      </c>
      <c r="B84" s="69" t="s">
        <v>276</v>
      </c>
      <c r="C84" s="62">
        <v>12</v>
      </c>
      <c r="D84" s="61">
        <v>343.64</v>
      </c>
      <c r="E84" s="165" t="s">
        <v>188</v>
      </c>
      <c r="F84" s="67" t="s">
        <v>278</v>
      </c>
      <c r="G84" s="62">
        <v>12</v>
      </c>
      <c r="H84" s="61">
        <v>1295</v>
      </c>
      <c r="I84" s="165" t="s">
        <v>188</v>
      </c>
      <c r="J84" s="175"/>
    </row>
    <row r="85" spans="1:10" x14ac:dyDescent="0.3">
      <c r="A85" s="52" t="s">
        <v>192</v>
      </c>
      <c r="B85" s="69" t="s">
        <v>273</v>
      </c>
      <c r="C85" s="62">
        <f>_xlfn.CEILING.MATH($D$43/48)</f>
        <v>1</v>
      </c>
      <c r="D85" s="61">
        <v>5015.78</v>
      </c>
      <c r="E85" s="165" t="s">
        <v>188</v>
      </c>
      <c r="F85" s="69" t="s">
        <v>215</v>
      </c>
      <c r="G85" s="62">
        <f>_xlfn.CEILING.MATH($D$43/24)</f>
        <v>1</v>
      </c>
      <c r="H85" s="61">
        <v>15545</v>
      </c>
      <c r="I85" s="165" t="s">
        <v>188</v>
      </c>
      <c r="J85" s="175"/>
    </row>
    <row r="86" spans="1:10" x14ac:dyDescent="0.3">
      <c r="A86" s="33" t="s">
        <v>184</v>
      </c>
      <c r="B86" s="70" t="s">
        <v>196</v>
      </c>
      <c r="C86" s="62">
        <f>$D$43</f>
        <v>18</v>
      </c>
      <c r="D86" s="61">
        <v>5455.89</v>
      </c>
      <c r="E86" s="165" t="s">
        <v>188</v>
      </c>
      <c r="F86" s="67" t="s">
        <v>216</v>
      </c>
      <c r="G86" s="62">
        <f>$D$43</f>
        <v>18</v>
      </c>
      <c r="H86" s="61">
        <v>1475.37</v>
      </c>
      <c r="I86" s="165" t="s">
        <v>188</v>
      </c>
      <c r="J86" s="175"/>
    </row>
    <row r="87" spans="1:10" ht="15" thickBot="1" x14ac:dyDescent="0.35">
      <c r="A87" s="34" t="s">
        <v>190</v>
      </c>
      <c r="B87" s="172" t="s">
        <v>201</v>
      </c>
      <c r="C87" s="71">
        <f>$E$43</f>
        <v>17</v>
      </c>
      <c r="D87" s="72">
        <v>366.2</v>
      </c>
      <c r="E87" s="170" t="s">
        <v>188</v>
      </c>
      <c r="F87" s="172" t="s">
        <v>218</v>
      </c>
      <c r="G87" s="71">
        <f>$E$43</f>
        <v>17</v>
      </c>
      <c r="H87" s="72">
        <v>194.99</v>
      </c>
      <c r="I87" s="170" t="s">
        <v>188</v>
      </c>
      <c r="J87" s="177"/>
    </row>
    <row r="88" spans="1:10" x14ac:dyDescent="0.3">
      <c r="D88" s="59">
        <f>SUMPRODUCT(C50:C87,D50:D87)</f>
        <v>710978.24000000011</v>
      </c>
      <c r="H88" s="59">
        <f>SUMPRODUCT(G50:G87,H50:H87)</f>
        <v>791727.64</v>
      </c>
    </row>
    <row r="89" spans="1:10" ht="15" thickBot="1" x14ac:dyDescent="0.35"/>
    <row r="90" spans="1:10" ht="15" thickBot="1" x14ac:dyDescent="0.35">
      <c r="A90" s="55" t="s">
        <v>222</v>
      </c>
      <c r="B90" s="55" t="s">
        <v>224</v>
      </c>
      <c r="C90" s="31"/>
    </row>
    <row r="91" spans="1:10" x14ac:dyDescent="0.3">
      <c r="A91" s="54" t="s">
        <v>223</v>
      </c>
      <c r="B91" s="54" t="s">
        <v>272</v>
      </c>
    </row>
    <row r="92" spans="1:10" x14ac:dyDescent="0.3">
      <c r="A92" s="31"/>
      <c r="B92" s="31"/>
      <c r="C92" s="31"/>
    </row>
    <row r="93" spans="1:10" x14ac:dyDescent="0.3">
      <c r="A93" s="31"/>
      <c r="B93" s="31"/>
      <c r="C93" s="31"/>
    </row>
    <row r="96" spans="1:10" ht="15" thickBot="1" x14ac:dyDescent="0.35"/>
    <row r="97" spans="1:7" ht="15" thickBot="1" x14ac:dyDescent="0.35">
      <c r="A97" s="55" t="s">
        <v>219</v>
      </c>
      <c r="B97" s="55" t="s">
        <v>236</v>
      </c>
      <c r="C97" s="55" t="s">
        <v>237</v>
      </c>
      <c r="D97" s="58" t="s">
        <v>238</v>
      </c>
      <c r="E97" s="55" t="s">
        <v>240</v>
      </c>
      <c r="F97" s="55" t="s">
        <v>220</v>
      </c>
      <c r="G97" s="55" t="s">
        <v>221</v>
      </c>
    </row>
    <row r="98" spans="1:7" x14ac:dyDescent="0.3">
      <c r="A98" s="58" t="s">
        <v>225</v>
      </c>
      <c r="B98" s="35" t="s">
        <v>234</v>
      </c>
      <c r="C98" s="58" t="s">
        <v>239</v>
      </c>
      <c r="D98" s="60" t="s">
        <v>235</v>
      </c>
      <c r="E98" s="58" t="s">
        <v>241</v>
      </c>
      <c r="F98" s="58" t="s">
        <v>232</v>
      </c>
      <c r="G98" s="58" t="s">
        <v>233</v>
      </c>
    </row>
    <row r="99" spans="1:7" x14ac:dyDescent="0.3">
      <c r="A99" s="56" t="s">
        <v>226</v>
      </c>
      <c r="B99" s="56" t="s">
        <v>242</v>
      </c>
      <c r="C99" s="56" t="s">
        <v>243</v>
      </c>
      <c r="D99" s="56" t="s">
        <v>244</v>
      </c>
      <c r="E99" s="56" t="s">
        <v>245</v>
      </c>
      <c r="F99" s="36">
        <f>SUM(E40:E43)</f>
        <v>67</v>
      </c>
      <c r="G99" s="56" t="s">
        <v>233</v>
      </c>
    </row>
    <row r="100" spans="1:7" x14ac:dyDescent="0.3">
      <c r="A100" s="56" t="s">
        <v>227</v>
      </c>
      <c r="B100" s="36" t="s">
        <v>246</v>
      </c>
      <c r="C100" s="56" t="s">
        <v>247</v>
      </c>
      <c r="D100" s="56" t="s">
        <v>259</v>
      </c>
      <c r="E100" s="56" t="s">
        <v>248</v>
      </c>
      <c r="F100" s="56" t="s">
        <v>249</v>
      </c>
      <c r="G100" s="56" t="s">
        <v>250</v>
      </c>
    </row>
    <row r="101" spans="1:7" x14ac:dyDescent="0.3">
      <c r="A101" s="56" t="s">
        <v>228</v>
      </c>
      <c r="B101" s="56" t="s">
        <v>251</v>
      </c>
      <c r="C101" s="56" t="s">
        <v>258</v>
      </c>
      <c r="D101" s="56" t="s">
        <v>260</v>
      </c>
      <c r="E101" s="56" t="s">
        <v>264</v>
      </c>
      <c r="F101" s="36">
        <v>246</v>
      </c>
      <c r="G101" s="56" t="s">
        <v>268</v>
      </c>
    </row>
    <row r="102" spans="1:7" x14ac:dyDescent="0.3">
      <c r="A102" s="56" t="s">
        <v>229</v>
      </c>
      <c r="B102" s="56" t="s">
        <v>252</v>
      </c>
      <c r="C102" s="56" t="s">
        <v>255</v>
      </c>
      <c r="D102" s="56" t="s">
        <v>261</v>
      </c>
      <c r="E102" s="56" t="s">
        <v>265</v>
      </c>
      <c r="F102" s="36">
        <v>227</v>
      </c>
      <c r="G102" s="56" t="s">
        <v>268</v>
      </c>
    </row>
    <row r="103" spans="1:7" x14ac:dyDescent="0.3">
      <c r="A103" s="56" t="s">
        <v>230</v>
      </c>
      <c r="B103" s="56" t="s">
        <v>253</v>
      </c>
      <c r="C103" s="56" t="s">
        <v>256</v>
      </c>
      <c r="D103" s="56" t="s">
        <v>262</v>
      </c>
      <c r="E103" s="56" t="s">
        <v>266</v>
      </c>
      <c r="F103" s="36">
        <v>246</v>
      </c>
      <c r="G103" s="56" t="s">
        <v>268</v>
      </c>
    </row>
    <row r="104" spans="1:7" ht="15" thickBot="1" x14ac:dyDescent="0.35">
      <c r="A104" s="57" t="s">
        <v>231</v>
      </c>
      <c r="B104" s="57" t="s">
        <v>254</v>
      </c>
      <c r="C104" s="57" t="s">
        <v>257</v>
      </c>
      <c r="D104" s="57" t="s">
        <v>263</v>
      </c>
      <c r="E104" s="57" t="s">
        <v>267</v>
      </c>
      <c r="F104" s="37">
        <v>209</v>
      </c>
      <c r="G104" s="57" t="s">
        <v>268</v>
      </c>
    </row>
  </sheetData>
  <mergeCells count="82">
    <mergeCell ref="E72:E73"/>
    <mergeCell ref="B72:B73"/>
    <mergeCell ref="D63:D64"/>
    <mergeCell ref="E63:E64"/>
    <mergeCell ref="D81:D82"/>
    <mergeCell ref="E81:E82"/>
    <mergeCell ref="D72:D73"/>
    <mergeCell ref="A38:A39"/>
    <mergeCell ref="D38:D39"/>
    <mergeCell ref="E38:E39"/>
    <mergeCell ref="F38:Q38"/>
    <mergeCell ref="J51:J60"/>
    <mergeCell ref="B48:E48"/>
    <mergeCell ref="A48:A49"/>
    <mergeCell ref="J48:J49"/>
    <mergeCell ref="B53:B54"/>
    <mergeCell ref="E53:E54"/>
    <mergeCell ref="F53:F54"/>
    <mergeCell ref="H53:H54"/>
    <mergeCell ref="I53:I54"/>
    <mergeCell ref="H36:I36"/>
    <mergeCell ref="H37:I37"/>
    <mergeCell ref="G53:G54"/>
    <mergeCell ref="C53:C54"/>
    <mergeCell ref="J61:J69"/>
    <mergeCell ref="D53:D54"/>
    <mergeCell ref="F63:F64"/>
    <mergeCell ref="G63:G64"/>
    <mergeCell ref="C63:C64"/>
    <mergeCell ref="B43:C43"/>
    <mergeCell ref="B38:C39"/>
    <mergeCell ref="B40:C40"/>
    <mergeCell ref="B41:C41"/>
    <mergeCell ref="B42:C42"/>
    <mergeCell ref="A47:J47"/>
    <mergeCell ref="F48:I48"/>
    <mergeCell ref="A10:A21"/>
    <mergeCell ref="A22:A33"/>
    <mergeCell ref="H34:I34"/>
    <mergeCell ref="B34:D34"/>
    <mergeCell ref="H35:I35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4:C14"/>
    <mergeCell ref="B25:C25"/>
    <mergeCell ref="B9:C9"/>
    <mergeCell ref="B10:C10"/>
    <mergeCell ref="B11:C11"/>
    <mergeCell ref="B12:C12"/>
    <mergeCell ref="B13:C13"/>
    <mergeCell ref="B31:C31"/>
    <mergeCell ref="B32:C32"/>
    <mergeCell ref="B33:C33"/>
    <mergeCell ref="B26:C26"/>
    <mergeCell ref="B27:C27"/>
    <mergeCell ref="B28:C28"/>
    <mergeCell ref="B29:C29"/>
    <mergeCell ref="B30:C30"/>
    <mergeCell ref="J79:J87"/>
    <mergeCell ref="J70:J78"/>
    <mergeCell ref="B63:B64"/>
    <mergeCell ref="C72:C73"/>
    <mergeCell ref="C81:C82"/>
    <mergeCell ref="B81:B82"/>
    <mergeCell ref="H81:H82"/>
    <mergeCell ref="I81:I82"/>
    <mergeCell ref="H72:H73"/>
    <mergeCell ref="I72:I73"/>
    <mergeCell ref="H63:H64"/>
    <mergeCell ref="I63:I64"/>
    <mergeCell ref="F81:F82"/>
    <mergeCell ref="G81:G82"/>
    <mergeCell ref="G72:G73"/>
    <mergeCell ref="F72:F73"/>
  </mergeCells>
  <phoneticPr fontId="14" type="noConversion"/>
  <hyperlinks>
    <hyperlink ref="E59" r:id="rId1" location="Detailedperformancespecificationsandfeaturehighlights" xr:uid="{A029F0E9-C9D1-4CD2-ADE0-4784660C9D97}"/>
    <hyperlink ref="E58" r:id="rId2" xr:uid="{857B9BB1-3282-4DA1-96F1-AAF639475A2D}"/>
    <hyperlink ref="E57" r:id="rId3" xr:uid="{F6634F98-8A1B-4296-BD90-DA744A704792}"/>
    <hyperlink ref="E53" r:id="rId4" xr:uid="{4EB1002D-512E-490E-8CE7-EC79EF9020B5}"/>
    <hyperlink ref="E61" r:id="rId5" xr:uid="{D897E3EA-4B88-4B07-8E04-9BC62AA8DE11}"/>
    <hyperlink ref="E68" r:id="rId6" xr:uid="{881D9D2F-DA17-40C4-AA3C-EF0106248703}"/>
    <hyperlink ref="E63" r:id="rId7" xr:uid="{C8C2BF74-BEEC-4D78-81DC-1C5EAC1A63DA}"/>
    <hyperlink ref="E70" r:id="rId8" xr:uid="{D2753667-397D-495A-9EFF-B90CDE17CC24}"/>
    <hyperlink ref="E77" r:id="rId9" xr:uid="{509B4E63-2B9B-4B39-AE71-EC1816BD00CA}"/>
    <hyperlink ref="E76" r:id="rId10" xr:uid="{A9DD4DFE-201F-431D-BB40-6EDD85971C07}"/>
    <hyperlink ref="E72" r:id="rId11" xr:uid="{7056E575-1D4F-4EF2-89C3-BBB0B9A6A6BD}"/>
    <hyperlink ref="E79" r:id="rId12" xr:uid="{339D2A8A-3C61-4946-8E27-FBC09434974D}"/>
    <hyperlink ref="E86" r:id="rId13" xr:uid="{CE0123D6-F228-4B48-B3A9-3B41355BD82C}"/>
    <hyperlink ref="E85" r:id="rId14" xr:uid="{ADA3AFEC-EFC1-4367-AF19-DAEAF49BD26A}"/>
    <hyperlink ref="E81" r:id="rId15" xr:uid="{4C3B922A-447E-41C3-9BF0-53BEF1EE6AA2}"/>
    <hyperlink ref="I51" r:id="rId16" xr:uid="{352192F1-56A8-4488-B4FA-74D76385B4FE}"/>
    <hyperlink ref="I52" r:id="rId17" xr:uid="{3F81E182-1CA0-40C7-AF2C-810E0FC54390}"/>
    <hyperlink ref="I53:I54" r:id="rId18" display="link" xr:uid="{F276CE7E-749D-4A21-8DD3-C131DA5EC647}"/>
    <hyperlink ref="I56" r:id="rId19" xr:uid="{C63096FD-AF04-4DCC-8663-2B2216B9EED8}"/>
    <hyperlink ref="I57" r:id="rId20" xr:uid="{6CC39144-5FC3-47E3-8481-E296FB21B65C}"/>
    <hyperlink ref="I58" r:id="rId21" xr:uid="{DBB074AD-0863-42DA-A156-A61A29B088F0}"/>
    <hyperlink ref="I59" r:id="rId22" xr:uid="{628B204B-5835-459A-A364-9D892C344C50}"/>
    <hyperlink ref="I60" r:id="rId23" xr:uid="{49806573-0902-41FA-8A83-1B3DB158C519}"/>
    <hyperlink ref="I61" r:id="rId24" xr:uid="{A44EBD04-0C53-4AEC-BDBF-E80C4F6F4580}"/>
    <hyperlink ref="I62" r:id="rId25" xr:uid="{FFEE3414-61DD-401C-A284-01A3620DB6B8}"/>
    <hyperlink ref="I63:I64" r:id="rId26" display="link" xr:uid="{83D30C3D-98DD-4BF1-8036-79F17032988D}"/>
    <hyperlink ref="I65" r:id="rId27" xr:uid="{884BA58A-D888-49D4-B924-8B6C298C5D37}"/>
    <hyperlink ref="I69" r:id="rId28" xr:uid="{70C530E3-83F6-4161-810F-5AEC59B143CD}"/>
    <hyperlink ref="I68" r:id="rId29" xr:uid="{36EEFDED-FB08-4048-8459-C09E2565A415}"/>
    <hyperlink ref="I70" r:id="rId30" xr:uid="{8D704C23-045C-41C4-860B-7FB3C4226CA7}"/>
    <hyperlink ref="I71" r:id="rId31" xr:uid="{1E2511AF-2AB8-4A0F-ADA7-D6DF74500AAE}"/>
    <hyperlink ref="I72:I73" r:id="rId32" display="link" xr:uid="{C004FC6C-BABE-44BE-8C59-78FC583447AD}"/>
    <hyperlink ref="I74" r:id="rId33" xr:uid="{E88C0389-AD8E-4A2B-8492-97ED096F97FB}"/>
    <hyperlink ref="I76" r:id="rId34" xr:uid="{29E378DC-FC46-422E-88CE-72FF1F237610}"/>
    <hyperlink ref="I78" r:id="rId35" xr:uid="{CACB4928-44D5-44F5-B60A-6786B0C9B76F}"/>
    <hyperlink ref="I77" r:id="rId36" xr:uid="{15D05FE3-169A-49DF-80C3-9F5524620E88}"/>
    <hyperlink ref="I79" r:id="rId37" xr:uid="{A2A7CAEA-2130-478A-8517-C56D1B614ABC}"/>
    <hyperlink ref="I80" r:id="rId38" xr:uid="{64D07CC8-45DF-4507-BC6F-4F2312528A5B}"/>
    <hyperlink ref="I81:I82" r:id="rId39" display="link" xr:uid="{5302DBA6-1F00-4BC8-BB2F-6A229FF94044}"/>
    <hyperlink ref="I83" r:id="rId40" xr:uid="{106E7F65-51E2-4803-B2A5-7F172A295575}"/>
    <hyperlink ref="I85" r:id="rId41" xr:uid="{356DCF43-AD3B-43CD-BBD5-C4325F7D5A0D}"/>
    <hyperlink ref="I87" r:id="rId42" xr:uid="{05757BA6-0CE4-4B93-8598-CCAF7EEE3A0A}"/>
    <hyperlink ref="I86" r:id="rId43" xr:uid="{E211A12F-3BA5-4570-808A-8AE4E5F38F1F}"/>
    <hyperlink ref="E50" r:id="rId44" xr:uid="{99CAC438-B67E-40CA-A5BE-9FDBBFB0F0C3}"/>
    <hyperlink ref="I50" r:id="rId45" xr:uid="{22CCE9A3-B74E-42E2-80C6-39C0F420D109}"/>
    <hyperlink ref="D56" r:id="rId46" display="20451,89" xr:uid="{A5B8FD95-F5A0-4A96-83B3-4A75EF42CE0A}"/>
    <hyperlink ref="D60" r:id="rId47" display="432" xr:uid="{367B99BB-BCE0-4938-9FD9-FBD9003F2242}"/>
    <hyperlink ref="D52" r:id="rId48" display="8403" xr:uid="{16B7ACB3-69B1-40B7-A0EF-C538E97DC989}"/>
    <hyperlink ref="D62" r:id="rId49" display="8403" xr:uid="{51CCE5EE-2BDE-4F46-880B-D04A637E2544}"/>
    <hyperlink ref="D71" r:id="rId50" display="8403" xr:uid="{3DDE0C78-FD2C-45D2-A08A-EB81357C28B8}"/>
    <hyperlink ref="D80" r:id="rId51" display="8403" xr:uid="{8AC90468-5A87-4A3D-AF7A-9E8AB7813C7E}"/>
    <hyperlink ref="D65" r:id="rId52" display="20451,89" xr:uid="{B5186E59-7762-4CF0-A639-26D9B19C30A0}"/>
    <hyperlink ref="D83" r:id="rId53" display="20451,89" xr:uid="{B44E7DC0-79A3-41EE-A70A-32B9B5662FFB}"/>
    <hyperlink ref="D69" r:id="rId54" display="432" xr:uid="{7E6652B8-740B-4661-AC6F-A04AABF9C006}"/>
    <hyperlink ref="D78" r:id="rId55" display="432" xr:uid="{C1104193-6645-4EFB-9CE4-A8F96A28C644}"/>
    <hyperlink ref="D87" r:id="rId56" display="432" xr:uid="{0AF45485-EAB5-47E3-BFE4-F7863C2E83F2}"/>
    <hyperlink ref="D51" r:id="rId57" display="6100,82" xr:uid="{0FEB962F-63C9-4842-AB5D-4B7692BCCA97}"/>
    <hyperlink ref="D61" r:id="rId58" display="6100,82" xr:uid="{2B0677CF-C936-40D2-A7C0-0217A7443CB1}"/>
    <hyperlink ref="D70" r:id="rId59" display="6100,82" xr:uid="{0415CB7F-ABF1-4EAB-B3C0-CA525AC26C3C}"/>
    <hyperlink ref="D79" r:id="rId60" display="6100,82" xr:uid="{83AC346A-C5B9-4AD1-9295-00183ECCCB33}"/>
    <hyperlink ref="E52" r:id="rId61" xr:uid="{011FDB42-5265-47B6-BA91-CB3CAA628736}"/>
    <hyperlink ref="E62" r:id="rId62" xr:uid="{71EBDB1B-E80B-4BA0-8226-D323C1703146}"/>
    <hyperlink ref="E71" r:id="rId63" xr:uid="{18C58D48-9E5C-4A26-B47B-92D951F865C6}"/>
    <hyperlink ref="E80" r:id="rId64" xr:uid="{832A207D-0428-4553-B4A1-7049FB2C3B95}"/>
    <hyperlink ref="E56" r:id="rId65" xr:uid="{E0635440-AAEE-40C3-87D5-405A424D74F9}"/>
    <hyperlink ref="E65" r:id="rId66" xr:uid="{3202DA68-C2C9-4C21-A2FC-5AC49D976CD0}"/>
    <hyperlink ref="E74" r:id="rId67" xr:uid="{38AA0704-5508-49D5-B735-A6BB27DBFC35}"/>
    <hyperlink ref="E83" r:id="rId68" xr:uid="{F7CA3143-F36F-4DE5-9386-5676F38318EA}"/>
    <hyperlink ref="E51" r:id="rId69" xr:uid="{E8B6E872-E491-4DBF-A392-325E77AC24C2}"/>
    <hyperlink ref="E60" r:id="rId70" xr:uid="{F0704C3C-0A52-4ED2-A13E-F016C0148AB2}"/>
    <hyperlink ref="E69" r:id="rId71" xr:uid="{52683EA2-8421-4FAD-8309-3442F9326FFB}"/>
    <hyperlink ref="E78" r:id="rId72" xr:uid="{F1D6C809-33B0-48D4-9376-06B579F50EC7}"/>
    <hyperlink ref="E87" r:id="rId73" xr:uid="{A4789E35-0690-4CC8-88FE-9318782F0213}"/>
    <hyperlink ref="D50" r:id="rId74" display="3686,60" xr:uid="{2A350E10-FE1F-4245-8796-D2D1327C84C7}"/>
    <hyperlink ref="D53:D54" r:id="rId75" display="4959,83" xr:uid="{A34FEFC9-7A44-4DC0-904A-4A5DFBE8B922}"/>
    <hyperlink ref="D63:D64" r:id="rId76" display="4959,83" xr:uid="{0D46728E-44C5-4AF1-9142-BB0175AB99F8}"/>
    <hyperlink ref="D72:D73" r:id="rId77" display="4959,83" xr:uid="{BE32CF59-4E19-423B-92A5-4CA27295E6EE}"/>
    <hyperlink ref="D81:D82" r:id="rId78" display="4959,83" xr:uid="{6E6CA2C8-6DA7-489A-A33D-E5284C206179}"/>
    <hyperlink ref="D74" r:id="rId79" display="20451,89" xr:uid="{10992C09-CA07-4AE4-B2F8-5B1D6921D00C}"/>
    <hyperlink ref="D58" r:id="rId80" display="5455,89" xr:uid="{C2962E46-6CEF-4925-9C92-170E42ED1A74}"/>
    <hyperlink ref="D68" r:id="rId81" display="5455,89" xr:uid="{FBD80361-1026-4765-BD66-DE168936C592}"/>
    <hyperlink ref="D77" r:id="rId82" display="5455,89" xr:uid="{1E3CC490-9FF1-4D83-9B2E-FAC8A12258F2}"/>
    <hyperlink ref="D86" r:id="rId83" display="5455,89" xr:uid="{BE357FC0-17A2-492E-8862-C2BA4DAE0737}"/>
    <hyperlink ref="D57" r:id="rId84" display="5015,78" xr:uid="{85317D82-93A3-48A3-B8D4-EA43BDD0E89F}"/>
    <hyperlink ref="D76" r:id="rId85" display="5015,78" xr:uid="{30A08521-C6A0-4DD0-B771-E31FAD5CF024}"/>
    <hyperlink ref="D85" r:id="rId86" display="5015,78" xr:uid="{8806AE4E-F796-4DA6-88E8-D1418522A157}"/>
    <hyperlink ref="D59" r:id="rId87" display="https://www.router-switch.com/fpr4245-asa-k9.html" xr:uid="{D35CDF3A-AC68-4BBF-989A-1DF2DE74DB5D}"/>
    <hyperlink ref="H52" r:id="rId88" display="14125,61" xr:uid="{D6A84300-C666-4B0D-8DB9-9CB0E789A959}"/>
    <hyperlink ref="H58" r:id="rId89" display="1475,37" xr:uid="{5080E969-191D-4E40-9026-B1D4FDA1EBA5}"/>
    <hyperlink ref="H59" r:id="rId90" display="68179,32" xr:uid="{74FD5F24-C298-4FD9-A778-3A234FA6F527}"/>
    <hyperlink ref="H60" r:id="rId91" display="194,99" xr:uid="{17EE3962-3DC3-454F-89A5-771C023D4026}"/>
    <hyperlink ref="H69" r:id="rId92" display="194,99" xr:uid="{AC605A7F-648F-404A-BE8F-8181A8506CFA}"/>
    <hyperlink ref="H78" r:id="rId93" display="194,99" xr:uid="{696FAAEA-E985-495E-B0D9-11FF2772643D}"/>
    <hyperlink ref="H87" r:id="rId94" display="194,99" xr:uid="{90745705-E2C7-45BD-9202-ECBB03FE1817}"/>
    <hyperlink ref="H62" r:id="rId95" display="14125,61" xr:uid="{CECF8D99-CADA-4736-A6D4-CAFC2AB20F36}"/>
    <hyperlink ref="H68" r:id="rId96" display="1475,37" xr:uid="{E6F48A70-E917-43A9-83CC-370D0A78265C}"/>
    <hyperlink ref="H71" r:id="rId97" display="14125,61" xr:uid="{CA01C437-91A2-4F4B-A0C3-49109C0C9C37}"/>
    <hyperlink ref="H77" r:id="rId98" display="1475,37" xr:uid="{E230657E-1C59-4AF1-8BE6-1493540C7B48}"/>
    <hyperlink ref="H80" r:id="rId99" display="14125,61" xr:uid="{68353D57-BCB1-4738-B73E-9B9BAC4FAED5}"/>
    <hyperlink ref="H86" r:id="rId100" display="1475,37" xr:uid="{2A4CE82F-74E7-48A7-B292-FBA370655F99}"/>
    <hyperlink ref="H56" r:id="rId101" display="47650" xr:uid="{6D619561-4D7E-4A32-8115-8BBE324D230E}"/>
    <hyperlink ref="H65" r:id="rId102" display="47650" xr:uid="{DE1FA322-F91A-41A5-862D-D60BC374C194}"/>
    <hyperlink ref="H74" r:id="rId103" display="47650" xr:uid="{388EAFE1-9868-4AA4-8B17-3D9AA0E5A625}"/>
    <hyperlink ref="H83" r:id="rId104" display="47650" xr:uid="{EA57FE5B-5A22-4BF5-B33F-47EC9D732F7D}"/>
    <hyperlink ref="H53:H54" r:id="rId105" display="5350" xr:uid="{4F83B791-0C77-46B0-98E3-008FD8680B32}"/>
    <hyperlink ref="H63:H64" r:id="rId106" display="5350" xr:uid="{DC76BE19-EDE7-4B96-9C94-292AC01277FF}"/>
    <hyperlink ref="H72:H73" r:id="rId107" display="5350" xr:uid="{B62496CE-43C4-4C00-B8E0-5F0C249FF146}"/>
    <hyperlink ref="H81:H82" r:id="rId108" display="5350" xr:uid="{3AF79B44-53E8-4500-B3B8-5FD061894887}"/>
    <hyperlink ref="H57" r:id="rId109" display="15545" xr:uid="{1FCA11A6-4FEB-44F3-B484-8605013C69AA}"/>
    <hyperlink ref="H76" r:id="rId110" display="15545" xr:uid="{15BAF6C6-6191-4714-BE15-792EB7DF19EB}"/>
    <hyperlink ref="H85" r:id="rId111" display="15545" xr:uid="{0EE2C80C-9713-45FF-B70E-3111C8FAF45D}"/>
    <hyperlink ref="H51" r:id="rId112" display="26334,70" xr:uid="{B9DE5E76-02F3-429D-8C13-0272B75ED792}"/>
    <hyperlink ref="H61" r:id="rId113" display="26334,70" xr:uid="{FECE0C5D-880B-46AF-852A-9842EF3729BD}"/>
    <hyperlink ref="H70" r:id="rId114" display="26334,70" xr:uid="{BD90CC08-FAC4-4949-A86C-235E57D268DA}"/>
    <hyperlink ref="H79" r:id="rId115" display="26334,70" xr:uid="{1C28F455-02F0-456F-9EAA-8E75A42AA77A}"/>
    <hyperlink ref="E55" r:id="rId116" xr:uid="{EFE7AB2B-0F79-45D6-94CB-85C4CF554DEF}"/>
    <hyperlink ref="D55" r:id="rId117" display="343,64 €" xr:uid="{F087155C-ED5E-4221-8E4D-FB0B70E702B6}"/>
    <hyperlink ref="H55" r:id="rId118" display="1295" xr:uid="{66155CA8-61CB-4BC3-B98A-0982DE0F0198}"/>
    <hyperlink ref="I55" r:id="rId119" xr:uid="{CFDC1E1A-94D8-4953-A5D0-299D8F71D1A5}"/>
    <hyperlink ref="H67" r:id="rId120" display="15545" xr:uid="{F39CB6F2-D9C8-43B9-A787-384530FFD55F}"/>
    <hyperlink ref="D67" r:id="rId121" display="5015,78" xr:uid="{E1E67F34-845E-4D01-BA83-697A6092E520}"/>
    <hyperlink ref="I67" r:id="rId122" xr:uid="{A6FAD939-A603-4C9D-8A95-9F74B2FBABC7}"/>
    <hyperlink ref="E67" r:id="rId123" xr:uid="{AA809D2B-FA2E-4C7A-A7B7-4832F6E4D09E}"/>
    <hyperlink ref="E66" r:id="rId124" xr:uid="{FF0ACD22-86FA-40B0-B2D8-6E823063E84B}"/>
    <hyperlink ref="D66" r:id="rId125" display="343,64 €" xr:uid="{E3DEC3AC-F918-42D0-932A-60EA9D5E0230}"/>
    <hyperlink ref="H66" r:id="rId126" display="1295" xr:uid="{736C8B88-7FE5-4660-9F72-EC6BBD344C27}"/>
    <hyperlink ref="I66" r:id="rId127" xr:uid="{346134E9-D083-41B7-8D15-EF6D5F3080F6}"/>
    <hyperlink ref="E75" r:id="rId128" xr:uid="{08A11CDA-ADE2-4184-BAB3-7067C82CCA9B}"/>
    <hyperlink ref="D75" r:id="rId129" display="343,64 €" xr:uid="{CA244943-A2F9-4CE7-B827-11575F30865C}"/>
    <hyperlink ref="H75" r:id="rId130" display="1295" xr:uid="{7403F208-ADC9-4CB0-971B-D39804323B51}"/>
    <hyperlink ref="I75" r:id="rId131" xr:uid="{09DC4395-0BD9-4256-AE04-C99ED76E294B}"/>
    <hyperlink ref="E84" r:id="rId132" xr:uid="{94F8CD7A-C66A-4C6F-A0ED-D8B956598E5E}"/>
    <hyperlink ref="D84" r:id="rId133" display="343,64 €" xr:uid="{8944F843-49F4-4295-BBD0-574A0F748739}"/>
    <hyperlink ref="H84" r:id="rId134" display="1295" xr:uid="{F52F0AA2-A574-4E2B-A5AF-DEF25D852756}"/>
    <hyperlink ref="I84" r:id="rId135" xr:uid="{33799C7B-4EA0-4C26-80EA-D585DE73E5A3}"/>
  </hyperlinks>
  <pageMargins left="0.7" right="0.7" top="0.75" bottom="0.75" header="0.3" footer="0.3"/>
  <pageSetup orientation="portrait" r:id="rId136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997"/>
  <sheetViews>
    <sheetView topLeftCell="A23" zoomScaleNormal="100" workbookViewId="0">
      <selection activeCell="F45" sqref="F45"/>
    </sheetView>
  </sheetViews>
  <sheetFormatPr defaultColWidth="14.44140625" defaultRowHeight="15" customHeight="1" x14ac:dyDescent="0.3"/>
  <cols>
    <col min="1" max="1" width="8.6640625" customWidth="1"/>
    <col min="2" max="2" width="17.33203125" style="30" customWidth="1"/>
    <col min="3" max="3" width="30.88671875" customWidth="1"/>
    <col min="4" max="4" width="26" customWidth="1"/>
    <col min="5" max="5" width="23.5546875" customWidth="1"/>
    <col min="6" max="6" width="16.33203125" customWidth="1"/>
    <col min="7" max="7" width="20.109375" customWidth="1"/>
    <col min="8" max="26" width="8.6640625" customWidth="1"/>
  </cols>
  <sheetData>
    <row r="1" spans="1:8" ht="15" customHeight="1" thickBot="1" x14ac:dyDescent="0.35">
      <c r="A1" s="209" t="s">
        <v>305</v>
      </c>
      <c r="B1" s="209"/>
      <c r="C1" s="209"/>
      <c r="D1" s="209"/>
      <c r="E1" s="209"/>
      <c r="F1" s="209"/>
      <c r="G1" s="209"/>
      <c r="H1" s="209"/>
    </row>
    <row r="2" spans="1:8" ht="14.25" customHeight="1" thickBot="1" x14ac:dyDescent="0.35">
      <c r="A2" s="211" t="s">
        <v>131</v>
      </c>
      <c r="B2" s="180" t="s">
        <v>132</v>
      </c>
      <c r="C2" s="212" t="s">
        <v>133</v>
      </c>
      <c r="D2" s="212" t="s">
        <v>134</v>
      </c>
      <c r="E2" s="212" t="s">
        <v>135</v>
      </c>
      <c r="F2" s="212" t="s">
        <v>290</v>
      </c>
      <c r="G2" s="213" t="s">
        <v>288</v>
      </c>
      <c r="H2" s="214" t="s">
        <v>131</v>
      </c>
    </row>
    <row r="3" spans="1:8" ht="14.25" customHeight="1" thickBot="1" x14ac:dyDescent="0.35">
      <c r="A3" s="183" t="s">
        <v>136</v>
      </c>
      <c r="B3" s="182">
        <v>1</v>
      </c>
      <c r="C3" s="215" t="s">
        <v>296</v>
      </c>
      <c r="D3" s="215" t="s">
        <v>295</v>
      </c>
      <c r="E3" s="215">
        <v>72</v>
      </c>
      <c r="F3" s="215"/>
      <c r="G3" s="216"/>
      <c r="H3" s="183" t="s">
        <v>136</v>
      </c>
    </row>
    <row r="4" spans="1:8" ht="14.25" customHeight="1" x14ac:dyDescent="0.3">
      <c r="A4" s="181"/>
      <c r="B4" s="280">
        <v>13</v>
      </c>
      <c r="C4" s="210" t="s">
        <v>281</v>
      </c>
      <c r="D4" s="217" t="s">
        <v>197</v>
      </c>
      <c r="E4" s="217"/>
      <c r="F4" s="218"/>
      <c r="G4" s="270"/>
      <c r="H4" s="181"/>
    </row>
    <row r="5" spans="1:8" ht="14.25" customHeight="1" x14ac:dyDescent="0.3">
      <c r="A5" s="181"/>
      <c r="B5" s="281"/>
      <c r="C5" s="219" t="s">
        <v>282</v>
      </c>
      <c r="D5" s="219" t="str">
        <f>'Tech Stack'!B52</f>
        <v>C9400-SUP-1XL</v>
      </c>
      <c r="E5" s="219">
        <v>2</v>
      </c>
      <c r="F5" s="219">
        <v>-350</v>
      </c>
      <c r="G5" s="271">
        <f>ABS(F5)*3.41</f>
        <v>1193.5</v>
      </c>
      <c r="H5" s="181"/>
    </row>
    <row r="6" spans="1:8" ht="14.25" customHeight="1" x14ac:dyDescent="0.3">
      <c r="A6" s="181"/>
      <c r="B6" s="281"/>
      <c r="C6" s="219" t="s">
        <v>282</v>
      </c>
      <c r="D6" s="219"/>
      <c r="E6" s="219"/>
      <c r="F6" s="219"/>
      <c r="G6" s="271">
        <f t="shared" ref="G6:G23" si="0">ABS(F6)*3.41</f>
        <v>0</v>
      </c>
      <c r="H6" s="181"/>
    </row>
    <row r="7" spans="1:8" ht="14.25" customHeight="1" x14ac:dyDescent="0.3">
      <c r="A7" s="181"/>
      <c r="B7" s="281"/>
      <c r="C7" s="219" t="s">
        <v>283</v>
      </c>
      <c r="D7" s="219" t="str">
        <f>'Tech Stack'!B56</f>
        <v>C9400-LC-12QC (12x40GE)</v>
      </c>
      <c r="E7" s="219">
        <v>12</v>
      </c>
      <c r="F7" s="219">
        <v>-280</v>
      </c>
      <c r="G7" s="271">
        <f t="shared" si="0"/>
        <v>954.80000000000007</v>
      </c>
      <c r="H7" s="181"/>
    </row>
    <row r="8" spans="1:8" ht="14.25" customHeight="1" x14ac:dyDescent="0.3">
      <c r="A8" s="181"/>
      <c r="B8" s="281"/>
      <c r="C8" s="219" t="s">
        <v>284</v>
      </c>
      <c r="D8" s="219" t="str">
        <f>'Tech Stack'!B53</f>
        <v>C9400-LC-48P</v>
      </c>
      <c r="E8" s="219">
        <v>48</v>
      </c>
      <c r="F8" s="219">
        <f>-(E8*30+65)</f>
        <v>-1505</v>
      </c>
      <c r="G8" s="271">
        <f>(ABS(F8)-E8*30)*3.41</f>
        <v>221.65</v>
      </c>
      <c r="H8" s="181"/>
    </row>
    <row r="9" spans="1:8" ht="14.25" customHeight="1" x14ac:dyDescent="0.3">
      <c r="A9" s="181"/>
      <c r="B9" s="281"/>
      <c r="C9" s="219" t="s">
        <v>284</v>
      </c>
      <c r="D9" s="219" t="str">
        <f>'Tech Stack'!B53</f>
        <v>C9400-LC-48P</v>
      </c>
      <c r="E9" s="219">
        <v>48</v>
      </c>
      <c r="F9" s="219">
        <f t="shared" ref="F9:F13" si="1">-(E9*30+65)</f>
        <v>-1505</v>
      </c>
      <c r="G9" s="271">
        <f t="shared" ref="G9:G13" si="2">(ABS(F9)-E9*30)*3.41</f>
        <v>221.65</v>
      </c>
      <c r="H9" s="181"/>
    </row>
    <row r="10" spans="1:8" ht="14.25" customHeight="1" x14ac:dyDescent="0.3">
      <c r="A10" s="181"/>
      <c r="B10" s="281"/>
      <c r="C10" s="219" t="s">
        <v>284</v>
      </c>
      <c r="D10" s="219" t="str">
        <f>'Tech Stack'!B53</f>
        <v>C9400-LC-48P</v>
      </c>
      <c r="E10" s="219">
        <v>48</v>
      </c>
      <c r="F10" s="219">
        <f t="shared" si="1"/>
        <v>-1505</v>
      </c>
      <c r="G10" s="271">
        <f t="shared" si="2"/>
        <v>221.65</v>
      </c>
      <c r="H10" s="181"/>
    </row>
    <row r="11" spans="1:8" ht="14.25" customHeight="1" x14ac:dyDescent="0.3">
      <c r="A11" s="181"/>
      <c r="B11" s="281"/>
      <c r="C11" s="219" t="s">
        <v>284</v>
      </c>
      <c r="D11" s="219" t="str">
        <f>'Tech Stack'!B53</f>
        <v>C9400-LC-48P</v>
      </c>
      <c r="E11" s="219">
        <v>48</v>
      </c>
      <c r="F11" s="219">
        <f t="shared" si="1"/>
        <v>-1505</v>
      </c>
      <c r="G11" s="271">
        <f t="shared" si="2"/>
        <v>221.65</v>
      </c>
      <c r="H11" s="181"/>
    </row>
    <row r="12" spans="1:8" ht="14.25" customHeight="1" x14ac:dyDescent="0.3">
      <c r="A12" s="181"/>
      <c r="B12" s="281"/>
      <c r="C12" s="219" t="s">
        <v>284</v>
      </c>
      <c r="D12" s="219" t="str">
        <f>'Tech Stack'!B53</f>
        <v>C9400-LC-48P</v>
      </c>
      <c r="E12" s="219">
        <v>48</v>
      </c>
      <c r="F12" s="219">
        <f t="shared" si="1"/>
        <v>-1505</v>
      </c>
      <c r="G12" s="271">
        <f t="shared" si="2"/>
        <v>221.65</v>
      </c>
      <c r="H12" s="181"/>
    </row>
    <row r="13" spans="1:8" ht="14.25" customHeight="1" x14ac:dyDescent="0.3">
      <c r="A13" s="181"/>
      <c r="B13" s="281"/>
      <c r="C13" s="219" t="s">
        <v>285</v>
      </c>
      <c r="D13" s="219" t="str">
        <f>'Tech Stack'!B53</f>
        <v>C9400-LC-48P</v>
      </c>
      <c r="E13" s="219">
        <v>48</v>
      </c>
      <c r="F13" s="219">
        <f t="shared" si="1"/>
        <v>-1505</v>
      </c>
      <c r="G13" s="271">
        <f t="shared" si="2"/>
        <v>221.65</v>
      </c>
      <c r="H13" s="181"/>
    </row>
    <row r="14" spans="1:8" ht="14.25" customHeight="1" x14ac:dyDescent="0.3">
      <c r="A14" s="181"/>
      <c r="B14" s="281"/>
      <c r="C14" s="219" t="s">
        <v>286</v>
      </c>
      <c r="D14" s="219" t="str">
        <f>'Tech Stack'!B57</f>
        <v>C9400-LC-48UX</v>
      </c>
      <c r="E14" s="219">
        <v>48</v>
      </c>
      <c r="F14" s="219">
        <f>-(60*E14+70)</f>
        <v>-2950</v>
      </c>
      <c r="G14" s="271">
        <f>(ABS(F14)-E14*60)*3.41</f>
        <v>238.70000000000002</v>
      </c>
      <c r="H14" s="181"/>
    </row>
    <row r="15" spans="1:8" ht="14.25" customHeight="1" x14ac:dyDescent="0.3">
      <c r="A15" s="181"/>
      <c r="B15" s="281"/>
      <c r="C15" s="220" t="s">
        <v>287</v>
      </c>
      <c r="D15" s="221" t="s">
        <v>289</v>
      </c>
      <c r="E15" s="222"/>
      <c r="F15" s="223">
        <v>3200</v>
      </c>
      <c r="G15" s="272">
        <f t="shared" si="0"/>
        <v>10912</v>
      </c>
      <c r="H15" s="181"/>
    </row>
    <row r="16" spans="1:8" ht="14.25" customHeight="1" x14ac:dyDescent="0.3">
      <c r="A16" s="181"/>
      <c r="B16" s="281"/>
      <c r="C16" s="220" t="s">
        <v>287</v>
      </c>
      <c r="D16" s="224" t="s">
        <v>289</v>
      </c>
      <c r="E16" s="222"/>
      <c r="F16" s="225">
        <v>3200</v>
      </c>
      <c r="G16" s="273">
        <f t="shared" si="0"/>
        <v>10912</v>
      </c>
      <c r="H16" s="181"/>
    </row>
    <row r="17" spans="1:8" ht="14.25" customHeight="1" x14ac:dyDescent="0.3">
      <c r="A17" s="181"/>
      <c r="B17" s="281"/>
      <c r="C17" s="220" t="s">
        <v>287</v>
      </c>
      <c r="D17" s="224" t="s">
        <v>289</v>
      </c>
      <c r="E17" s="222"/>
      <c r="F17" s="225">
        <v>3200</v>
      </c>
      <c r="G17" s="273">
        <f t="shared" si="0"/>
        <v>10912</v>
      </c>
      <c r="H17" s="181"/>
    </row>
    <row r="18" spans="1:8" ht="14.25" customHeight="1" x14ac:dyDescent="0.3">
      <c r="A18" s="181"/>
      <c r="B18" s="281"/>
      <c r="C18" s="220" t="s">
        <v>287</v>
      </c>
      <c r="D18" s="224" t="s">
        <v>289</v>
      </c>
      <c r="E18" s="226"/>
      <c r="F18" s="225">
        <v>3200</v>
      </c>
      <c r="G18" s="273">
        <f t="shared" si="0"/>
        <v>10912</v>
      </c>
      <c r="H18" s="181"/>
    </row>
    <row r="19" spans="1:8" ht="14.25" customHeight="1" x14ac:dyDescent="0.3">
      <c r="A19" s="181"/>
      <c r="B19" s="281"/>
      <c r="C19" s="220" t="s">
        <v>287</v>
      </c>
      <c r="D19" s="224" t="s">
        <v>289</v>
      </c>
      <c r="E19" s="226"/>
      <c r="F19" s="225">
        <v>3200</v>
      </c>
      <c r="G19" s="273">
        <f t="shared" si="0"/>
        <v>10912</v>
      </c>
      <c r="H19" s="181"/>
    </row>
    <row r="20" spans="1:8" ht="14.25" customHeight="1" x14ac:dyDescent="0.3">
      <c r="A20" s="181"/>
      <c r="B20" s="281"/>
      <c r="C20" s="220" t="s">
        <v>287</v>
      </c>
      <c r="D20" s="224" t="s">
        <v>289</v>
      </c>
      <c r="E20" s="226"/>
      <c r="F20" s="225">
        <v>3200</v>
      </c>
      <c r="G20" s="273">
        <f t="shared" si="0"/>
        <v>10912</v>
      </c>
      <c r="H20" s="181"/>
    </row>
    <row r="21" spans="1:8" ht="14.25" customHeight="1" x14ac:dyDescent="0.3">
      <c r="A21" s="181"/>
      <c r="B21" s="281"/>
      <c r="C21" s="220" t="s">
        <v>287</v>
      </c>
      <c r="D21" s="224"/>
      <c r="E21" s="226"/>
      <c r="F21" s="225"/>
      <c r="G21" s="273">
        <f t="shared" si="0"/>
        <v>0</v>
      </c>
      <c r="H21" s="181"/>
    </row>
    <row r="22" spans="1:8" ht="14.25" customHeight="1" x14ac:dyDescent="0.3">
      <c r="A22" s="181"/>
      <c r="B22" s="281"/>
      <c r="C22" s="227" t="s">
        <v>287</v>
      </c>
      <c r="D22" s="228"/>
      <c r="E22" s="229"/>
      <c r="F22" s="230"/>
      <c r="G22" s="274">
        <f t="shared" si="0"/>
        <v>0</v>
      </c>
      <c r="H22" s="181"/>
    </row>
    <row r="23" spans="1:8" ht="14.25" customHeight="1" thickBot="1" x14ac:dyDescent="0.35">
      <c r="A23" s="181"/>
      <c r="B23" s="281"/>
      <c r="C23" s="302" t="s">
        <v>294</v>
      </c>
      <c r="D23" s="231" t="s">
        <v>291</v>
      </c>
      <c r="E23" s="231"/>
      <c r="F23" s="231">
        <v>600</v>
      </c>
      <c r="G23" s="260">
        <f t="shared" si="0"/>
        <v>2046</v>
      </c>
      <c r="H23" s="181"/>
    </row>
    <row r="24" spans="1:8" ht="14.25" customHeight="1" x14ac:dyDescent="0.3">
      <c r="A24" s="184"/>
      <c r="B24" s="304">
        <v>2</v>
      </c>
      <c r="C24" s="232" t="s">
        <v>298</v>
      </c>
      <c r="D24" s="233" t="s">
        <v>297</v>
      </c>
      <c r="E24" s="234">
        <v>48</v>
      </c>
      <c r="F24" s="234"/>
      <c r="G24" s="275"/>
      <c r="H24" s="181"/>
    </row>
    <row r="25" spans="1:8" ht="14.25" customHeight="1" x14ac:dyDescent="0.3">
      <c r="A25" s="184"/>
      <c r="B25" s="185">
        <v>2</v>
      </c>
      <c r="C25" s="236" t="s">
        <v>298</v>
      </c>
      <c r="D25" s="237" t="s">
        <v>297</v>
      </c>
      <c r="E25" s="238">
        <v>48</v>
      </c>
      <c r="F25" s="239"/>
      <c r="G25" s="276"/>
      <c r="H25" s="181"/>
    </row>
    <row r="26" spans="1:8" ht="14.25" customHeight="1" x14ac:dyDescent="0.3">
      <c r="A26" s="184"/>
      <c r="B26" s="185">
        <v>2</v>
      </c>
      <c r="C26" s="236" t="s">
        <v>298</v>
      </c>
      <c r="D26" s="237" t="s">
        <v>297</v>
      </c>
      <c r="E26" s="238">
        <v>48</v>
      </c>
      <c r="F26" s="239"/>
      <c r="G26" s="276"/>
      <c r="H26" s="181"/>
    </row>
    <row r="27" spans="1:8" ht="14.25" customHeight="1" x14ac:dyDescent="0.3">
      <c r="A27" s="184"/>
      <c r="B27" s="185">
        <v>2</v>
      </c>
      <c r="C27" s="236" t="s">
        <v>298</v>
      </c>
      <c r="D27" s="237" t="s">
        <v>297</v>
      </c>
      <c r="E27" s="238">
        <v>48</v>
      </c>
      <c r="F27" s="239"/>
      <c r="G27" s="276"/>
      <c r="H27" s="181"/>
    </row>
    <row r="28" spans="1:8" ht="14.25" customHeight="1" x14ac:dyDescent="0.3">
      <c r="A28" s="184"/>
      <c r="B28" s="185">
        <v>2</v>
      </c>
      <c r="C28" s="215" t="s">
        <v>298</v>
      </c>
      <c r="D28" s="241" t="s">
        <v>297</v>
      </c>
      <c r="E28" s="242">
        <v>48</v>
      </c>
      <c r="F28" s="243"/>
      <c r="G28" s="277"/>
      <c r="H28" s="181"/>
    </row>
    <row r="29" spans="1:8" ht="14.25" customHeight="1" x14ac:dyDescent="0.3">
      <c r="A29" s="184"/>
      <c r="B29" s="185">
        <v>2</v>
      </c>
      <c r="C29" s="245" t="s">
        <v>298</v>
      </c>
      <c r="D29" s="300" t="s">
        <v>297</v>
      </c>
      <c r="E29" s="245">
        <v>48</v>
      </c>
      <c r="F29" s="245"/>
      <c r="G29" s="278"/>
      <c r="H29" s="181"/>
    </row>
    <row r="30" spans="1:8" ht="14.25" customHeight="1" thickBot="1" x14ac:dyDescent="0.35">
      <c r="A30" s="184"/>
      <c r="B30" s="186">
        <v>2</v>
      </c>
      <c r="C30" s="247" t="s">
        <v>298</v>
      </c>
      <c r="D30" s="285" t="s">
        <v>297</v>
      </c>
      <c r="E30" s="247">
        <v>48</v>
      </c>
      <c r="F30" s="247"/>
      <c r="G30" s="279"/>
      <c r="H30" s="181"/>
    </row>
    <row r="31" spans="1:8" ht="14.25" customHeight="1" x14ac:dyDescent="0.3">
      <c r="A31" s="181"/>
      <c r="B31" s="301">
        <v>1</v>
      </c>
      <c r="C31" s="303" t="s">
        <v>299</v>
      </c>
      <c r="D31" s="188"/>
      <c r="E31" s="188"/>
      <c r="F31" s="188"/>
      <c r="G31" s="188"/>
      <c r="H31" s="181"/>
    </row>
    <row r="32" spans="1:8" ht="14.25" customHeight="1" thickBot="1" x14ac:dyDescent="0.35">
      <c r="A32" s="181"/>
      <c r="B32" s="190"/>
      <c r="C32" s="189"/>
      <c r="D32" s="190"/>
      <c r="E32" s="190"/>
      <c r="F32" s="190"/>
      <c r="G32" s="190"/>
      <c r="H32" s="181"/>
    </row>
    <row r="33" spans="1:8" ht="14.25" customHeight="1" x14ac:dyDescent="0.3">
      <c r="A33" s="181"/>
      <c r="B33" s="208">
        <v>1</v>
      </c>
      <c r="C33" s="249" t="s">
        <v>137</v>
      </c>
      <c r="D33" s="250" t="str">
        <f>'Tech Stack'!B59</f>
        <v>Cisco Secure Firewall 4245</v>
      </c>
      <c r="E33" s="251"/>
      <c r="F33" s="251">
        <v>1900</v>
      </c>
      <c r="G33" s="252">
        <f>ABS(F33)*3.41</f>
        <v>6479</v>
      </c>
      <c r="H33" s="181"/>
    </row>
    <row r="34" spans="1:8" ht="14.25" customHeight="1" x14ac:dyDescent="0.3">
      <c r="A34" s="181"/>
      <c r="B34" s="283"/>
      <c r="C34" s="253" t="s">
        <v>293</v>
      </c>
      <c r="D34" s="254" t="s">
        <v>292</v>
      </c>
      <c r="E34" s="255"/>
      <c r="F34" s="256">
        <v>45</v>
      </c>
      <c r="G34" s="257">
        <f>ABS(F34)*3.41</f>
        <v>153.45000000000002</v>
      </c>
      <c r="H34" s="181"/>
    </row>
    <row r="35" spans="1:8" ht="14.25" customHeight="1" x14ac:dyDescent="0.3">
      <c r="A35" s="181"/>
      <c r="B35" s="283"/>
      <c r="C35" s="253" t="s">
        <v>293</v>
      </c>
      <c r="D35" s="254" t="s">
        <v>292</v>
      </c>
      <c r="E35" s="255"/>
      <c r="F35" s="256">
        <v>45</v>
      </c>
      <c r="G35" s="257">
        <f>ABS(F35)*3.41</f>
        <v>153.45000000000002</v>
      </c>
      <c r="H35" s="181"/>
    </row>
    <row r="36" spans="1:8" ht="14.25" customHeight="1" thickBot="1" x14ac:dyDescent="0.35">
      <c r="A36" s="181"/>
      <c r="B36" s="284"/>
      <c r="C36" s="231" t="s">
        <v>293</v>
      </c>
      <c r="D36" s="258" t="s">
        <v>292</v>
      </c>
      <c r="E36" s="259"/>
      <c r="F36" s="259">
        <v>45</v>
      </c>
      <c r="G36" s="260">
        <f>ABS(F36)*3.41</f>
        <v>153.45000000000002</v>
      </c>
      <c r="H36" s="181"/>
    </row>
    <row r="37" spans="1:8" ht="14.25" customHeight="1" x14ac:dyDescent="0.3">
      <c r="A37" s="181"/>
      <c r="B37" s="188">
        <v>2</v>
      </c>
      <c r="C37" s="187" t="s">
        <v>299</v>
      </c>
      <c r="D37" s="188"/>
      <c r="E37" s="188"/>
      <c r="F37" s="188"/>
      <c r="G37" s="188"/>
      <c r="H37" s="181"/>
    </row>
    <row r="38" spans="1:8" ht="14.25" customHeight="1" thickBot="1" x14ac:dyDescent="0.35">
      <c r="A38" s="181"/>
      <c r="B38" s="190"/>
      <c r="C38" s="189"/>
      <c r="D38" s="190"/>
      <c r="E38" s="190"/>
      <c r="F38" s="190"/>
      <c r="G38" s="190"/>
      <c r="H38" s="181"/>
    </row>
    <row r="39" spans="1:8" ht="14.25" customHeight="1" x14ac:dyDescent="0.3">
      <c r="A39" s="181"/>
      <c r="B39" s="194">
        <v>6</v>
      </c>
      <c r="C39" s="261" t="s">
        <v>300</v>
      </c>
      <c r="D39" s="262" t="s">
        <v>302</v>
      </c>
      <c r="E39" s="261"/>
      <c r="F39" s="261">
        <v>10000</v>
      </c>
      <c r="G39" s="263">
        <v>2450</v>
      </c>
      <c r="H39" s="181"/>
    </row>
    <row r="40" spans="1:8" ht="14.25" customHeight="1" x14ac:dyDescent="0.3">
      <c r="A40" s="181"/>
      <c r="B40" s="194">
        <v>6</v>
      </c>
      <c r="C40" s="261" t="s">
        <v>300</v>
      </c>
      <c r="D40" s="264" t="s">
        <v>302</v>
      </c>
      <c r="E40" s="261"/>
      <c r="F40" s="261">
        <v>10000</v>
      </c>
      <c r="G40" s="263">
        <v>2450</v>
      </c>
      <c r="H40" s="181"/>
    </row>
    <row r="41" spans="1:8" ht="14.25" customHeight="1" x14ac:dyDescent="0.3">
      <c r="A41" s="181"/>
      <c r="B41" s="194">
        <v>6</v>
      </c>
      <c r="C41" s="261" t="s">
        <v>300</v>
      </c>
      <c r="D41" s="264" t="s">
        <v>302</v>
      </c>
      <c r="E41" s="261"/>
      <c r="F41" s="261">
        <v>10000</v>
      </c>
      <c r="G41" s="263">
        <v>2450</v>
      </c>
      <c r="H41" s="181"/>
    </row>
    <row r="42" spans="1:8" ht="14.25" customHeight="1" thickBot="1" x14ac:dyDescent="0.35">
      <c r="A42" s="191"/>
      <c r="B42" s="194">
        <v>6</v>
      </c>
      <c r="C42" s="261" t="s">
        <v>300</v>
      </c>
      <c r="D42" s="264" t="s">
        <v>302</v>
      </c>
      <c r="E42" s="261"/>
      <c r="F42" s="261">
        <v>10000</v>
      </c>
      <c r="G42" s="263">
        <v>2450</v>
      </c>
      <c r="H42" s="191"/>
    </row>
    <row r="43" spans="1:8" ht="14.25" customHeight="1" thickBot="1" x14ac:dyDescent="0.35">
      <c r="A43" s="265" t="s">
        <v>138</v>
      </c>
      <c r="B43" s="192">
        <f>SUM(B4:B42)</f>
        <v>55</v>
      </c>
      <c r="C43" s="266"/>
      <c r="D43" s="266"/>
      <c r="E43" s="266"/>
      <c r="F43" s="266">
        <f>SUM(F5:F42)</f>
        <v>49225</v>
      </c>
      <c r="G43" s="266">
        <f>SUM(G4:G42)</f>
        <v>87974.249999999985</v>
      </c>
      <c r="H43" s="267"/>
    </row>
    <row r="44" spans="1:8" ht="14.25" customHeight="1" x14ac:dyDescent="0.3">
      <c r="B44" s="193"/>
      <c r="C44" s="193"/>
      <c r="D44" s="193"/>
      <c r="E44" s="268" t="s">
        <v>301</v>
      </c>
      <c r="F44" s="268">
        <f>SUM(F33:F36,F15:F23)</f>
        <v>21835</v>
      </c>
      <c r="G44" s="193"/>
    </row>
    <row r="45" spans="1:8" ht="14.25" customHeight="1" x14ac:dyDescent="0.3">
      <c r="B45" s="193"/>
      <c r="C45" s="193"/>
      <c r="D45" s="193"/>
      <c r="E45" s="269" t="s">
        <v>303</v>
      </c>
      <c r="F45" s="269">
        <f>SUM(F39:F42)</f>
        <v>40000</v>
      </c>
      <c r="G45" s="193"/>
    </row>
    <row r="46" spans="1:8" ht="14.25" customHeight="1" x14ac:dyDescent="0.3">
      <c r="E46" s="196"/>
      <c r="G46" s="195"/>
    </row>
    <row r="47" spans="1:8" ht="14.25" customHeight="1" thickBot="1" x14ac:dyDescent="0.35">
      <c r="B47"/>
      <c r="D47" s="20" t="s">
        <v>139</v>
      </c>
      <c r="E47" s="20" t="s">
        <v>140</v>
      </c>
    </row>
    <row r="48" spans="1:8" ht="17.399999999999999" customHeight="1" thickBot="1" x14ac:dyDescent="0.35">
      <c r="B48" s="197" t="s">
        <v>141</v>
      </c>
      <c r="C48" s="198" t="s">
        <v>304</v>
      </c>
      <c r="D48" s="199">
        <v>12000</v>
      </c>
      <c r="E48" s="200">
        <v>86000</v>
      </c>
    </row>
    <row r="49" spans="1:7" ht="14.25" customHeight="1" thickBot="1" x14ac:dyDescent="0.35">
      <c r="B49" s="201" t="s">
        <v>142</v>
      </c>
      <c r="C49" s="202" t="s">
        <v>304</v>
      </c>
      <c r="D49" s="199">
        <v>12000</v>
      </c>
      <c r="E49" s="203">
        <v>86000</v>
      </c>
    </row>
    <row r="50" spans="1:7" ht="14.25" customHeight="1" x14ac:dyDescent="0.3">
      <c r="B50"/>
      <c r="C50" s="21" t="s">
        <v>138</v>
      </c>
      <c r="D50" s="21">
        <f t="shared" ref="D50:E50" si="3">SUM(D48:D49)</f>
        <v>24000</v>
      </c>
      <c r="E50" s="21">
        <f t="shared" si="3"/>
        <v>172000</v>
      </c>
    </row>
    <row r="51" spans="1:7" ht="14.25" customHeight="1" x14ac:dyDescent="0.3">
      <c r="E51" s="13"/>
      <c r="F51" s="13"/>
      <c r="G51" s="13"/>
    </row>
    <row r="52" spans="1:7" ht="14.25" customHeight="1" x14ac:dyDescent="0.3">
      <c r="B52" s="204" t="s">
        <v>143</v>
      </c>
      <c r="C52" s="205">
        <f>SUM('Tech Stack'!B40:E40)</f>
        <v>280</v>
      </c>
      <c r="E52" s="22"/>
      <c r="F52" s="13"/>
      <c r="G52" s="13"/>
    </row>
    <row r="53" spans="1:7" ht="14.25" customHeight="1" x14ac:dyDescent="0.3">
      <c r="B53" s="206" t="s">
        <v>144</v>
      </c>
      <c r="C53" s="207">
        <f>COUNTIF(C2:C43,"UTP Patch Panel")*48</f>
        <v>336</v>
      </c>
      <c r="E53" s="13"/>
      <c r="F53" s="13"/>
      <c r="G53" s="13"/>
    </row>
    <row r="54" spans="1:7" ht="14.25" customHeight="1" x14ac:dyDescent="0.3"/>
    <row r="55" spans="1:7" ht="14.25" customHeight="1" x14ac:dyDescent="0.3"/>
    <row r="56" spans="1:7" ht="14.25" customHeight="1" x14ac:dyDescent="0.3">
      <c r="A56" s="287" t="s">
        <v>145</v>
      </c>
      <c r="B56" s="288"/>
      <c r="C56" s="289"/>
      <c r="D56" s="289"/>
      <c r="E56" s="289"/>
      <c r="F56" s="289"/>
      <c r="G56" s="289"/>
    </row>
    <row r="57" spans="1:7" ht="14.25" customHeight="1" x14ac:dyDescent="0.3">
      <c r="A57" s="293" t="s">
        <v>146</v>
      </c>
      <c r="B57" s="293"/>
      <c r="C57" s="293"/>
      <c r="D57" s="293"/>
      <c r="E57" s="293"/>
      <c r="F57" s="293"/>
      <c r="G57" s="293"/>
    </row>
    <row r="58" spans="1:7" ht="14.25" customHeight="1" x14ac:dyDescent="0.3">
      <c r="A58" s="290" t="s">
        <v>147</v>
      </c>
      <c r="B58" s="290"/>
      <c r="C58" s="290"/>
      <c r="D58" s="290"/>
      <c r="E58" s="290"/>
      <c r="F58" s="290"/>
      <c r="G58" s="290"/>
    </row>
    <row r="59" spans="1:7" ht="14.25" customHeight="1" x14ac:dyDescent="0.3">
      <c r="A59" s="290" t="s">
        <v>148</v>
      </c>
      <c r="B59" s="290"/>
      <c r="C59" s="290"/>
      <c r="D59" s="290"/>
      <c r="E59" s="290"/>
      <c r="F59" s="290"/>
      <c r="G59" s="290"/>
    </row>
    <row r="60" spans="1:7" ht="14.25" customHeight="1" x14ac:dyDescent="0.3">
      <c r="A60" s="291" t="s">
        <v>149</v>
      </c>
      <c r="B60" s="291"/>
      <c r="C60" s="291"/>
      <c r="D60" s="291"/>
      <c r="E60" s="291"/>
      <c r="F60" s="291"/>
      <c r="G60" s="291"/>
    </row>
    <row r="61" spans="1:7" ht="14.25" customHeight="1" x14ac:dyDescent="0.3">
      <c r="A61" s="290" t="s">
        <v>150</v>
      </c>
      <c r="B61" s="290"/>
      <c r="C61" s="290"/>
      <c r="D61" s="290"/>
      <c r="E61" s="290"/>
      <c r="F61" s="290"/>
      <c r="G61" s="290"/>
    </row>
    <row r="62" spans="1:7" ht="14.25" customHeight="1" x14ac:dyDescent="0.3">
      <c r="A62" s="290" t="s">
        <v>151</v>
      </c>
      <c r="B62" s="290"/>
      <c r="C62" s="290"/>
      <c r="D62" s="290"/>
      <c r="E62" s="290"/>
      <c r="F62" s="290"/>
      <c r="G62" s="290"/>
    </row>
    <row r="63" spans="1:7" ht="14.25" customHeight="1" x14ac:dyDescent="0.3">
      <c r="A63" s="291" t="s">
        <v>152</v>
      </c>
      <c r="B63" s="291"/>
      <c r="C63" s="291"/>
      <c r="D63" s="291"/>
      <c r="E63" s="291"/>
      <c r="F63" s="291"/>
      <c r="G63" s="291"/>
    </row>
    <row r="64" spans="1:7" ht="14.25" customHeight="1" x14ac:dyDescent="0.3">
      <c r="A64" s="291" t="s">
        <v>153</v>
      </c>
      <c r="B64" s="291"/>
      <c r="C64" s="291"/>
      <c r="D64" s="291"/>
      <c r="E64" s="291"/>
      <c r="F64" s="291"/>
      <c r="G64" s="291"/>
    </row>
    <row r="65" spans="1:9" ht="14.25" customHeight="1" x14ac:dyDescent="0.3">
      <c r="A65" s="291" t="s">
        <v>154</v>
      </c>
      <c r="B65" s="291"/>
      <c r="C65" s="291"/>
      <c r="D65" s="291"/>
      <c r="E65" s="291"/>
      <c r="F65" s="291"/>
      <c r="G65" s="291"/>
    </row>
    <row r="66" spans="1:9" ht="14.25" customHeight="1" x14ac:dyDescent="0.3">
      <c r="A66" s="290" t="s">
        <v>155</v>
      </c>
      <c r="B66" s="290"/>
      <c r="C66" s="290"/>
      <c r="D66" s="290"/>
      <c r="E66" s="290"/>
      <c r="F66" s="290"/>
      <c r="G66" s="290"/>
    </row>
    <row r="67" spans="1:9" ht="14.25" customHeight="1" x14ac:dyDescent="0.3">
      <c r="A67" s="290" t="s">
        <v>156</v>
      </c>
      <c r="B67" s="290"/>
      <c r="C67" s="290"/>
      <c r="D67" s="290"/>
      <c r="E67" s="290"/>
      <c r="F67" s="290"/>
      <c r="G67" s="290"/>
    </row>
    <row r="68" spans="1:9" ht="14.25" customHeight="1" x14ac:dyDescent="0.3">
      <c r="A68" s="292"/>
      <c r="B68" s="292"/>
      <c r="C68" s="292"/>
      <c r="D68" s="292"/>
      <c r="E68" s="292"/>
      <c r="F68" s="292"/>
      <c r="G68" s="292"/>
    </row>
    <row r="69" spans="1:9" ht="14.25" customHeight="1" x14ac:dyDescent="0.3"/>
    <row r="70" spans="1:9" ht="14.25" customHeight="1" x14ac:dyDescent="0.3"/>
    <row r="71" spans="1:9" ht="14.25" customHeight="1" x14ac:dyDescent="0.3"/>
    <row r="72" spans="1:9" ht="14.25" customHeight="1" x14ac:dyDescent="0.3"/>
    <row r="73" spans="1:9" ht="14.25" customHeight="1" x14ac:dyDescent="0.3"/>
    <row r="74" spans="1:9" ht="14.25" customHeight="1" x14ac:dyDescent="0.3"/>
    <row r="75" spans="1:9" ht="14.25" customHeight="1" x14ac:dyDescent="0.3"/>
    <row r="76" spans="1:9" ht="14.25" customHeight="1" x14ac:dyDescent="0.3"/>
    <row r="77" spans="1:9" ht="14.25" customHeight="1" x14ac:dyDescent="0.3"/>
    <row r="78" spans="1:9" ht="14.25" customHeight="1" x14ac:dyDescent="0.3"/>
    <row r="79" spans="1:9" ht="14.25" customHeight="1" x14ac:dyDescent="0.3"/>
    <row r="80" spans="1:9" ht="14.25" customHeight="1" x14ac:dyDescent="0.3">
      <c r="C80" s="286"/>
      <c r="D80" s="286"/>
      <c r="E80" s="286"/>
      <c r="F80" s="286"/>
      <c r="G80" s="286"/>
      <c r="H80" s="286"/>
      <c r="I80" s="286"/>
    </row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</sheetData>
  <mergeCells count="21">
    <mergeCell ref="A67:G67"/>
    <mergeCell ref="A68:G68"/>
    <mergeCell ref="A57:G57"/>
    <mergeCell ref="A62:G62"/>
    <mergeCell ref="A63:G63"/>
    <mergeCell ref="A64:G64"/>
    <mergeCell ref="A65:G65"/>
    <mergeCell ref="A66:G66"/>
    <mergeCell ref="A58:G58"/>
    <mergeCell ref="A59:G59"/>
    <mergeCell ref="A60:G60"/>
    <mergeCell ref="A61:G61"/>
    <mergeCell ref="A1:H1"/>
    <mergeCell ref="B33:B36"/>
    <mergeCell ref="B37:B38"/>
    <mergeCell ref="C37:G38"/>
    <mergeCell ref="H3:H42"/>
    <mergeCell ref="A3:A42"/>
    <mergeCell ref="B4:B23"/>
    <mergeCell ref="C31:G32"/>
    <mergeCell ref="B31:B32"/>
  </mergeCells>
  <hyperlinks>
    <hyperlink ref="D39" r:id="rId1" xr:uid="{A239039C-B5A1-4E1B-82E2-A3894978B4E7}"/>
    <hyperlink ref="D40:D42" r:id="rId2" display="SRT10KXLT" xr:uid="{AB2D6482-85DA-46BE-A28C-A6100A432E32}"/>
    <hyperlink ref="C49" r:id="rId3" display="2 x Daikin DFC090" xr:uid="{5DF809CE-0970-4A87-8F96-F39ABB4041F1}"/>
    <hyperlink ref="C48" r:id="rId4" display="2 x Daikin DFC090" xr:uid="{E3A00C85-52C7-4B28-BB55-769845636237}"/>
    <hyperlink ref="A1:H1" r:id="rId5" display="Open Frame Server 58U Rack" xr:uid="{0DB29134-8D2F-4198-B56A-0EF9002AFCDA}"/>
  </hyperlinks>
  <pageMargins left="0.7" right="0.7" top="0.75" bottom="0.75" header="0" footer="0"/>
  <pageSetup orientation="landscape"/>
  <legacyDrawing r:id="rId6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84"/>
  <sheetViews>
    <sheetView topLeftCell="A20" workbookViewId="0">
      <selection activeCell="A2" sqref="A2"/>
    </sheetView>
  </sheetViews>
  <sheetFormatPr defaultColWidth="14.44140625" defaultRowHeight="15" customHeight="1" x14ac:dyDescent="0.3"/>
  <cols>
    <col min="1" max="2" width="8.6640625" customWidth="1"/>
    <col min="3" max="3" width="23.33203125" customWidth="1"/>
    <col min="4" max="4" width="29.77734375" customWidth="1"/>
    <col min="5" max="5" width="28.109375" customWidth="1"/>
    <col min="6" max="6" width="26.88671875" customWidth="1"/>
    <col min="7" max="26" width="8.6640625" customWidth="1"/>
  </cols>
  <sheetData>
    <row r="1" spans="1:8" ht="14.25" customHeight="1" thickBot="1" x14ac:dyDescent="0.35">
      <c r="A1" s="209" t="s">
        <v>306</v>
      </c>
      <c r="B1" s="209"/>
      <c r="C1" s="209"/>
      <c r="D1" s="209"/>
      <c r="E1" s="209"/>
      <c r="F1" s="209"/>
      <c r="G1" s="209"/>
      <c r="H1" s="209"/>
    </row>
    <row r="2" spans="1:8" ht="14.25" customHeight="1" thickBot="1" x14ac:dyDescent="0.35">
      <c r="A2" s="211" t="s">
        <v>131</v>
      </c>
      <c r="B2" s="180" t="s">
        <v>132</v>
      </c>
      <c r="C2" s="212" t="s">
        <v>133</v>
      </c>
      <c r="D2" s="212" t="s">
        <v>134</v>
      </c>
      <c r="E2" s="212" t="s">
        <v>135</v>
      </c>
      <c r="F2" s="212" t="s">
        <v>290</v>
      </c>
      <c r="G2" s="213" t="s">
        <v>288</v>
      </c>
      <c r="H2" s="214" t="s">
        <v>131</v>
      </c>
    </row>
    <row r="3" spans="1:8" ht="14.25" customHeight="1" thickBot="1" x14ac:dyDescent="0.35">
      <c r="A3" s="183" t="s">
        <v>136</v>
      </c>
      <c r="B3" s="182">
        <v>1</v>
      </c>
      <c r="C3" s="215" t="s">
        <v>296</v>
      </c>
      <c r="D3" s="215" t="s">
        <v>295</v>
      </c>
      <c r="E3" s="215">
        <v>72</v>
      </c>
      <c r="F3" s="215"/>
      <c r="G3" s="216"/>
      <c r="H3" s="183" t="s">
        <v>136</v>
      </c>
    </row>
    <row r="4" spans="1:8" ht="14.25" customHeight="1" x14ac:dyDescent="0.3">
      <c r="A4" s="181"/>
      <c r="B4" s="280">
        <v>13</v>
      </c>
      <c r="C4" s="210" t="s">
        <v>281</v>
      </c>
      <c r="D4" s="217" t="s">
        <v>197</v>
      </c>
      <c r="E4" s="217"/>
      <c r="F4" s="218"/>
      <c r="G4" s="270"/>
      <c r="H4" s="181"/>
    </row>
    <row r="5" spans="1:8" ht="14.25" customHeight="1" x14ac:dyDescent="0.3">
      <c r="A5" s="181"/>
      <c r="B5" s="281"/>
      <c r="C5" s="219" t="s">
        <v>282</v>
      </c>
      <c r="D5" s="219" t="str">
        <f>'Tech Stack'!B52</f>
        <v>C9400-SUP-1XL</v>
      </c>
      <c r="E5" s="219">
        <v>2</v>
      </c>
      <c r="F5" s="219">
        <v>-350</v>
      </c>
      <c r="G5" s="271">
        <f>ABS(F5)*3.41</f>
        <v>1193.5</v>
      </c>
      <c r="H5" s="181"/>
    </row>
    <row r="6" spans="1:8" ht="14.25" customHeight="1" x14ac:dyDescent="0.3">
      <c r="A6" s="181"/>
      <c r="B6" s="281"/>
      <c r="C6" s="219" t="s">
        <v>282</v>
      </c>
      <c r="D6" s="219"/>
      <c r="E6" s="219"/>
      <c r="F6" s="219"/>
      <c r="G6" s="271">
        <f t="shared" ref="G6:G23" si="0">ABS(F6)*3.41</f>
        <v>0</v>
      </c>
      <c r="H6" s="181"/>
    </row>
    <row r="7" spans="1:8" ht="14.25" customHeight="1" x14ac:dyDescent="0.3">
      <c r="A7" s="181"/>
      <c r="B7" s="281"/>
      <c r="C7" s="219" t="s">
        <v>283</v>
      </c>
      <c r="D7" s="219" t="str">
        <f>'Tech Stack'!B56</f>
        <v>C9400-LC-12QC (12x40GE)</v>
      </c>
      <c r="E7" s="219">
        <v>12</v>
      </c>
      <c r="F7" s="219">
        <v>-280</v>
      </c>
      <c r="G7" s="271">
        <f t="shared" si="0"/>
        <v>954.80000000000007</v>
      </c>
      <c r="H7" s="181"/>
    </row>
    <row r="8" spans="1:8" ht="14.25" customHeight="1" x14ac:dyDescent="0.3">
      <c r="A8" s="181"/>
      <c r="B8" s="281"/>
      <c r="C8" s="219" t="s">
        <v>284</v>
      </c>
      <c r="D8" s="219" t="str">
        <f>'Tech Stack'!B53</f>
        <v>C9400-LC-48P</v>
      </c>
      <c r="E8" s="219">
        <v>48</v>
      </c>
      <c r="F8" s="219">
        <f>-(E8*30+65)</f>
        <v>-1505</v>
      </c>
      <c r="G8" s="271">
        <f>(ABS(F8)-E8*30)*3.41</f>
        <v>221.65</v>
      </c>
      <c r="H8" s="181"/>
    </row>
    <row r="9" spans="1:8" ht="14.25" customHeight="1" x14ac:dyDescent="0.3">
      <c r="A9" s="181"/>
      <c r="B9" s="281"/>
      <c r="C9" s="219" t="s">
        <v>284</v>
      </c>
      <c r="D9" s="219" t="str">
        <f>'Tech Stack'!B53</f>
        <v>C9400-LC-48P</v>
      </c>
      <c r="E9" s="219">
        <v>48</v>
      </c>
      <c r="F9" s="219">
        <f t="shared" ref="F9:F13" si="1">-(E9*30+65)</f>
        <v>-1505</v>
      </c>
      <c r="G9" s="271">
        <f t="shared" ref="G9:G13" si="2">(ABS(F9)-E9*30)*3.41</f>
        <v>221.65</v>
      </c>
      <c r="H9" s="181"/>
    </row>
    <row r="10" spans="1:8" ht="14.25" customHeight="1" x14ac:dyDescent="0.3">
      <c r="A10" s="181"/>
      <c r="B10" s="281"/>
      <c r="C10" s="219" t="s">
        <v>284</v>
      </c>
      <c r="D10" s="219" t="str">
        <f>'Tech Stack'!B53</f>
        <v>C9400-LC-48P</v>
      </c>
      <c r="E10" s="219">
        <v>48</v>
      </c>
      <c r="F10" s="219">
        <f t="shared" si="1"/>
        <v>-1505</v>
      </c>
      <c r="G10" s="271">
        <f t="shared" si="2"/>
        <v>221.65</v>
      </c>
      <c r="H10" s="181"/>
    </row>
    <row r="11" spans="1:8" ht="14.25" customHeight="1" x14ac:dyDescent="0.3">
      <c r="A11" s="181"/>
      <c r="B11" s="281"/>
      <c r="C11" s="219" t="s">
        <v>284</v>
      </c>
      <c r="D11" s="219" t="str">
        <f>'Tech Stack'!B53</f>
        <v>C9400-LC-48P</v>
      </c>
      <c r="E11" s="219">
        <v>48</v>
      </c>
      <c r="F11" s="219">
        <f t="shared" si="1"/>
        <v>-1505</v>
      </c>
      <c r="G11" s="271">
        <f t="shared" si="2"/>
        <v>221.65</v>
      </c>
      <c r="H11" s="181"/>
    </row>
    <row r="12" spans="1:8" ht="14.25" customHeight="1" x14ac:dyDescent="0.3">
      <c r="A12" s="181"/>
      <c r="B12" s="281"/>
      <c r="C12" s="219" t="s">
        <v>284</v>
      </c>
      <c r="D12" s="219" t="str">
        <f>'Tech Stack'!B53</f>
        <v>C9400-LC-48P</v>
      </c>
      <c r="E12" s="219">
        <v>48</v>
      </c>
      <c r="F12" s="219">
        <f t="shared" si="1"/>
        <v>-1505</v>
      </c>
      <c r="G12" s="271">
        <f t="shared" si="2"/>
        <v>221.65</v>
      </c>
      <c r="H12" s="181"/>
    </row>
    <row r="13" spans="1:8" ht="14.25" customHeight="1" x14ac:dyDescent="0.3">
      <c r="A13" s="181"/>
      <c r="B13" s="281"/>
      <c r="C13" s="219" t="s">
        <v>285</v>
      </c>
      <c r="D13" s="219" t="str">
        <f>'Tech Stack'!B53</f>
        <v>C9400-LC-48P</v>
      </c>
      <c r="E13" s="219">
        <v>48</v>
      </c>
      <c r="F13" s="219">
        <f t="shared" si="1"/>
        <v>-1505</v>
      </c>
      <c r="G13" s="271">
        <f t="shared" si="2"/>
        <v>221.65</v>
      </c>
      <c r="H13" s="181"/>
    </row>
    <row r="14" spans="1:8" ht="14.25" customHeight="1" x14ac:dyDescent="0.3">
      <c r="A14" s="181"/>
      <c r="B14" s="281"/>
      <c r="C14" s="219" t="s">
        <v>286</v>
      </c>
      <c r="D14" s="219" t="str">
        <f>'Tech Stack'!B57</f>
        <v>C9400-LC-48UX</v>
      </c>
      <c r="E14" s="219">
        <v>48</v>
      </c>
      <c r="F14" s="219">
        <f>-(60*E14+70)</f>
        <v>-2950</v>
      </c>
      <c r="G14" s="271">
        <f>(ABS(F14)-E14*60)*3.41</f>
        <v>238.70000000000002</v>
      </c>
      <c r="H14" s="181"/>
    </row>
    <row r="15" spans="1:8" ht="14.25" customHeight="1" x14ac:dyDescent="0.3">
      <c r="A15" s="181"/>
      <c r="B15" s="281"/>
      <c r="C15" s="220" t="s">
        <v>287</v>
      </c>
      <c r="D15" s="221" t="s">
        <v>289</v>
      </c>
      <c r="E15" s="222"/>
      <c r="F15" s="223">
        <v>3200</v>
      </c>
      <c r="G15" s="272">
        <f t="shared" si="0"/>
        <v>10912</v>
      </c>
      <c r="H15" s="181"/>
    </row>
    <row r="16" spans="1:8" ht="14.25" customHeight="1" x14ac:dyDescent="0.3">
      <c r="A16" s="181"/>
      <c r="B16" s="281"/>
      <c r="C16" s="220" t="s">
        <v>287</v>
      </c>
      <c r="D16" s="224" t="s">
        <v>289</v>
      </c>
      <c r="E16" s="222"/>
      <c r="F16" s="225">
        <v>3200</v>
      </c>
      <c r="G16" s="273">
        <f t="shared" si="0"/>
        <v>10912</v>
      </c>
      <c r="H16" s="181"/>
    </row>
    <row r="17" spans="1:8" ht="14.25" customHeight="1" x14ac:dyDescent="0.3">
      <c r="A17" s="181"/>
      <c r="B17" s="281"/>
      <c r="C17" s="220" t="s">
        <v>287</v>
      </c>
      <c r="D17" s="224" t="s">
        <v>289</v>
      </c>
      <c r="E17" s="222"/>
      <c r="F17" s="225">
        <v>3200</v>
      </c>
      <c r="G17" s="273">
        <f t="shared" si="0"/>
        <v>10912</v>
      </c>
      <c r="H17" s="181"/>
    </row>
    <row r="18" spans="1:8" ht="14.25" customHeight="1" x14ac:dyDescent="0.3">
      <c r="A18" s="181"/>
      <c r="B18" s="281"/>
      <c r="C18" s="220" t="s">
        <v>287</v>
      </c>
      <c r="D18" s="224" t="s">
        <v>289</v>
      </c>
      <c r="E18" s="226"/>
      <c r="F18" s="225">
        <v>3200</v>
      </c>
      <c r="G18" s="273">
        <f t="shared" si="0"/>
        <v>10912</v>
      </c>
      <c r="H18" s="181"/>
    </row>
    <row r="19" spans="1:8" ht="14.25" customHeight="1" x14ac:dyDescent="0.3">
      <c r="A19" s="181"/>
      <c r="B19" s="281"/>
      <c r="C19" s="220" t="s">
        <v>287</v>
      </c>
      <c r="D19" s="224" t="s">
        <v>289</v>
      </c>
      <c r="E19" s="226"/>
      <c r="F19" s="225">
        <v>3200</v>
      </c>
      <c r="G19" s="273">
        <f t="shared" si="0"/>
        <v>10912</v>
      </c>
      <c r="H19" s="181"/>
    </row>
    <row r="20" spans="1:8" ht="14.25" customHeight="1" x14ac:dyDescent="0.3">
      <c r="A20" s="181"/>
      <c r="B20" s="281"/>
      <c r="C20" s="220" t="s">
        <v>287</v>
      </c>
      <c r="D20" s="224" t="s">
        <v>289</v>
      </c>
      <c r="E20" s="226"/>
      <c r="F20" s="225">
        <v>3200</v>
      </c>
      <c r="G20" s="273">
        <f t="shared" si="0"/>
        <v>10912</v>
      </c>
      <c r="H20" s="181"/>
    </row>
    <row r="21" spans="1:8" ht="14.25" customHeight="1" x14ac:dyDescent="0.3">
      <c r="A21" s="181"/>
      <c r="B21" s="281"/>
      <c r="C21" s="220" t="s">
        <v>287</v>
      </c>
      <c r="D21" s="224"/>
      <c r="E21" s="226"/>
      <c r="F21" s="225"/>
      <c r="G21" s="273">
        <f t="shared" si="0"/>
        <v>0</v>
      </c>
      <c r="H21" s="181"/>
    </row>
    <row r="22" spans="1:8" ht="14.25" customHeight="1" x14ac:dyDescent="0.3">
      <c r="A22" s="181"/>
      <c r="B22" s="281"/>
      <c r="C22" s="227" t="s">
        <v>287</v>
      </c>
      <c r="D22" s="228"/>
      <c r="E22" s="229"/>
      <c r="F22" s="230"/>
      <c r="G22" s="274">
        <f t="shared" si="0"/>
        <v>0</v>
      </c>
      <c r="H22" s="181"/>
    </row>
    <row r="23" spans="1:8" ht="14.25" customHeight="1" thickBot="1" x14ac:dyDescent="0.35">
      <c r="A23" s="181"/>
      <c r="B23" s="282"/>
      <c r="C23" s="231" t="s">
        <v>294</v>
      </c>
      <c r="D23" s="231" t="s">
        <v>291</v>
      </c>
      <c r="E23" s="231"/>
      <c r="F23" s="231">
        <v>600</v>
      </c>
      <c r="G23" s="260">
        <f t="shared" si="0"/>
        <v>2046</v>
      </c>
      <c r="H23" s="181"/>
    </row>
    <row r="24" spans="1:8" ht="14.25" customHeight="1" x14ac:dyDescent="0.3">
      <c r="A24" s="184"/>
      <c r="B24" s="298">
        <v>2</v>
      </c>
      <c r="C24" s="232" t="s">
        <v>298</v>
      </c>
      <c r="D24" s="233" t="s">
        <v>297</v>
      </c>
      <c r="E24" s="234">
        <v>48</v>
      </c>
      <c r="F24" s="234"/>
      <c r="G24" s="235"/>
      <c r="H24" s="181"/>
    </row>
    <row r="25" spans="1:8" ht="14.25" customHeight="1" x14ac:dyDescent="0.3">
      <c r="A25" s="184"/>
      <c r="B25" s="185">
        <v>2</v>
      </c>
      <c r="C25" s="236" t="s">
        <v>298</v>
      </c>
      <c r="D25" s="237" t="s">
        <v>297</v>
      </c>
      <c r="E25" s="238">
        <v>48</v>
      </c>
      <c r="F25" s="239"/>
      <c r="G25" s="240"/>
      <c r="H25" s="181"/>
    </row>
    <row r="26" spans="1:8" ht="14.25" customHeight="1" x14ac:dyDescent="0.3">
      <c r="A26" s="184"/>
      <c r="B26" s="185">
        <v>2</v>
      </c>
      <c r="C26" s="236" t="s">
        <v>298</v>
      </c>
      <c r="D26" s="237" t="s">
        <v>297</v>
      </c>
      <c r="E26" s="238">
        <v>48</v>
      </c>
      <c r="F26" s="239"/>
      <c r="G26" s="240"/>
      <c r="H26" s="181"/>
    </row>
    <row r="27" spans="1:8" ht="14.25" customHeight="1" x14ac:dyDescent="0.3">
      <c r="A27" s="184"/>
      <c r="B27" s="185">
        <v>2</v>
      </c>
      <c r="C27" s="236" t="s">
        <v>298</v>
      </c>
      <c r="D27" s="237" t="s">
        <v>297</v>
      </c>
      <c r="E27" s="238">
        <v>48</v>
      </c>
      <c r="F27" s="239"/>
      <c r="G27" s="240"/>
      <c r="H27" s="181"/>
    </row>
    <row r="28" spans="1:8" ht="14.25" customHeight="1" x14ac:dyDescent="0.3">
      <c r="A28" s="184"/>
      <c r="B28" s="185">
        <v>2</v>
      </c>
      <c r="C28" s="215" t="s">
        <v>298</v>
      </c>
      <c r="D28" s="241" t="s">
        <v>297</v>
      </c>
      <c r="E28" s="242">
        <v>48</v>
      </c>
      <c r="F28" s="243"/>
      <c r="G28" s="244"/>
      <c r="H28" s="181"/>
    </row>
    <row r="29" spans="1:8" ht="14.25" customHeight="1" x14ac:dyDescent="0.3">
      <c r="A29" s="184"/>
      <c r="B29" s="185">
        <v>2</v>
      </c>
      <c r="C29" s="245" t="s">
        <v>298</v>
      </c>
      <c r="D29" s="245" t="s">
        <v>297</v>
      </c>
      <c r="E29" s="245">
        <v>48</v>
      </c>
      <c r="F29" s="245"/>
      <c r="G29" s="246"/>
      <c r="H29" s="181"/>
    </row>
    <row r="30" spans="1:8" ht="14.25" customHeight="1" thickBot="1" x14ac:dyDescent="0.35">
      <c r="A30" s="184"/>
      <c r="B30" s="299">
        <v>2</v>
      </c>
      <c r="C30" s="247" t="s">
        <v>298</v>
      </c>
      <c r="D30" s="247" t="s">
        <v>297</v>
      </c>
      <c r="E30" s="247">
        <v>48</v>
      </c>
      <c r="F30" s="247"/>
      <c r="G30" s="248"/>
      <c r="H30" s="181"/>
    </row>
    <row r="31" spans="1:8" ht="14.25" customHeight="1" x14ac:dyDescent="0.3">
      <c r="A31" s="181"/>
      <c r="B31" s="294">
        <v>6</v>
      </c>
      <c r="C31" s="295" t="s">
        <v>300</v>
      </c>
      <c r="D31" s="296" t="s">
        <v>302</v>
      </c>
      <c r="E31" s="295"/>
      <c r="F31" s="295">
        <v>10000</v>
      </c>
      <c r="G31" s="297">
        <v>2450</v>
      </c>
      <c r="H31" s="181"/>
    </row>
    <row r="32" spans="1:8" ht="14.25" customHeight="1" x14ac:dyDescent="0.3">
      <c r="A32" s="181"/>
      <c r="B32" s="194">
        <v>6</v>
      </c>
      <c r="C32" s="261" t="s">
        <v>300</v>
      </c>
      <c r="D32" s="264" t="s">
        <v>302</v>
      </c>
      <c r="E32" s="261"/>
      <c r="F32" s="261">
        <v>10000</v>
      </c>
      <c r="G32" s="263">
        <v>2450</v>
      </c>
      <c r="H32" s="181"/>
    </row>
    <row r="33" spans="1:8" ht="14.25" customHeight="1" x14ac:dyDescent="0.3">
      <c r="A33" s="181"/>
      <c r="B33" s="194">
        <v>6</v>
      </c>
      <c r="C33" s="261" t="s">
        <v>300</v>
      </c>
      <c r="D33" s="264" t="s">
        <v>302</v>
      </c>
      <c r="E33" s="261"/>
      <c r="F33" s="261">
        <v>10000</v>
      </c>
      <c r="G33" s="263">
        <v>2450</v>
      </c>
      <c r="H33" s="181"/>
    </row>
    <row r="34" spans="1:8" ht="14.25" customHeight="1" thickBot="1" x14ac:dyDescent="0.35">
      <c r="A34" s="191"/>
      <c r="B34" s="194">
        <v>6</v>
      </c>
      <c r="C34" s="261" t="s">
        <v>300</v>
      </c>
      <c r="D34" s="264" t="s">
        <v>302</v>
      </c>
      <c r="E34" s="261"/>
      <c r="F34" s="261">
        <v>10000</v>
      </c>
      <c r="G34" s="263">
        <v>2450</v>
      </c>
      <c r="H34" s="191"/>
    </row>
    <row r="35" spans="1:8" ht="14.25" customHeight="1" thickBot="1" x14ac:dyDescent="0.35">
      <c r="A35" s="265" t="s">
        <v>138</v>
      </c>
      <c r="B35" s="192">
        <f>SUM(B4:B34)</f>
        <v>51</v>
      </c>
      <c r="C35" s="266"/>
      <c r="D35" s="266"/>
      <c r="E35" s="266"/>
      <c r="F35" s="266">
        <f>SUM(F5:F34)</f>
        <v>47190</v>
      </c>
      <c r="G35" s="266">
        <f>SUM(G4:G34)</f>
        <v>81034.899999999994</v>
      </c>
      <c r="H35" s="267"/>
    </row>
    <row r="36" spans="1:8" ht="14.25" customHeight="1" x14ac:dyDescent="0.3">
      <c r="B36" s="193"/>
      <c r="C36" s="193"/>
      <c r="D36" s="193"/>
      <c r="E36" s="268" t="s">
        <v>301</v>
      </c>
      <c r="F36" s="268">
        <f>SUM(F15:F23)</f>
        <v>19800</v>
      </c>
      <c r="G36" s="193"/>
    </row>
    <row r="37" spans="1:8" ht="14.25" customHeight="1" x14ac:dyDescent="0.3">
      <c r="B37" s="193"/>
      <c r="C37" s="193"/>
      <c r="D37" s="193"/>
      <c r="E37" s="269" t="s">
        <v>303</v>
      </c>
      <c r="F37" s="269">
        <f>SUM(F31:F34)</f>
        <v>40000</v>
      </c>
      <c r="G37" s="193"/>
    </row>
    <row r="38" spans="1:8" ht="14.25" customHeight="1" x14ac:dyDescent="0.3">
      <c r="B38" s="30"/>
      <c r="E38" s="196"/>
      <c r="G38" s="195"/>
    </row>
    <row r="39" spans="1:8" ht="14.25" customHeight="1" thickBot="1" x14ac:dyDescent="0.35">
      <c r="D39" s="20" t="s">
        <v>139</v>
      </c>
      <c r="E39" s="20" t="s">
        <v>140</v>
      </c>
    </row>
    <row r="40" spans="1:8" ht="14.25" customHeight="1" thickBot="1" x14ac:dyDescent="0.35">
      <c r="B40" s="197" t="s">
        <v>141</v>
      </c>
      <c r="C40" s="198" t="s">
        <v>304</v>
      </c>
      <c r="D40" s="199">
        <v>12000</v>
      </c>
      <c r="E40" s="200">
        <v>86000</v>
      </c>
    </row>
    <row r="41" spans="1:8" ht="14.25" customHeight="1" thickBot="1" x14ac:dyDescent="0.35">
      <c r="B41" s="201" t="s">
        <v>142</v>
      </c>
      <c r="C41" s="202" t="s">
        <v>304</v>
      </c>
      <c r="D41" s="199">
        <v>12000</v>
      </c>
      <c r="E41" s="203">
        <v>86000</v>
      </c>
    </row>
    <row r="42" spans="1:8" ht="14.25" customHeight="1" x14ac:dyDescent="0.3">
      <c r="C42" s="21" t="s">
        <v>138</v>
      </c>
      <c r="D42" s="21">
        <f t="shared" ref="D42:E42" si="3">SUM(D40:D41)</f>
        <v>24000</v>
      </c>
      <c r="E42" s="21">
        <f t="shared" si="3"/>
        <v>172000</v>
      </c>
    </row>
    <row r="43" spans="1:8" ht="14.25" customHeight="1" x14ac:dyDescent="0.3">
      <c r="B43" s="30"/>
      <c r="E43" s="13"/>
      <c r="F43" s="13"/>
      <c r="G43" s="13"/>
    </row>
    <row r="44" spans="1:8" ht="14.25" customHeight="1" x14ac:dyDescent="0.3">
      <c r="B44" s="204" t="s">
        <v>143</v>
      </c>
      <c r="C44" s="205">
        <f>SUM('Tech Stack'!B41:E41)</f>
        <v>266</v>
      </c>
      <c r="E44" s="22"/>
      <c r="F44" s="13"/>
      <c r="G44" s="13"/>
    </row>
    <row r="45" spans="1:8" ht="14.25" customHeight="1" x14ac:dyDescent="0.3">
      <c r="B45" s="206" t="s">
        <v>144</v>
      </c>
      <c r="C45" s="207">
        <f>COUNTIF(C2:C35,"UTP Patch Panel")*48</f>
        <v>336</v>
      </c>
      <c r="E45" s="13"/>
      <c r="F45" s="13"/>
      <c r="G45" s="13"/>
    </row>
    <row r="46" spans="1:8" ht="14.25" customHeight="1" x14ac:dyDescent="0.3"/>
    <row r="47" spans="1:8" ht="14.25" customHeight="1" x14ac:dyDescent="0.3"/>
    <row r="48" spans="1: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</sheetData>
  <mergeCells count="4">
    <mergeCell ref="A3:A34"/>
    <mergeCell ref="H3:H34"/>
    <mergeCell ref="A1:H1"/>
    <mergeCell ref="B4:B23"/>
  </mergeCells>
  <hyperlinks>
    <hyperlink ref="D31" r:id="rId1" xr:uid="{7642C060-2A47-43A9-B78B-00D506B5AF2D}"/>
    <hyperlink ref="D32:D34" r:id="rId2" display="SRT10KXLT" xr:uid="{32F6D423-A58E-4DF3-A6D2-F46B8445A034}"/>
    <hyperlink ref="C41" r:id="rId3" display="2 x Daikin DFC090" xr:uid="{E3CB7E25-1BD9-4DA7-A823-DE73C3F95716}"/>
    <hyperlink ref="C40" r:id="rId4" display="2 x Daikin DFC090" xr:uid="{8831B95F-DACD-43E2-9190-7E8A255DEFCD}"/>
    <hyperlink ref="A1:H1" r:id="rId5" display="Open Frame Server 58U Rack" xr:uid="{946BDF7E-AE90-4090-8761-C4282D076D48}"/>
  </hyperlinks>
  <pageMargins left="0.7" right="0.7" top="0.75" bottom="0.75" header="0" footer="0"/>
  <pageSetup orientation="landscape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00"/>
  <sheetViews>
    <sheetView topLeftCell="A27" workbookViewId="0">
      <selection activeCell="A2" sqref="A2"/>
    </sheetView>
  </sheetViews>
  <sheetFormatPr defaultColWidth="14.44140625" defaultRowHeight="15" customHeight="1" x14ac:dyDescent="0.3"/>
  <cols>
    <col min="1" max="2" width="8.6640625" customWidth="1"/>
    <col min="3" max="3" width="23.33203125" customWidth="1"/>
    <col min="4" max="4" width="29.77734375" customWidth="1"/>
    <col min="5" max="5" width="28.109375" customWidth="1"/>
    <col min="6" max="6" width="26.88671875" customWidth="1"/>
    <col min="7" max="26" width="8.6640625" customWidth="1"/>
  </cols>
  <sheetData>
    <row r="1" spans="1:8" ht="14.25" customHeight="1" thickBot="1" x14ac:dyDescent="0.35">
      <c r="A1" s="209" t="s">
        <v>306</v>
      </c>
      <c r="B1" s="209"/>
      <c r="C1" s="209"/>
      <c r="D1" s="209"/>
      <c r="E1" s="209"/>
      <c r="F1" s="209"/>
      <c r="G1" s="209"/>
      <c r="H1" s="209"/>
    </row>
    <row r="2" spans="1:8" ht="14.25" customHeight="1" thickBot="1" x14ac:dyDescent="0.35">
      <c r="A2" s="211" t="s">
        <v>131</v>
      </c>
      <c r="B2" s="180" t="s">
        <v>132</v>
      </c>
      <c r="C2" s="212" t="s">
        <v>133</v>
      </c>
      <c r="D2" s="212" t="s">
        <v>134</v>
      </c>
      <c r="E2" s="212" t="s">
        <v>135</v>
      </c>
      <c r="F2" s="212" t="s">
        <v>290</v>
      </c>
      <c r="G2" s="213" t="s">
        <v>288</v>
      </c>
      <c r="H2" s="214" t="s">
        <v>131</v>
      </c>
    </row>
    <row r="3" spans="1:8" ht="14.25" customHeight="1" thickBot="1" x14ac:dyDescent="0.35">
      <c r="A3" s="183" t="s">
        <v>136</v>
      </c>
      <c r="B3" s="182">
        <v>1</v>
      </c>
      <c r="C3" s="215" t="s">
        <v>296</v>
      </c>
      <c r="D3" s="215" t="s">
        <v>295</v>
      </c>
      <c r="E3" s="215">
        <v>72</v>
      </c>
      <c r="F3" s="215"/>
      <c r="G3" s="216"/>
      <c r="H3" s="183" t="s">
        <v>136</v>
      </c>
    </row>
    <row r="4" spans="1:8" ht="14.25" customHeight="1" x14ac:dyDescent="0.3">
      <c r="A4" s="181"/>
      <c r="B4" s="280">
        <v>13</v>
      </c>
      <c r="C4" s="210" t="s">
        <v>281</v>
      </c>
      <c r="D4" s="217" t="s">
        <v>197</v>
      </c>
      <c r="E4" s="217"/>
      <c r="F4" s="218"/>
      <c r="G4" s="270"/>
      <c r="H4" s="181"/>
    </row>
    <row r="5" spans="1:8" ht="14.25" customHeight="1" x14ac:dyDescent="0.3">
      <c r="A5" s="181"/>
      <c r="B5" s="281"/>
      <c r="C5" s="219" t="s">
        <v>282</v>
      </c>
      <c r="D5" s="219" t="str">
        <f>'Tech Stack'!B52</f>
        <v>C9400-SUP-1XL</v>
      </c>
      <c r="E5" s="219">
        <v>2</v>
      </c>
      <c r="F5" s="219">
        <v>-350</v>
      </c>
      <c r="G5" s="271">
        <f>ABS(F5)*3.41</f>
        <v>1193.5</v>
      </c>
      <c r="H5" s="181"/>
    </row>
    <row r="6" spans="1:8" ht="14.25" customHeight="1" x14ac:dyDescent="0.3">
      <c r="A6" s="181"/>
      <c r="B6" s="281"/>
      <c r="C6" s="219" t="s">
        <v>282</v>
      </c>
      <c r="D6" s="219"/>
      <c r="E6" s="219"/>
      <c r="F6" s="219"/>
      <c r="G6" s="271">
        <f t="shared" ref="G6:G23" si="0">ABS(F6)*3.41</f>
        <v>0</v>
      </c>
      <c r="H6" s="181"/>
    </row>
    <row r="7" spans="1:8" ht="14.25" customHeight="1" x14ac:dyDescent="0.3">
      <c r="A7" s="181"/>
      <c r="B7" s="281"/>
      <c r="C7" s="219" t="s">
        <v>283</v>
      </c>
      <c r="D7" s="219" t="str">
        <f>'Tech Stack'!B56</f>
        <v>C9400-LC-12QC (12x40GE)</v>
      </c>
      <c r="E7" s="219">
        <v>12</v>
      </c>
      <c r="F7" s="219">
        <v>-280</v>
      </c>
      <c r="G7" s="271">
        <f t="shared" si="0"/>
        <v>954.80000000000007</v>
      </c>
      <c r="H7" s="181"/>
    </row>
    <row r="8" spans="1:8" ht="14.25" customHeight="1" x14ac:dyDescent="0.3">
      <c r="A8" s="181"/>
      <c r="B8" s="281"/>
      <c r="C8" s="219" t="s">
        <v>284</v>
      </c>
      <c r="D8" s="219" t="str">
        <f>'Tech Stack'!B53</f>
        <v>C9400-LC-48P</v>
      </c>
      <c r="E8" s="219">
        <v>48</v>
      </c>
      <c r="F8" s="219">
        <f>-(E8*30+65)</f>
        <v>-1505</v>
      </c>
      <c r="G8" s="271">
        <f>(ABS(F8)-E8*30)*3.41</f>
        <v>221.65</v>
      </c>
      <c r="H8" s="181"/>
    </row>
    <row r="9" spans="1:8" ht="14.25" customHeight="1" x14ac:dyDescent="0.3">
      <c r="A9" s="181"/>
      <c r="B9" s="281"/>
      <c r="C9" s="219" t="s">
        <v>284</v>
      </c>
      <c r="D9" s="219" t="str">
        <f>'Tech Stack'!B53</f>
        <v>C9400-LC-48P</v>
      </c>
      <c r="E9" s="219">
        <v>48</v>
      </c>
      <c r="F9" s="219">
        <f t="shared" ref="F9:F13" si="1">-(E9*30+65)</f>
        <v>-1505</v>
      </c>
      <c r="G9" s="271">
        <f t="shared" ref="G9:G13" si="2">(ABS(F9)-E9*30)*3.41</f>
        <v>221.65</v>
      </c>
      <c r="H9" s="181"/>
    </row>
    <row r="10" spans="1:8" ht="14.25" customHeight="1" x14ac:dyDescent="0.3">
      <c r="A10" s="181"/>
      <c r="B10" s="281"/>
      <c r="C10" s="219" t="s">
        <v>284</v>
      </c>
      <c r="D10" s="219" t="str">
        <f>'Tech Stack'!B53</f>
        <v>C9400-LC-48P</v>
      </c>
      <c r="E10" s="219">
        <v>48</v>
      </c>
      <c r="F10" s="219">
        <f t="shared" si="1"/>
        <v>-1505</v>
      </c>
      <c r="G10" s="271">
        <f t="shared" si="2"/>
        <v>221.65</v>
      </c>
      <c r="H10" s="181"/>
    </row>
    <row r="11" spans="1:8" ht="14.25" customHeight="1" x14ac:dyDescent="0.3">
      <c r="A11" s="181"/>
      <c r="B11" s="281"/>
      <c r="C11" s="219" t="s">
        <v>284</v>
      </c>
      <c r="D11" s="219" t="str">
        <f>'Tech Stack'!B53</f>
        <v>C9400-LC-48P</v>
      </c>
      <c r="E11" s="219">
        <v>48</v>
      </c>
      <c r="F11" s="219">
        <f t="shared" si="1"/>
        <v>-1505</v>
      </c>
      <c r="G11" s="271">
        <f t="shared" si="2"/>
        <v>221.65</v>
      </c>
      <c r="H11" s="181"/>
    </row>
    <row r="12" spans="1:8" ht="14.25" customHeight="1" x14ac:dyDescent="0.3">
      <c r="A12" s="181"/>
      <c r="B12" s="281"/>
      <c r="C12" s="219" t="s">
        <v>284</v>
      </c>
      <c r="D12" s="219" t="str">
        <f>'Tech Stack'!B53</f>
        <v>C9400-LC-48P</v>
      </c>
      <c r="E12" s="219">
        <v>48</v>
      </c>
      <c r="F12" s="219">
        <f t="shared" si="1"/>
        <v>-1505</v>
      </c>
      <c r="G12" s="271">
        <f t="shared" si="2"/>
        <v>221.65</v>
      </c>
      <c r="H12" s="181"/>
    </row>
    <row r="13" spans="1:8" ht="14.25" customHeight="1" x14ac:dyDescent="0.3">
      <c r="A13" s="181"/>
      <c r="B13" s="281"/>
      <c r="C13" s="219" t="s">
        <v>285</v>
      </c>
      <c r="D13" s="219" t="str">
        <f>'Tech Stack'!B53</f>
        <v>C9400-LC-48P</v>
      </c>
      <c r="E13" s="219">
        <v>48</v>
      </c>
      <c r="F13" s="219">
        <f t="shared" si="1"/>
        <v>-1505</v>
      </c>
      <c r="G13" s="271">
        <f t="shared" si="2"/>
        <v>221.65</v>
      </c>
      <c r="H13" s="181"/>
    </row>
    <row r="14" spans="1:8" ht="14.25" customHeight="1" x14ac:dyDescent="0.3">
      <c r="A14" s="181"/>
      <c r="B14" s="281"/>
      <c r="C14" s="219" t="s">
        <v>286</v>
      </c>
      <c r="D14" s="219" t="str">
        <f>'Tech Stack'!B57</f>
        <v>C9400-LC-48UX</v>
      </c>
      <c r="E14" s="219">
        <v>48</v>
      </c>
      <c r="F14" s="219">
        <f>-(60*E14+70)</f>
        <v>-2950</v>
      </c>
      <c r="G14" s="271">
        <f>(ABS(F14)-E14*60)*3.41</f>
        <v>238.70000000000002</v>
      </c>
      <c r="H14" s="181"/>
    </row>
    <row r="15" spans="1:8" ht="14.25" customHeight="1" x14ac:dyDescent="0.3">
      <c r="A15" s="181"/>
      <c r="B15" s="281"/>
      <c r="C15" s="220" t="s">
        <v>287</v>
      </c>
      <c r="D15" s="221" t="s">
        <v>289</v>
      </c>
      <c r="E15" s="222"/>
      <c r="F15" s="223">
        <v>3200</v>
      </c>
      <c r="G15" s="272">
        <f t="shared" si="0"/>
        <v>10912</v>
      </c>
      <c r="H15" s="181"/>
    </row>
    <row r="16" spans="1:8" ht="14.25" customHeight="1" x14ac:dyDescent="0.3">
      <c r="A16" s="181"/>
      <c r="B16" s="281"/>
      <c r="C16" s="220" t="s">
        <v>287</v>
      </c>
      <c r="D16" s="224" t="s">
        <v>289</v>
      </c>
      <c r="E16" s="222"/>
      <c r="F16" s="225">
        <v>3200</v>
      </c>
      <c r="G16" s="273">
        <f t="shared" si="0"/>
        <v>10912</v>
      </c>
      <c r="H16" s="181"/>
    </row>
    <row r="17" spans="1:8" ht="14.25" customHeight="1" x14ac:dyDescent="0.3">
      <c r="A17" s="181"/>
      <c r="B17" s="281"/>
      <c r="C17" s="220" t="s">
        <v>287</v>
      </c>
      <c r="D17" s="224" t="s">
        <v>289</v>
      </c>
      <c r="E17" s="222"/>
      <c r="F17" s="225">
        <v>3200</v>
      </c>
      <c r="G17" s="273">
        <f t="shared" si="0"/>
        <v>10912</v>
      </c>
      <c r="H17" s="181"/>
    </row>
    <row r="18" spans="1:8" ht="14.25" customHeight="1" x14ac:dyDescent="0.3">
      <c r="A18" s="181"/>
      <c r="B18" s="281"/>
      <c r="C18" s="220" t="s">
        <v>287</v>
      </c>
      <c r="D18" s="224" t="s">
        <v>289</v>
      </c>
      <c r="E18" s="226"/>
      <c r="F18" s="225">
        <v>3200</v>
      </c>
      <c r="G18" s="273">
        <f t="shared" si="0"/>
        <v>10912</v>
      </c>
      <c r="H18" s="181"/>
    </row>
    <row r="19" spans="1:8" ht="14.25" customHeight="1" x14ac:dyDescent="0.3">
      <c r="A19" s="181"/>
      <c r="B19" s="281"/>
      <c r="C19" s="220" t="s">
        <v>287</v>
      </c>
      <c r="D19" s="224" t="s">
        <v>289</v>
      </c>
      <c r="E19" s="226"/>
      <c r="F19" s="225">
        <v>3200</v>
      </c>
      <c r="G19" s="273">
        <f t="shared" si="0"/>
        <v>10912</v>
      </c>
      <c r="H19" s="181"/>
    </row>
    <row r="20" spans="1:8" ht="14.25" customHeight="1" x14ac:dyDescent="0.3">
      <c r="A20" s="181"/>
      <c r="B20" s="281"/>
      <c r="C20" s="220" t="s">
        <v>287</v>
      </c>
      <c r="D20" s="224" t="s">
        <v>289</v>
      </c>
      <c r="E20" s="226"/>
      <c r="F20" s="225">
        <v>3200</v>
      </c>
      <c r="G20" s="273">
        <f t="shared" si="0"/>
        <v>10912</v>
      </c>
      <c r="H20" s="181"/>
    </row>
    <row r="21" spans="1:8" ht="14.25" customHeight="1" x14ac:dyDescent="0.3">
      <c r="A21" s="181"/>
      <c r="B21" s="281"/>
      <c r="C21" s="220" t="s">
        <v>287</v>
      </c>
      <c r="D21" s="224"/>
      <c r="E21" s="226"/>
      <c r="F21" s="225"/>
      <c r="G21" s="273">
        <f t="shared" si="0"/>
        <v>0</v>
      </c>
      <c r="H21" s="181"/>
    </row>
    <row r="22" spans="1:8" ht="14.25" customHeight="1" x14ac:dyDescent="0.3">
      <c r="A22" s="181"/>
      <c r="B22" s="281"/>
      <c r="C22" s="227" t="s">
        <v>287</v>
      </c>
      <c r="D22" s="228"/>
      <c r="E22" s="229"/>
      <c r="F22" s="230"/>
      <c r="G22" s="274">
        <f t="shared" si="0"/>
        <v>0</v>
      </c>
      <c r="H22" s="181"/>
    </row>
    <row r="23" spans="1:8" ht="14.25" customHeight="1" thickBot="1" x14ac:dyDescent="0.35">
      <c r="A23" s="181"/>
      <c r="B23" s="282"/>
      <c r="C23" s="231" t="s">
        <v>294</v>
      </c>
      <c r="D23" s="231" t="s">
        <v>291</v>
      </c>
      <c r="E23" s="231"/>
      <c r="F23" s="231">
        <v>600</v>
      </c>
      <c r="G23" s="260">
        <f t="shared" si="0"/>
        <v>2046</v>
      </c>
      <c r="H23" s="181"/>
    </row>
    <row r="24" spans="1:8" ht="14.25" customHeight="1" x14ac:dyDescent="0.3">
      <c r="A24" s="184"/>
      <c r="B24" s="298">
        <v>2</v>
      </c>
      <c r="C24" s="232" t="s">
        <v>298</v>
      </c>
      <c r="D24" s="233" t="s">
        <v>297</v>
      </c>
      <c r="E24" s="234">
        <v>48</v>
      </c>
      <c r="F24" s="234"/>
      <c r="G24" s="235"/>
      <c r="H24" s="181"/>
    </row>
    <row r="25" spans="1:8" ht="14.25" customHeight="1" x14ac:dyDescent="0.3">
      <c r="A25" s="184"/>
      <c r="B25" s="185">
        <v>2</v>
      </c>
      <c r="C25" s="236" t="s">
        <v>298</v>
      </c>
      <c r="D25" s="237" t="s">
        <v>297</v>
      </c>
      <c r="E25" s="238">
        <v>48</v>
      </c>
      <c r="F25" s="239"/>
      <c r="G25" s="240"/>
      <c r="H25" s="181"/>
    </row>
    <row r="26" spans="1:8" ht="14.25" customHeight="1" x14ac:dyDescent="0.3">
      <c r="A26" s="184"/>
      <c r="B26" s="185">
        <v>2</v>
      </c>
      <c r="C26" s="236" t="s">
        <v>298</v>
      </c>
      <c r="D26" s="237" t="s">
        <v>297</v>
      </c>
      <c r="E26" s="238">
        <v>48</v>
      </c>
      <c r="F26" s="239"/>
      <c r="G26" s="240"/>
      <c r="H26" s="181"/>
    </row>
    <row r="27" spans="1:8" ht="14.25" customHeight="1" x14ac:dyDescent="0.3">
      <c r="A27" s="184"/>
      <c r="B27" s="185">
        <v>2</v>
      </c>
      <c r="C27" s="236" t="s">
        <v>298</v>
      </c>
      <c r="D27" s="237" t="s">
        <v>297</v>
      </c>
      <c r="E27" s="238">
        <v>48</v>
      </c>
      <c r="F27" s="239"/>
      <c r="G27" s="240"/>
      <c r="H27" s="181"/>
    </row>
    <row r="28" spans="1:8" ht="14.25" customHeight="1" x14ac:dyDescent="0.3">
      <c r="A28" s="184"/>
      <c r="B28" s="185">
        <v>2</v>
      </c>
      <c r="C28" s="215" t="s">
        <v>298</v>
      </c>
      <c r="D28" s="241" t="s">
        <v>297</v>
      </c>
      <c r="E28" s="242">
        <v>48</v>
      </c>
      <c r="F28" s="243"/>
      <c r="G28" s="244"/>
      <c r="H28" s="181"/>
    </row>
    <row r="29" spans="1:8" ht="14.25" customHeight="1" x14ac:dyDescent="0.3">
      <c r="A29" s="184"/>
      <c r="B29" s="185">
        <v>2</v>
      </c>
      <c r="C29" s="245" t="s">
        <v>298</v>
      </c>
      <c r="D29" s="245" t="s">
        <v>297</v>
      </c>
      <c r="E29" s="245">
        <v>48</v>
      </c>
      <c r="F29" s="245"/>
      <c r="G29" s="246"/>
      <c r="H29" s="181"/>
    </row>
    <row r="30" spans="1:8" ht="14.25" customHeight="1" thickBot="1" x14ac:dyDescent="0.35">
      <c r="A30" s="184"/>
      <c r="B30" s="299">
        <v>2</v>
      </c>
      <c r="C30" s="247" t="s">
        <v>298</v>
      </c>
      <c r="D30" s="247" t="s">
        <v>297</v>
      </c>
      <c r="E30" s="247">
        <v>48</v>
      </c>
      <c r="F30" s="247"/>
      <c r="G30" s="248"/>
      <c r="H30" s="181"/>
    </row>
    <row r="31" spans="1:8" ht="14.25" customHeight="1" x14ac:dyDescent="0.3">
      <c r="A31" s="181"/>
      <c r="B31" s="294">
        <v>6</v>
      </c>
      <c r="C31" s="295" t="s">
        <v>300</v>
      </c>
      <c r="D31" s="296" t="s">
        <v>302</v>
      </c>
      <c r="E31" s="295"/>
      <c r="F31" s="295">
        <v>10000</v>
      </c>
      <c r="G31" s="297">
        <v>2450</v>
      </c>
      <c r="H31" s="181"/>
    </row>
    <row r="32" spans="1:8" ht="14.25" customHeight="1" x14ac:dyDescent="0.3">
      <c r="A32" s="181"/>
      <c r="B32" s="194">
        <v>6</v>
      </c>
      <c r="C32" s="261" t="s">
        <v>300</v>
      </c>
      <c r="D32" s="264" t="s">
        <v>302</v>
      </c>
      <c r="E32" s="261"/>
      <c r="F32" s="261">
        <v>10000</v>
      </c>
      <c r="G32" s="263">
        <v>2450</v>
      </c>
      <c r="H32" s="181"/>
    </row>
    <row r="33" spans="1:8" ht="14.25" customHeight="1" x14ac:dyDescent="0.3">
      <c r="A33" s="181"/>
      <c r="B33" s="194">
        <v>6</v>
      </c>
      <c r="C33" s="261" t="s">
        <v>300</v>
      </c>
      <c r="D33" s="264" t="s">
        <v>302</v>
      </c>
      <c r="E33" s="261"/>
      <c r="F33" s="261">
        <v>10000</v>
      </c>
      <c r="G33" s="263">
        <v>2450</v>
      </c>
      <c r="H33" s="181"/>
    </row>
    <row r="34" spans="1:8" ht="14.25" customHeight="1" thickBot="1" x14ac:dyDescent="0.35">
      <c r="A34" s="191"/>
      <c r="B34" s="194">
        <v>6</v>
      </c>
      <c r="C34" s="261" t="s">
        <v>300</v>
      </c>
      <c r="D34" s="264" t="s">
        <v>302</v>
      </c>
      <c r="E34" s="261"/>
      <c r="F34" s="261">
        <v>10000</v>
      </c>
      <c r="G34" s="263">
        <v>2450</v>
      </c>
      <c r="H34" s="191"/>
    </row>
    <row r="35" spans="1:8" ht="14.25" customHeight="1" thickBot="1" x14ac:dyDescent="0.35">
      <c r="A35" s="265" t="s">
        <v>138</v>
      </c>
      <c r="B35" s="192">
        <f>SUM(B4:B34)</f>
        <v>51</v>
      </c>
      <c r="C35" s="266"/>
      <c r="D35" s="266"/>
      <c r="E35" s="266"/>
      <c r="F35" s="266">
        <f>SUM(F5:F34)</f>
        <v>47190</v>
      </c>
      <c r="G35" s="266">
        <f>SUM(G4:G34)</f>
        <v>81034.899999999994</v>
      </c>
      <c r="H35" s="267"/>
    </row>
    <row r="36" spans="1:8" ht="14.25" customHeight="1" x14ac:dyDescent="0.3">
      <c r="B36" s="193"/>
      <c r="C36" s="193"/>
      <c r="D36" s="193"/>
      <c r="E36" s="268" t="s">
        <v>301</v>
      </c>
      <c r="F36" s="268">
        <f>SUM(F15:F23)</f>
        <v>19800</v>
      </c>
      <c r="G36" s="193"/>
    </row>
    <row r="37" spans="1:8" ht="14.25" customHeight="1" x14ac:dyDescent="0.3">
      <c r="B37" s="193"/>
      <c r="C37" s="193"/>
      <c r="D37" s="193"/>
      <c r="E37" s="269" t="s">
        <v>303</v>
      </c>
      <c r="F37" s="269">
        <f>SUM(F31:F34)</f>
        <v>40000</v>
      </c>
      <c r="G37" s="193"/>
    </row>
    <row r="38" spans="1:8" ht="14.25" customHeight="1" x14ac:dyDescent="0.3">
      <c r="B38" s="30"/>
      <c r="E38" s="196"/>
      <c r="G38" s="195"/>
    </row>
    <row r="39" spans="1:8" ht="14.25" customHeight="1" thickBot="1" x14ac:dyDescent="0.35">
      <c r="D39" s="20" t="s">
        <v>139</v>
      </c>
      <c r="E39" s="20" t="s">
        <v>140</v>
      </c>
    </row>
    <row r="40" spans="1:8" ht="14.25" customHeight="1" thickBot="1" x14ac:dyDescent="0.35">
      <c r="B40" s="197" t="s">
        <v>141</v>
      </c>
      <c r="C40" s="198" t="s">
        <v>304</v>
      </c>
      <c r="D40" s="199">
        <v>12000</v>
      </c>
      <c r="E40" s="200">
        <v>86000</v>
      </c>
    </row>
    <row r="41" spans="1:8" ht="14.25" customHeight="1" thickBot="1" x14ac:dyDescent="0.35">
      <c r="B41" s="201" t="s">
        <v>142</v>
      </c>
      <c r="C41" s="202" t="s">
        <v>304</v>
      </c>
      <c r="D41" s="199">
        <v>12000</v>
      </c>
      <c r="E41" s="203">
        <v>86000</v>
      </c>
    </row>
    <row r="42" spans="1:8" ht="14.25" customHeight="1" x14ac:dyDescent="0.3">
      <c r="C42" s="21" t="s">
        <v>138</v>
      </c>
      <c r="D42" s="21">
        <f t="shared" ref="D42:E42" si="3">SUM(D40:D41)</f>
        <v>24000</v>
      </c>
      <c r="E42" s="21">
        <f t="shared" si="3"/>
        <v>172000</v>
      </c>
    </row>
    <row r="43" spans="1:8" ht="14.25" customHeight="1" x14ac:dyDescent="0.3">
      <c r="B43" s="30"/>
      <c r="E43" s="13"/>
      <c r="F43" s="13"/>
      <c r="G43" s="13"/>
    </row>
    <row r="44" spans="1:8" ht="14.25" customHeight="1" x14ac:dyDescent="0.3">
      <c r="B44" s="204" t="s">
        <v>143</v>
      </c>
      <c r="C44" s="205">
        <f>SUM('Tech Stack'!B42:E42)</f>
        <v>280</v>
      </c>
      <c r="E44" s="22"/>
      <c r="F44" s="13"/>
      <c r="G44" s="13"/>
    </row>
    <row r="45" spans="1:8" ht="14.25" customHeight="1" x14ac:dyDescent="0.3">
      <c r="B45" s="206" t="s">
        <v>144</v>
      </c>
      <c r="C45" s="207">
        <f>COUNTIF(C2:C35,"UTP Patch Panel")*48</f>
        <v>336</v>
      </c>
      <c r="E45" s="13"/>
      <c r="F45" s="13"/>
      <c r="G45" s="13"/>
    </row>
    <row r="46" spans="1:8" ht="14.25" customHeight="1" x14ac:dyDescent="0.3"/>
    <row r="47" spans="1:8" ht="14.25" customHeight="1" x14ac:dyDescent="0.3"/>
    <row r="48" spans="1:8" ht="14.25" customHeight="1" x14ac:dyDescent="0.3"/>
    <row r="49" customFormat="1" ht="14.25" customHeight="1" x14ac:dyDescent="0.3"/>
    <row r="50" customFormat="1" ht="14.25" customHeight="1" x14ac:dyDescent="0.3"/>
    <row r="51" customFormat="1" ht="14.25" customHeight="1" x14ac:dyDescent="0.3"/>
    <row r="52" customFormat="1" ht="14.25" customHeight="1" x14ac:dyDescent="0.3"/>
    <row r="53" customFormat="1" ht="14.25" customHeight="1" x14ac:dyDescent="0.3"/>
    <row r="54" customFormat="1" ht="14.25" customHeight="1" x14ac:dyDescent="0.3"/>
    <row r="55" customFormat="1" ht="14.25" customHeight="1" x14ac:dyDescent="0.3"/>
    <row r="56" customFormat="1" ht="14.25" customHeight="1" x14ac:dyDescent="0.3"/>
    <row r="57" customFormat="1" ht="14.25" customHeight="1" x14ac:dyDescent="0.3"/>
    <row r="58" customFormat="1" ht="14.25" customHeight="1" x14ac:dyDescent="0.3"/>
    <row r="59" customFormat="1" ht="14.25" customHeight="1" x14ac:dyDescent="0.3"/>
    <row r="60" customFormat="1" ht="14.25" customHeight="1" x14ac:dyDescent="0.3"/>
    <row r="61" customFormat="1" ht="14.25" customHeight="1" x14ac:dyDescent="0.3"/>
    <row r="62" customFormat="1" ht="14.25" customHeight="1" x14ac:dyDescent="0.3"/>
    <row r="63" customFormat="1" ht="14.25" customHeight="1" x14ac:dyDescent="0.3"/>
    <row r="64" customFormat="1" ht="14.25" customHeight="1" x14ac:dyDescent="0.3"/>
    <row r="65" customFormat="1" ht="14.25" customHeight="1" x14ac:dyDescent="0.3"/>
    <row r="66" customFormat="1" ht="14.25" customHeight="1" x14ac:dyDescent="0.3"/>
    <row r="67" customFormat="1" ht="14.25" customHeight="1" x14ac:dyDescent="0.3"/>
    <row r="68" customFormat="1" ht="14.25" customHeight="1" x14ac:dyDescent="0.3"/>
    <row r="69" customFormat="1" ht="14.25" customHeight="1" x14ac:dyDescent="0.3"/>
    <row r="70" customFormat="1" ht="14.25" customHeight="1" x14ac:dyDescent="0.3"/>
    <row r="71" customFormat="1" ht="14.25" customHeight="1" x14ac:dyDescent="0.3"/>
    <row r="72" customFormat="1" ht="14.25" customHeight="1" x14ac:dyDescent="0.3"/>
    <row r="73" customFormat="1" ht="14.25" customHeight="1" x14ac:dyDescent="0.3"/>
    <row r="74" customFormat="1" ht="14.25" customHeight="1" x14ac:dyDescent="0.3"/>
    <row r="75" customFormat="1" ht="14.25" customHeight="1" x14ac:dyDescent="0.3"/>
    <row r="76" customFormat="1" ht="14.25" customHeight="1" x14ac:dyDescent="0.3"/>
    <row r="77" customFormat="1" ht="14.25" customHeight="1" x14ac:dyDescent="0.3"/>
    <row r="78" customFormat="1" ht="14.25" customHeight="1" x14ac:dyDescent="0.3"/>
    <row r="79" customFormat="1" ht="14.25" customHeight="1" x14ac:dyDescent="0.3"/>
    <row r="80" customFormat="1" ht="14.25" customHeight="1" x14ac:dyDescent="0.3"/>
    <row r="81" customFormat="1" ht="14.25" customHeight="1" x14ac:dyDescent="0.3"/>
    <row r="82" customFormat="1" ht="14.25" customHeight="1" x14ac:dyDescent="0.3"/>
    <row r="83" customFormat="1" ht="14.25" customHeight="1" x14ac:dyDescent="0.3"/>
    <row r="84" customFormat="1" ht="14.25" customHeight="1" x14ac:dyDescent="0.3"/>
    <row r="85" customFormat="1" ht="14.25" customHeight="1" x14ac:dyDescent="0.3"/>
    <row r="86" customFormat="1" ht="14.25" customHeight="1" x14ac:dyDescent="0.3"/>
    <row r="87" customFormat="1" ht="14.25" customHeight="1" x14ac:dyDescent="0.3"/>
    <row r="88" customFormat="1" ht="14.25" customHeight="1" x14ac:dyDescent="0.3"/>
    <row r="89" customFormat="1" ht="14.25" customHeight="1" x14ac:dyDescent="0.3"/>
    <row r="90" customFormat="1" ht="14.25" customHeight="1" x14ac:dyDescent="0.3"/>
    <row r="91" customFormat="1" ht="14.25" customHeight="1" x14ac:dyDescent="0.3"/>
    <row r="92" customFormat="1" ht="14.25" customHeight="1" x14ac:dyDescent="0.3"/>
    <row r="93" customFormat="1" ht="14.25" customHeight="1" x14ac:dyDescent="0.3"/>
    <row r="94" customFormat="1" ht="14.25" customHeight="1" x14ac:dyDescent="0.3"/>
    <row r="95" customFormat="1" ht="14.25" customHeight="1" x14ac:dyDescent="0.3"/>
    <row r="96" customFormat="1" ht="14.25" customHeight="1" x14ac:dyDescent="0.3"/>
    <row r="97" customFormat="1" ht="14.25" customHeight="1" x14ac:dyDescent="0.3"/>
    <row r="98" customFormat="1" ht="14.25" customHeight="1" x14ac:dyDescent="0.3"/>
    <row r="99" customFormat="1" ht="14.25" customHeight="1" x14ac:dyDescent="0.3"/>
    <row r="100" customFormat="1" ht="14.25" customHeight="1" x14ac:dyDescent="0.3"/>
    <row r="101" customFormat="1" ht="14.25" customHeight="1" x14ac:dyDescent="0.3"/>
    <row r="102" customFormat="1" ht="14.25" customHeight="1" x14ac:dyDescent="0.3"/>
    <row r="103" customFormat="1" ht="14.25" customHeight="1" x14ac:dyDescent="0.3"/>
    <row r="104" customFormat="1" ht="14.25" customHeight="1" x14ac:dyDescent="0.3"/>
    <row r="105" customFormat="1" ht="14.25" customHeight="1" x14ac:dyDescent="0.3"/>
    <row r="106" customFormat="1" ht="14.25" customHeight="1" x14ac:dyDescent="0.3"/>
    <row r="107" customFormat="1" ht="14.25" customHeight="1" x14ac:dyDescent="0.3"/>
    <row r="108" customFormat="1" ht="14.25" customHeight="1" x14ac:dyDescent="0.3"/>
    <row r="109" customFormat="1" ht="14.25" customHeight="1" x14ac:dyDescent="0.3"/>
    <row r="110" customFormat="1" ht="14.25" customHeight="1" x14ac:dyDescent="0.3"/>
    <row r="111" customFormat="1" ht="14.25" customHeight="1" x14ac:dyDescent="0.3"/>
    <row r="112" customFormat="1" ht="14.25" customHeight="1" x14ac:dyDescent="0.3"/>
    <row r="113" customFormat="1" ht="14.25" customHeight="1" x14ac:dyDescent="0.3"/>
    <row r="114" customFormat="1" ht="14.25" customHeight="1" x14ac:dyDescent="0.3"/>
    <row r="115" customFormat="1" ht="14.25" customHeight="1" x14ac:dyDescent="0.3"/>
    <row r="116" customFormat="1" ht="14.25" customHeight="1" x14ac:dyDescent="0.3"/>
    <row r="117" customFormat="1" ht="14.25" customHeight="1" x14ac:dyDescent="0.3"/>
    <row r="118" customFormat="1" ht="14.25" customHeight="1" x14ac:dyDescent="0.3"/>
    <row r="119" customFormat="1" ht="14.25" customHeight="1" x14ac:dyDescent="0.3"/>
    <row r="120" customFormat="1" ht="14.25" customHeight="1" x14ac:dyDescent="0.3"/>
    <row r="121" customFormat="1" ht="14.25" customHeight="1" x14ac:dyDescent="0.3"/>
    <row r="122" customFormat="1" ht="14.25" customHeight="1" x14ac:dyDescent="0.3"/>
    <row r="123" customFormat="1" ht="14.25" customHeight="1" x14ac:dyDescent="0.3"/>
    <row r="124" customFormat="1" ht="14.25" customHeight="1" x14ac:dyDescent="0.3"/>
    <row r="125" customFormat="1" ht="14.25" customHeight="1" x14ac:dyDescent="0.3"/>
    <row r="126" customFormat="1" ht="14.25" customHeight="1" x14ac:dyDescent="0.3"/>
    <row r="127" customFormat="1" ht="14.25" customHeight="1" x14ac:dyDescent="0.3"/>
    <row r="128" customFormat="1" ht="14.25" customHeight="1" x14ac:dyDescent="0.3"/>
    <row r="129" customFormat="1" ht="14.25" customHeight="1" x14ac:dyDescent="0.3"/>
    <row r="130" customFormat="1" ht="14.25" customHeight="1" x14ac:dyDescent="0.3"/>
    <row r="131" customFormat="1" ht="14.25" customHeight="1" x14ac:dyDescent="0.3"/>
    <row r="132" customFormat="1" ht="14.25" customHeight="1" x14ac:dyDescent="0.3"/>
    <row r="133" customFormat="1" ht="14.25" customHeight="1" x14ac:dyDescent="0.3"/>
    <row r="134" customFormat="1" ht="14.25" customHeight="1" x14ac:dyDescent="0.3"/>
    <row r="135" customFormat="1" ht="14.25" customHeight="1" x14ac:dyDescent="0.3"/>
    <row r="136" customFormat="1" ht="14.25" customHeight="1" x14ac:dyDescent="0.3"/>
    <row r="137" customFormat="1" ht="14.25" customHeight="1" x14ac:dyDescent="0.3"/>
    <row r="138" customFormat="1" ht="14.25" customHeight="1" x14ac:dyDescent="0.3"/>
    <row r="139" customFormat="1" ht="14.25" customHeight="1" x14ac:dyDescent="0.3"/>
    <row r="140" customFormat="1" ht="14.25" customHeight="1" x14ac:dyDescent="0.3"/>
    <row r="141" customFormat="1" ht="14.25" customHeight="1" x14ac:dyDescent="0.3"/>
    <row r="142" customFormat="1" ht="14.25" customHeight="1" x14ac:dyDescent="0.3"/>
    <row r="143" customFormat="1" ht="14.25" customHeight="1" x14ac:dyDescent="0.3"/>
    <row r="144" customFormat="1" ht="14.25" customHeight="1" x14ac:dyDescent="0.3"/>
    <row r="145" customFormat="1" ht="14.25" customHeight="1" x14ac:dyDescent="0.3"/>
    <row r="146" customFormat="1" ht="14.25" customHeight="1" x14ac:dyDescent="0.3"/>
    <row r="147" customFormat="1" ht="14.25" customHeight="1" x14ac:dyDescent="0.3"/>
    <row r="148" customFormat="1" ht="14.25" customHeight="1" x14ac:dyDescent="0.3"/>
    <row r="149" customFormat="1" ht="14.25" customHeight="1" x14ac:dyDescent="0.3"/>
    <row r="150" customFormat="1" ht="14.25" customHeight="1" x14ac:dyDescent="0.3"/>
    <row r="151" customFormat="1" ht="14.25" customHeight="1" x14ac:dyDescent="0.3"/>
    <row r="152" customFormat="1" ht="14.25" customHeight="1" x14ac:dyDescent="0.3"/>
    <row r="153" customFormat="1" ht="14.25" customHeight="1" x14ac:dyDescent="0.3"/>
    <row r="154" customFormat="1" ht="14.25" customHeight="1" x14ac:dyDescent="0.3"/>
    <row r="155" customFormat="1" ht="14.25" customHeight="1" x14ac:dyDescent="0.3"/>
    <row r="156" customFormat="1" ht="14.25" customHeight="1" x14ac:dyDescent="0.3"/>
    <row r="157" customFormat="1" ht="14.25" customHeight="1" x14ac:dyDescent="0.3"/>
    <row r="158" customFormat="1" ht="14.25" customHeight="1" x14ac:dyDescent="0.3"/>
    <row r="159" customFormat="1" ht="14.25" customHeight="1" x14ac:dyDescent="0.3"/>
    <row r="160" customFormat="1" ht="14.25" customHeight="1" x14ac:dyDescent="0.3"/>
    <row r="161" customFormat="1" ht="14.25" customHeight="1" x14ac:dyDescent="0.3"/>
    <row r="162" customFormat="1" ht="14.25" customHeight="1" x14ac:dyDescent="0.3"/>
    <row r="163" customFormat="1" ht="14.25" customHeight="1" x14ac:dyDescent="0.3"/>
    <row r="164" customFormat="1" ht="14.25" customHeight="1" x14ac:dyDescent="0.3"/>
    <row r="165" customFormat="1" ht="14.25" customHeight="1" x14ac:dyDescent="0.3"/>
    <row r="166" customFormat="1" ht="14.25" customHeight="1" x14ac:dyDescent="0.3"/>
    <row r="167" customFormat="1" ht="14.25" customHeight="1" x14ac:dyDescent="0.3"/>
    <row r="168" customFormat="1" ht="14.25" customHeight="1" x14ac:dyDescent="0.3"/>
    <row r="169" customFormat="1" ht="14.25" customHeight="1" x14ac:dyDescent="0.3"/>
    <row r="170" customFormat="1" ht="14.25" customHeight="1" x14ac:dyDescent="0.3"/>
    <row r="171" customFormat="1" ht="14.25" customHeight="1" x14ac:dyDescent="0.3"/>
    <row r="172" customFormat="1" ht="14.25" customHeight="1" x14ac:dyDescent="0.3"/>
    <row r="173" customFormat="1" ht="14.25" customHeight="1" x14ac:dyDescent="0.3"/>
    <row r="174" customFormat="1" ht="14.25" customHeight="1" x14ac:dyDescent="0.3"/>
    <row r="175" customFormat="1" ht="14.25" customHeight="1" x14ac:dyDescent="0.3"/>
    <row r="176" customFormat="1" ht="14.25" customHeight="1" x14ac:dyDescent="0.3"/>
    <row r="177" customFormat="1" ht="14.25" customHeight="1" x14ac:dyDescent="0.3"/>
    <row r="178" customFormat="1" ht="14.25" customHeight="1" x14ac:dyDescent="0.3"/>
    <row r="179" customFormat="1" ht="14.25" customHeight="1" x14ac:dyDescent="0.3"/>
    <row r="180" customFormat="1" ht="14.25" customHeight="1" x14ac:dyDescent="0.3"/>
    <row r="181" customFormat="1" ht="14.25" customHeight="1" x14ac:dyDescent="0.3"/>
    <row r="182" customFormat="1" ht="14.25" customHeight="1" x14ac:dyDescent="0.3"/>
    <row r="183" customFormat="1" ht="14.25" customHeight="1" x14ac:dyDescent="0.3"/>
    <row r="184" customFormat="1" ht="14.25" customHeight="1" x14ac:dyDescent="0.3"/>
    <row r="185" customFormat="1" ht="14.25" customHeight="1" x14ac:dyDescent="0.3"/>
    <row r="186" customFormat="1" ht="14.25" customHeight="1" x14ac:dyDescent="0.3"/>
    <row r="187" customFormat="1" ht="14.25" customHeight="1" x14ac:dyDescent="0.3"/>
    <row r="188" customFormat="1" ht="14.25" customHeight="1" x14ac:dyDescent="0.3"/>
    <row r="189" customFormat="1" ht="14.25" customHeight="1" x14ac:dyDescent="0.3"/>
    <row r="190" customFormat="1" ht="14.25" customHeight="1" x14ac:dyDescent="0.3"/>
    <row r="191" customFormat="1" ht="14.25" customHeight="1" x14ac:dyDescent="0.3"/>
    <row r="192" customFormat="1" ht="14.25" customHeight="1" x14ac:dyDescent="0.3"/>
    <row r="193" customFormat="1" ht="14.25" customHeight="1" x14ac:dyDescent="0.3"/>
    <row r="194" customFormat="1" ht="14.25" customHeight="1" x14ac:dyDescent="0.3"/>
    <row r="195" customFormat="1" ht="14.25" customHeight="1" x14ac:dyDescent="0.3"/>
    <row r="196" customFormat="1" ht="14.25" customHeight="1" x14ac:dyDescent="0.3"/>
    <row r="197" customFormat="1" ht="14.25" customHeight="1" x14ac:dyDescent="0.3"/>
    <row r="198" customFormat="1" ht="14.25" customHeight="1" x14ac:dyDescent="0.3"/>
    <row r="199" customFormat="1" ht="14.25" customHeight="1" x14ac:dyDescent="0.3"/>
    <row r="200" customFormat="1" ht="14.25" customHeight="1" x14ac:dyDescent="0.3"/>
    <row r="201" customFormat="1" ht="14.25" customHeight="1" x14ac:dyDescent="0.3"/>
    <row r="202" customFormat="1" ht="14.25" customHeight="1" x14ac:dyDescent="0.3"/>
    <row r="203" customFormat="1" ht="14.25" customHeight="1" x14ac:dyDescent="0.3"/>
    <row r="204" customFormat="1" ht="14.25" customHeight="1" x14ac:dyDescent="0.3"/>
    <row r="205" customFormat="1" ht="14.25" customHeight="1" x14ac:dyDescent="0.3"/>
    <row r="206" customFormat="1" ht="14.25" customHeight="1" x14ac:dyDescent="0.3"/>
    <row r="207" customFormat="1" ht="14.25" customHeight="1" x14ac:dyDescent="0.3"/>
    <row r="208" customFormat="1" ht="14.25" customHeight="1" x14ac:dyDescent="0.3"/>
    <row r="209" customFormat="1" ht="14.25" customHeight="1" x14ac:dyDescent="0.3"/>
    <row r="210" customFormat="1" ht="14.25" customHeight="1" x14ac:dyDescent="0.3"/>
    <row r="211" customFormat="1" ht="14.25" customHeight="1" x14ac:dyDescent="0.3"/>
    <row r="212" customFormat="1" ht="14.25" customHeight="1" x14ac:dyDescent="0.3"/>
    <row r="213" customFormat="1" ht="14.25" customHeight="1" x14ac:dyDescent="0.3"/>
    <row r="214" customFormat="1" ht="14.25" customHeight="1" x14ac:dyDescent="0.3"/>
    <row r="215" customFormat="1" ht="14.25" customHeight="1" x14ac:dyDescent="0.3"/>
    <row r="216" customFormat="1" ht="14.25" customHeight="1" x14ac:dyDescent="0.3"/>
    <row r="217" customFormat="1" ht="14.25" customHeight="1" x14ac:dyDescent="0.3"/>
    <row r="218" customFormat="1" ht="14.25" customHeight="1" x14ac:dyDescent="0.3"/>
    <row r="219" customFormat="1" ht="14.25" customHeight="1" x14ac:dyDescent="0.3"/>
    <row r="220" customFormat="1" ht="14.25" customHeight="1" x14ac:dyDescent="0.3"/>
    <row r="221" customFormat="1" ht="14.25" customHeight="1" x14ac:dyDescent="0.3"/>
    <row r="222" customFormat="1" ht="14.25" customHeight="1" x14ac:dyDescent="0.3"/>
    <row r="223" customFormat="1" ht="14.25" customHeight="1" x14ac:dyDescent="0.3"/>
    <row r="224" customFormat="1" ht="14.25" customHeight="1" x14ac:dyDescent="0.3"/>
    <row r="225" customFormat="1" ht="14.25" customHeight="1" x14ac:dyDescent="0.3"/>
    <row r="226" customFormat="1" ht="14.25" customHeight="1" x14ac:dyDescent="0.3"/>
    <row r="227" customFormat="1" ht="14.25" customHeight="1" x14ac:dyDescent="0.3"/>
    <row r="228" customFormat="1" ht="14.25" customHeight="1" x14ac:dyDescent="0.3"/>
    <row r="229" customFormat="1" ht="14.25" customHeight="1" x14ac:dyDescent="0.3"/>
    <row r="230" customFormat="1" ht="14.25" customHeight="1" x14ac:dyDescent="0.3"/>
    <row r="231" customFormat="1" ht="14.25" customHeight="1" x14ac:dyDescent="0.3"/>
    <row r="232" customFormat="1" ht="14.25" customHeight="1" x14ac:dyDescent="0.3"/>
    <row r="233" customFormat="1" ht="14.25" customHeight="1" x14ac:dyDescent="0.3"/>
    <row r="234" customFormat="1" ht="14.25" customHeight="1" x14ac:dyDescent="0.3"/>
    <row r="235" customFormat="1" ht="14.25" customHeight="1" x14ac:dyDescent="0.3"/>
    <row r="236" customFormat="1" ht="14.25" customHeight="1" x14ac:dyDescent="0.3"/>
    <row r="237" customFormat="1" ht="14.25" customHeight="1" x14ac:dyDescent="0.3"/>
    <row r="238" customFormat="1" ht="14.25" customHeight="1" x14ac:dyDescent="0.3"/>
    <row r="239" customFormat="1" ht="14.25" customHeight="1" x14ac:dyDescent="0.3"/>
    <row r="240" customFormat="1" ht="14.25" customHeight="1" x14ac:dyDescent="0.3"/>
    <row r="241" customFormat="1" ht="14.25" customHeight="1" x14ac:dyDescent="0.3"/>
    <row r="242" customFormat="1" ht="14.25" customHeight="1" x14ac:dyDescent="0.3"/>
    <row r="243" customFormat="1" ht="14.25" customHeight="1" x14ac:dyDescent="0.3"/>
    <row r="244" customFormat="1" ht="14.25" customHeight="1" x14ac:dyDescent="0.3"/>
    <row r="245" customFormat="1" ht="14.25" customHeight="1" x14ac:dyDescent="0.3"/>
    <row r="246" customFormat="1" ht="14.25" customHeight="1" x14ac:dyDescent="0.3"/>
    <row r="247" customFormat="1" ht="14.25" customHeight="1" x14ac:dyDescent="0.3"/>
    <row r="248" customFormat="1" ht="14.25" customHeight="1" x14ac:dyDescent="0.3"/>
    <row r="249" customFormat="1" ht="14.25" customHeight="1" x14ac:dyDescent="0.3"/>
    <row r="250" customFormat="1" ht="14.25" customHeight="1" x14ac:dyDescent="0.3"/>
    <row r="251" customFormat="1" ht="14.25" customHeight="1" x14ac:dyDescent="0.3"/>
    <row r="252" customFormat="1" ht="14.25" customHeight="1" x14ac:dyDescent="0.3"/>
    <row r="253" customFormat="1" ht="14.25" customHeight="1" x14ac:dyDescent="0.3"/>
    <row r="254" customFormat="1" ht="14.25" customHeight="1" x14ac:dyDescent="0.3"/>
    <row r="255" customFormat="1" ht="14.25" customHeight="1" x14ac:dyDescent="0.3"/>
    <row r="256" customFormat="1" ht="14.25" customHeight="1" x14ac:dyDescent="0.3"/>
    <row r="257" customFormat="1" ht="14.25" customHeight="1" x14ac:dyDescent="0.3"/>
    <row r="258" customFormat="1" ht="14.25" customHeight="1" x14ac:dyDescent="0.3"/>
    <row r="259" customFormat="1" ht="14.25" customHeight="1" x14ac:dyDescent="0.3"/>
    <row r="260" customFormat="1" ht="14.25" customHeight="1" x14ac:dyDescent="0.3"/>
    <row r="261" customFormat="1" ht="14.25" customHeight="1" x14ac:dyDescent="0.3"/>
    <row r="262" customFormat="1" ht="14.25" customHeight="1" x14ac:dyDescent="0.3"/>
    <row r="263" customFormat="1" ht="14.25" customHeight="1" x14ac:dyDescent="0.3"/>
    <row r="264" customFormat="1" ht="14.25" customHeight="1" x14ac:dyDescent="0.3"/>
    <row r="265" customFormat="1" ht="14.25" customHeight="1" x14ac:dyDescent="0.3"/>
    <row r="266" customFormat="1" ht="14.25" customHeight="1" x14ac:dyDescent="0.3"/>
    <row r="267" customFormat="1" ht="14.25" customHeight="1" x14ac:dyDescent="0.3"/>
    <row r="268" customFormat="1" ht="14.25" customHeight="1" x14ac:dyDescent="0.3"/>
    <row r="269" customFormat="1" ht="14.25" customHeight="1" x14ac:dyDescent="0.3"/>
    <row r="270" customFormat="1" ht="14.25" customHeight="1" x14ac:dyDescent="0.3"/>
    <row r="271" customFormat="1" ht="14.25" customHeight="1" x14ac:dyDescent="0.3"/>
    <row r="272" customFormat="1" ht="14.25" customHeight="1" x14ac:dyDescent="0.3"/>
    <row r="273" customFormat="1" ht="14.25" customHeight="1" x14ac:dyDescent="0.3"/>
    <row r="274" customFormat="1" ht="14.25" customHeight="1" x14ac:dyDescent="0.3"/>
    <row r="275" customFormat="1" ht="14.25" customHeight="1" x14ac:dyDescent="0.3"/>
    <row r="276" customFormat="1" ht="14.25" customHeight="1" x14ac:dyDescent="0.3"/>
    <row r="277" customFormat="1" ht="14.25" customHeight="1" x14ac:dyDescent="0.3"/>
    <row r="278" customFormat="1" ht="14.25" customHeight="1" x14ac:dyDescent="0.3"/>
    <row r="279" customFormat="1" ht="14.25" customHeight="1" x14ac:dyDescent="0.3"/>
    <row r="280" customFormat="1" ht="14.25" customHeight="1" x14ac:dyDescent="0.3"/>
    <row r="281" customFormat="1" ht="14.25" customHeight="1" x14ac:dyDescent="0.3"/>
    <row r="282" customFormat="1" ht="14.25" customHeight="1" x14ac:dyDescent="0.3"/>
    <row r="283" customFormat="1" ht="14.25" customHeight="1" x14ac:dyDescent="0.3"/>
    <row r="284" customFormat="1" ht="14.25" customHeight="1" x14ac:dyDescent="0.3"/>
    <row r="285" customFormat="1" ht="14.25" customHeight="1" x14ac:dyDescent="0.3"/>
    <row r="286" customFormat="1" ht="14.25" customHeight="1" x14ac:dyDescent="0.3"/>
    <row r="287" customFormat="1" ht="14.25" customHeight="1" x14ac:dyDescent="0.3"/>
    <row r="288" customFormat="1" ht="14.25" customHeight="1" x14ac:dyDescent="0.3"/>
    <row r="289" customFormat="1" ht="14.25" customHeight="1" x14ac:dyDescent="0.3"/>
    <row r="290" customFormat="1" ht="14.25" customHeight="1" x14ac:dyDescent="0.3"/>
    <row r="291" customFormat="1" ht="14.25" customHeight="1" x14ac:dyDescent="0.3"/>
    <row r="292" customFormat="1" ht="14.25" customHeight="1" x14ac:dyDescent="0.3"/>
    <row r="293" customFormat="1" ht="14.25" customHeight="1" x14ac:dyDescent="0.3"/>
    <row r="294" customFormat="1" ht="14.25" customHeight="1" x14ac:dyDescent="0.3"/>
    <row r="295" customFormat="1" ht="14.25" customHeight="1" x14ac:dyDescent="0.3"/>
    <row r="296" customFormat="1" ht="14.25" customHeight="1" x14ac:dyDescent="0.3"/>
    <row r="297" customFormat="1" ht="14.25" customHeight="1" x14ac:dyDescent="0.3"/>
    <row r="298" customFormat="1" ht="14.25" customHeight="1" x14ac:dyDescent="0.3"/>
    <row r="299" customFormat="1" ht="14.25" customHeight="1" x14ac:dyDescent="0.3"/>
    <row r="300" customFormat="1" ht="14.25" customHeight="1" x14ac:dyDescent="0.3"/>
    <row r="301" customFormat="1" ht="14.25" customHeight="1" x14ac:dyDescent="0.3"/>
    <row r="302" customFormat="1" ht="14.25" customHeight="1" x14ac:dyDescent="0.3"/>
    <row r="303" customFormat="1" ht="14.25" customHeight="1" x14ac:dyDescent="0.3"/>
    <row r="304" customFormat="1" ht="14.25" customHeight="1" x14ac:dyDescent="0.3"/>
    <row r="305" customFormat="1" ht="14.25" customHeight="1" x14ac:dyDescent="0.3"/>
    <row r="306" customFormat="1" ht="14.25" customHeight="1" x14ac:dyDescent="0.3"/>
    <row r="307" customFormat="1" ht="14.25" customHeight="1" x14ac:dyDescent="0.3"/>
    <row r="308" customFormat="1" ht="14.25" customHeight="1" x14ac:dyDescent="0.3"/>
    <row r="309" customFormat="1" ht="14.25" customHeight="1" x14ac:dyDescent="0.3"/>
    <row r="310" customFormat="1" ht="14.25" customHeight="1" x14ac:dyDescent="0.3"/>
    <row r="311" customFormat="1" ht="14.25" customHeight="1" x14ac:dyDescent="0.3"/>
    <row r="312" customFormat="1" ht="14.25" customHeight="1" x14ac:dyDescent="0.3"/>
    <row r="313" customFormat="1" ht="14.25" customHeight="1" x14ac:dyDescent="0.3"/>
    <row r="314" customFormat="1" ht="14.25" customHeight="1" x14ac:dyDescent="0.3"/>
    <row r="315" customFormat="1" ht="14.25" customHeight="1" x14ac:dyDescent="0.3"/>
    <row r="316" customFormat="1" ht="14.25" customHeight="1" x14ac:dyDescent="0.3"/>
    <row r="317" customFormat="1" ht="14.25" customHeight="1" x14ac:dyDescent="0.3"/>
    <row r="318" customFormat="1" ht="14.25" customHeight="1" x14ac:dyDescent="0.3"/>
    <row r="319" customFormat="1" ht="14.25" customHeight="1" x14ac:dyDescent="0.3"/>
    <row r="320" customFormat="1" ht="14.25" customHeight="1" x14ac:dyDescent="0.3"/>
    <row r="321" customFormat="1" ht="14.25" customHeight="1" x14ac:dyDescent="0.3"/>
    <row r="322" customFormat="1" ht="14.25" customHeight="1" x14ac:dyDescent="0.3"/>
    <row r="323" customFormat="1" ht="14.25" customHeight="1" x14ac:dyDescent="0.3"/>
    <row r="324" customFormat="1" ht="14.25" customHeight="1" x14ac:dyDescent="0.3"/>
    <row r="325" customFormat="1" ht="14.25" customHeight="1" x14ac:dyDescent="0.3"/>
    <row r="326" customFormat="1" ht="14.25" customHeight="1" x14ac:dyDescent="0.3"/>
    <row r="327" customFormat="1" ht="14.25" customHeight="1" x14ac:dyDescent="0.3"/>
    <row r="328" customFormat="1" ht="14.25" customHeight="1" x14ac:dyDescent="0.3"/>
    <row r="329" customFormat="1" ht="14.25" customHeight="1" x14ac:dyDescent="0.3"/>
    <row r="330" customFormat="1" ht="14.25" customHeight="1" x14ac:dyDescent="0.3"/>
    <row r="331" customFormat="1" ht="14.25" customHeight="1" x14ac:dyDescent="0.3"/>
    <row r="332" customFormat="1" ht="14.25" customHeight="1" x14ac:dyDescent="0.3"/>
    <row r="333" customFormat="1" ht="14.25" customHeight="1" x14ac:dyDescent="0.3"/>
    <row r="334" customFormat="1" ht="14.25" customHeight="1" x14ac:dyDescent="0.3"/>
    <row r="335" customFormat="1" ht="14.25" customHeight="1" x14ac:dyDescent="0.3"/>
    <row r="336" customFormat="1" ht="14.25" customHeight="1" x14ac:dyDescent="0.3"/>
    <row r="337" customFormat="1" ht="14.25" customHeight="1" x14ac:dyDescent="0.3"/>
    <row r="338" customFormat="1" ht="14.25" customHeight="1" x14ac:dyDescent="0.3"/>
    <row r="339" customFormat="1" ht="14.25" customHeight="1" x14ac:dyDescent="0.3"/>
    <row r="340" customFormat="1" ht="14.25" customHeight="1" x14ac:dyDescent="0.3"/>
    <row r="341" customFormat="1" ht="14.25" customHeight="1" x14ac:dyDescent="0.3"/>
    <row r="342" customFormat="1" ht="14.25" customHeight="1" x14ac:dyDescent="0.3"/>
    <row r="343" customFormat="1" ht="14.25" customHeight="1" x14ac:dyDescent="0.3"/>
    <row r="344" customFormat="1" ht="14.25" customHeight="1" x14ac:dyDescent="0.3"/>
    <row r="345" customFormat="1" ht="14.25" customHeight="1" x14ac:dyDescent="0.3"/>
    <row r="346" customFormat="1" ht="14.25" customHeight="1" x14ac:dyDescent="0.3"/>
    <row r="347" customFormat="1" ht="14.25" customHeight="1" x14ac:dyDescent="0.3"/>
    <row r="348" customFormat="1" ht="14.25" customHeight="1" x14ac:dyDescent="0.3"/>
    <row r="349" customFormat="1" ht="14.25" customHeight="1" x14ac:dyDescent="0.3"/>
    <row r="350" customFormat="1" ht="14.25" customHeight="1" x14ac:dyDescent="0.3"/>
    <row r="351" customFormat="1" ht="14.25" customHeight="1" x14ac:dyDescent="0.3"/>
    <row r="352" customFormat="1" ht="14.25" customHeight="1" x14ac:dyDescent="0.3"/>
    <row r="353" customFormat="1" ht="14.25" customHeight="1" x14ac:dyDescent="0.3"/>
    <row r="354" customFormat="1" ht="14.25" customHeight="1" x14ac:dyDescent="0.3"/>
    <row r="355" customFormat="1" ht="14.25" customHeight="1" x14ac:dyDescent="0.3"/>
    <row r="356" customFormat="1" ht="14.25" customHeight="1" x14ac:dyDescent="0.3"/>
    <row r="357" customFormat="1" ht="14.25" customHeight="1" x14ac:dyDescent="0.3"/>
    <row r="358" customFormat="1" ht="14.25" customHeight="1" x14ac:dyDescent="0.3"/>
    <row r="359" customFormat="1" ht="14.25" customHeight="1" x14ac:dyDescent="0.3"/>
    <row r="360" customFormat="1" ht="14.25" customHeight="1" x14ac:dyDescent="0.3"/>
    <row r="361" customFormat="1" ht="14.25" customHeight="1" x14ac:dyDescent="0.3"/>
    <row r="362" customFormat="1" ht="14.25" customHeight="1" x14ac:dyDescent="0.3"/>
    <row r="363" customFormat="1" ht="14.25" customHeight="1" x14ac:dyDescent="0.3"/>
    <row r="364" customFormat="1" ht="14.25" customHeight="1" x14ac:dyDescent="0.3"/>
    <row r="365" customFormat="1" ht="14.25" customHeight="1" x14ac:dyDescent="0.3"/>
    <row r="366" customFormat="1" ht="14.25" customHeight="1" x14ac:dyDescent="0.3"/>
    <row r="367" customFormat="1" ht="14.25" customHeight="1" x14ac:dyDescent="0.3"/>
    <row r="368" customFormat="1" ht="14.25" customHeight="1" x14ac:dyDescent="0.3"/>
    <row r="369" customFormat="1" ht="14.25" customHeight="1" x14ac:dyDescent="0.3"/>
    <row r="370" customFormat="1" ht="14.25" customHeight="1" x14ac:dyDescent="0.3"/>
    <row r="371" customFormat="1" ht="14.25" customHeight="1" x14ac:dyDescent="0.3"/>
    <row r="372" customFormat="1" ht="14.25" customHeight="1" x14ac:dyDescent="0.3"/>
    <row r="373" customFormat="1" ht="14.25" customHeight="1" x14ac:dyDescent="0.3"/>
    <row r="374" customFormat="1" ht="14.25" customHeight="1" x14ac:dyDescent="0.3"/>
    <row r="375" customFormat="1" ht="14.25" customHeight="1" x14ac:dyDescent="0.3"/>
    <row r="376" customFormat="1" ht="14.25" customHeight="1" x14ac:dyDescent="0.3"/>
    <row r="377" customFormat="1" ht="14.25" customHeight="1" x14ac:dyDescent="0.3"/>
    <row r="378" customFormat="1" ht="14.25" customHeight="1" x14ac:dyDescent="0.3"/>
    <row r="379" customFormat="1" ht="14.25" customHeight="1" x14ac:dyDescent="0.3"/>
    <row r="380" customFormat="1" ht="14.25" customHeight="1" x14ac:dyDescent="0.3"/>
    <row r="381" customFormat="1" ht="14.25" customHeight="1" x14ac:dyDescent="0.3"/>
    <row r="382" customFormat="1" ht="14.25" customHeight="1" x14ac:dyDescent="0.3"/>
    <row r="383" customFormat="1" ht="14.25" customHeight="1" x14ac:dyDescent="0.3"/>
    <row r="384" customFormat="1" ht="14.25" customHeight="1" x14ac:dyDescent="0.3"/>
    <row r="385" customFormat="1" ht="14.25" customHeight="1" x14ac:dyDescent="0.3"/>
    <row r="386" customFormat="1" ht="14.25" customHeight="1" x14ac:dyDescent="0.3"/>
    <row r="387" customFormat="1" ht="14.25" customHeight="1" x14ac:dyDescent="0.3"/>
    <row r="388" customFormat="1" ht="14.25" customHeight="1" x14ac:dyDescent="0.3"/>
    <row r="389" customFormat="1" ht="14.25" customHeight="1" x14ac:dyDescent="0.3"/>
    <row r="390" customFormat="1" ht="14.25" customHeight="1" x14ac:dyDescent="0.3"/>
    <row r="391" customFormat="1" ht="14.25" customHeight="1" x14ac:dyDescent="0.3"/>
    <row r="392" customFormat="1" ht="14.25" customHeight="1" x14ac:dyDescent="0.3"/>
    <row r="393" customFormat="1" ht="14.25" customHeight="1" x14ac:dyDescent="0.3"/>
    <row r="394" customFormat="1" ht="14.25" customHeight="1" x14ac:dyDescent="0.3"/>
    <row r="395" customFormat="1" ht="14.25" customHeight="1" x14ac:dyDescent="0.3"/>
    <row r="396" customFormat="1" ht="14.25" customHeight="1" x14ac:dyDescent="0.3"/>
    <row r="397" customFormat="1" ht="14.25" customHeight="1" x14ac:dyDescent="0.3"/>
    <row r="398" customFormat="1" ht="14.25" customHeight="1" x14ac:dyDescent="0.3"/>
    <row r="399" customFormat="1" ht="14.25" customHeight="1" x14ac:dyDescent="0.3"/>
    <row r="400" customFormat="1" ht="14.25" customHeight="1" x14ac:dyDescent="0.3"/>
    <row r="401" customFormat="1" ht="14.25" customHeight="1" x14ac:dyDescent="0.3"/>
    <row r="402" customFormat="1" ht="14.25" customHeight="1" x14ac:dyDescent="0.3"/>
    <row r="403" customFormat="1" ht="14.25" customHeight="1" x14ac:dyDescent="0.3"/>
    <row r="404" customFormat="1" ht="14.25" customHeight="1" x14ac:dyDescent="0.3"/>
    <row r="405" customFormat="1" ht="14.25" customHeight="1" x14ac:dyDescent="0.3"/>
    <row r="406" customFormat="1" ht="14.25" customHeight="1" x14ac:dyDescent="0.3"/>
    <row r="407" customFormat="1" ht="14.25" customHeight="1" x14ac:dyDescent="0.3"/>
    <row r="408" customFormat="1" ht="14.25" customHeight="1" x14ac:dyDescent="0.3"/>
    <row r="409" customFormat="1" ht="14.25" customHeight="1" x14ac:dyDescent="0.3"/>
    <row r="410" customFormat="1" ht="14.25" customHeight="1" x14ac:dyDescent="0.3"/>
    <row r="411" customFormat="1" ht="14.25" customHeight="1" x14ac:dyDescent="0.3"/>
    <row r="412" customFormat="1" ht="14.25" customHeight="1" x14ac:dyDescent="0.3"/>
    <row r="413" customFormat="1" ht="14.25" customHeight="1" x14ac:dyDescent="0.3"/>
    <row r="414" customFormat="1" ht="14.25" customHeight="1" x14ac:dyDescent="0.3"/>
    <row r="415" customFormat="1" ht="14.25" customHeight="1" x14ac:dyDescent="0.3"/>
    <row r="416" customFormat="1" ht="14.25" customHeight="1" x14ac:dyDescent="0.3"/>
    <row r="417" customFormat="1" ht="14.25" customHeight="1" x14ac:dyDescent="0.3"/>
    <row r="418" customFormat="1" ht="14.25" customHeight="1" x14ac:dyDescent="0.3"/>
    <row r="419" customFormat="1" ht="14.25" customHeight="1" x14ac:dyDescent="0.3"/>
    <row r="420" customFormat="1" ht="14.25" customHeight="1" x14ac:dyDescent="0.3"/>
    <row r="421" customFormat="1" ht="14.25" customHeight="1" x14ac:dyDescent="0.3"/>
    <row r="422" customFormat="1" ht="14.25" customHeight="1" x14ac:dyDescent="0.3"/>
    <row r="423" customFormat="1" ht="14.25" customHeight="1" x14ac:dyDescent="0.3"/>
    <row r="424" customFormat="1" ht="14.25" customHeight="1" x14ac:dyDescent="0.3"/>
    <row r="425" customFormat="1" ht="14.25" customHeight="1" x14ac:dyDescent="0.3"/>
    <row r="426" customFormat="1" ht="14.25" customHeight="1" x14ac:dyDescent="0.3"/>
    <row r="427" customFormat="1" ht="14.25" customHeight="1" x14ac:dyDescent="0.3"/>
    <row r="428" customFormat="1" ht="14.25" customHeight="1" x14ac:dyDescent="0.3"/>
    <row r="429" customFormat="1" ht="14.25" customHeight="1" x14ac:dyDescent="0.3"/>
    <row r="430" customFormat="1" ht="14.25" customHeight="1" x14ac:dyDescent="0.3"/>
    <row r="431" customFormat="1" ht="14.25" customHeight="1" x14ac:dyDescent="0.3"/>
    <row r="432" customFormat="1" ht="14.25" customHeight="1" x14ac:dyDescent="0.3"/>
    <row r="433" customFormat="1" ht="14.25" customHeight="1" x14ac:dyDescent="0.3"/>
    <row r="434" customFormat="1" ht="14.25" customHeight="1" x14ac:dyDescent="0.3"/>
    <row r="435" customFormat="1" ht="14.25" customHeight="1" x14ac:dyDescent="0.3"/>
    <row r="436" customFormat="1" ht="14.25" customHeight="1" x14ac:dyDescent="0.3"/>
    <row r="437" customFormat="1" ht="14.25" customHeight="1" x14ac:dyDescent="0.3"/>
    <row r="438" customFormat="1" ht="14.25" customHeight="1" x14ac:dyDescent="0.3"/>
    <row r="439" customFormat="1" ht="14.25" customHeight="1" x14ac:dyDescent="0.3"/>
    <row r="440" customFormat="1" ht="14.25" customHeight="1" x14ac:dyDescent="0.3"/>
    <row r="441" customFormat="1" ht="14.25" customHeight="1" x14ac:dyDescent="0.3"/>
    <row r="442" customFormat="1" ht="14.25" customHeight="1" x14ac:dyDescent="0.3"/>
    <row r="443" customFormat="1" ht="14.25" customHeight="1" x14ac:dyDescent="0.3"/>
    <row r="444" customFormat="1" ht="14.25" customHeight="1" x14ac:dyDescent="0.3"/>
    <row r="445" customFormat="1" ht="14.25" customHeight="1" x14ac:dyDescent="0.3"/>
    <row r="446" customFormat="1" ht="14.25" customHeight="1" x14ac:dyDescent="0.3"/>
    <row r="447" customFormat="1" ht="14.25" customHeight="1" x14ac:dyDescent="0.3"/>
    <row r="448" customFormat="1" ht="14.25" customHeight="1" x14ac:dyDescent="0.3"/>
    <row r="449" customFormat="1" ht="14.25" customHeight="1" x14ac:dyDescent="0.3"/>
    <row r="450" customFormat="1" ht="14.25" customHeight="1" x14ac:dyDescent="0.3"/>
    <row r="451" customFormat="1" ht="14.25" customHeight="1" x14ac:dyDescent="0.3"/>
    <row r="452" customFormat="1" ht="14.25" customHeight="1" x14ac:dyDescent="0.3"/>
    <row r="453" customFormat="1" ht="14.25" customHeight="1" x14ac:dyDescent="0.3"/>
    <row r="454" customFormat="1" ht="14.25" customHeight="1" x14ac:dyDescent="0.3"/>
    <row r="455" customFormat="1" ht="14.25" customHeight="1" x14ac:dyDescent="0.3"/>
    <row r="456" customFormat="1" ht="14.25" customHeight="1" x14ac:dyDescent="0.3"/>
    <row r="457" customFormat="1" ht="14.25" customHeight="1" x14ac:dyDescent="0.3"/>
    <row r="458" customFormat="1" ht="14.25" customHeight="1" x14ac:dyDescent="0.3"/>
    <row r="459" customFormat="1" ht="14.25" customHeight="1" x14ac:dyDescent="0.3"/>
    <row r="460" customFormat="1" ht="14.25" customHeight="1" x14ac:dyDescent="0.3"/>
    <row r="461" customFormat="1" ht="14.25" customHeight="1" x14ac:dyDescent="0.3"/>
    <row r="462" customFormat="1" ht="14.25" customHeight="1" x14ac:dyDescent="0.3"/>
    <row r="463" customFormat="1" ht="14.25" customHeight="1" x14ac:dyDescent="0.3"/>
    <row r="464" customFormat="1" ht="14.25" customHeight="1" x14ac:dyDescent="0.3"/>
    <row r="465" customFormat="1" ht="14.25" customHeight="1" x14ac:dyDescent="0.3"/>
    <row r="466" customFormat="1" ht="14.25" customHeight="1" x14ac:dyDescent="0.3"/>
    <row r="467" customFormat="1" ht="14.25" customHeight="1" x14ac:dyDescent="0.3"/>
    <row r="468" customFormat="1" ht="14.25" customHeight="1" x14ac:dyDescent="0.3"/>
    <row r="469" customFormat="1" ht="14.25" customHeight="1" x14ac:dyDescent="0.3"/>
    <row r="470" customFormat="1" ht="14.25" customHeight="1" x14ac:dyDescent="0.3"/>
    <row r="471" customFormat="1" ht="14.25" customHeight="1" x14ac:dyDescent="0.3"/>
    <row r="472" customFormat="1" ht="14.25" customHeight="1" x14ac:dyDescent="0.3"/>
    <row r="473" customFormat="1" ht="14.25" customHeight="1" x14ac:dyDescent="0.3"/>
    <row r="474" customFormat="1" ht="14.25" customHeight="1" x14ac:dyDescent="0.3"/>
    <row r="475" customFormat="1" ht="14.25" customHeight="1" x14ac:dyDescent="0.3"/>
    <row r="476" customFormat="1" ht="14.25" customHeight="1" x14ac:dyDescent="0.3"/>
    <row r="477" customFormat="1" ht="14.25" customHeight="1" x14ac:dyDescent="0.3"/>
    <row r="478" customFormat="1" ht="14.25" customHeight="1" x14ac:dyDescent="0.3"/>
    <row r="479" customFormat="1" ht="14.25" customHeight="1" x14ac:dyDescent="0.3"/>
    <row r="480" customFormat="1" ht="14.25" customHeight="1" x14ac:dyDescent="0.3"/>
    <row r="481" customFormat="1" ht="14.25" customHeight="1" x14ac:dyDescent="0.3"/>
    <row r="482" customFormat="1" ht="14.25" customHeight="1" x14ac:dyDescent="0.3"/>
    <row r="483" customFormat="1" ht="14.25" customHeight="1" x14ac:dyDescent="0.3"/>
    <row r="484" customFormat="1" ht="14.25" customHeight="1" x14ac:dyDescent="0.3"/>
    <row r="485" customFormat="1" ht="14.25" customHeight="1" x14ac:dyDescent="0.3"/>
    <row r="486" customFormat="1" ht="14.25" customHeight="1" x14ac:dyDescent="0.3"/>
    <row r="487" customFormat="1" ht="14.25" customHeight="1" x14ac:dyDescent="0.3"/>
    <row r="488" customFormat="1" ht="14.25" customHeight="1" x14ac:dyDescent="0.3"/>
    <row r="489" customFormat="1" ht="14.25" customHeight="1" x14ac:dyDescent="0.3"/>
    <row r="490" customFormat="1" ht="14.25" customHeight="1" x14ac:dyDescent="0.3"/>
    <row r="491" customFormat="1" ht="14.25" customHeight="1" x14ac:dyDescent="0.3"/>
    <row r="492" customFormat="1" ht="14.25" customHeight="1" x14ac:dyDescent="0.3"/>
    <row r="493" customFormat="1" ht="14.25" customHeight="1" x14ac:dyDescent="0.3"/>
    <row r="494" customFormat="1" ht="14.25" customHeight="1" x14ac:dyDescent="0.3"/>
    <row r="495" customFormat="1" ht="14.25" customHeight="1" x14ac:dyDescent="0.3"/>
    <row r="496" customFormat="1" ht="14.25" customHeight="1" x14ac:dyDescent="0.3"/>
    <row r="497" customFormat="1" ht="14.25" customHeight="1" x14ac:dyDescent="0.3"/>
    <row r="498" customFormat="1" ht="14.25" customHeight="1" x14ac:dyDescent="0.3"/>
    <row r="499" customFormat="1" ht="14.25" customHeight="1" x14ac:dyDescent="0.3"/>
    <row r="500" customFormat="1" ht="14.25" customHeight="1" x14ac:dyDescent="0.3"/>
    <row r="501" customFormat="1" ht="14.25" customHeight="1" x14ac:dyDescent="0.3"/>
    <row r="502" customFormat="1" ht="14.25" customHeight="1" x14ac:dyDescent="0.3"/>
    <row r="503" customFormat="1" ht="14.25" customHeight="1" x14ac:dyDescent="0.3"/>
    <row r="504" customFormat="1" ht="14.25" customHeight="1" x14ac:dyDescent="0.3"/>
    <row r="505" customFormat="1" ht="14.25" customHeight="1" x14ac:dyDescent="0.3"/>
    <row r="506" customFormat="1" ht="14.25" customHeight="1" x14ac:dyDescent="0.3"/>
    <row r="507" customFormat="1" ht="14.25" customHeight="1" x14ac:dyDescent="0.3"/>
    <row r="508" customFormat="1" ht="14.25" customHeight="1" x14ac:dyDescent="0.3"/>
    <row r="509" customFormat="1" ht="14.25" customHeight="1" x14ac:dyDescent="0.3"/>
    <row r="510" customFormat="1" ht="14.25" customHeight="1" x14ac:dyDescent="0.3"/>
    <row r="511" customFormat="1" ht="14.25" customHeight="1" x14ac:dyDescent="0.3"/>
    <row r="512" customFormat="1" ht="14.25" customHeight="1" x14ac:dyDescent="0.3"/>
    <row r="513" customFormat="1" ht="14.25" customHeight="1" x14ac:dyDescent="0.3"/>
    <row r="514" customFormat="1" ht="14.25" customHeight="1" x14ac:dyDescent="0.3"/>
    <row r="515" customFormat="1" ht="14.25" customHeight="1" x14ac:dyDescent="0.3"/>
    <row r="516" customFormat="1" ht="14.25" customHeight="1" x14ac:dyDescent="0.3"/>
    <row r="517" customFormat="1" ht="14.25" customHeight="1" x14ac:dyDescent="0.3"/>
    <row r="518" customFormat="1" ht="14.25" customHeight="1" x14ac:dyDescent="0.3"/>
    <row r="519" customFormat="1" ht="14.25" customHeight="1" x14ac:dyDescent="0.3"/>
    <row r="520" customFormat="1" ht="14.25" customHeight="1" x14ac:dyDescent="0.3"/>
    <row r="521" customFormat="1" ht="14.25" customHeight="1" x14ac:dyDescent="0.3"/>
    <row r="522" customFormat="1" ht="14.25" customHeight="1" x14ac:dyDescent="0.3"/>
    <row r="523" customFormat="1" ht="14.25" customHeight="1" x14ac:dyDescent="0.3"/>
    <row r="524" customFormat="1" ht="14.25" customHeight="1" x14ac:dyDescent="0.3"/>
    <row r="525" customFormat="1" ht="14.25" customHeight="1" x14ac:dyDescent="0.3"/>
    <row r="526" customFormat="1" ht="14.25" customHeight="1" x14ac:dyDescent="0.3"/>
    <row r="527" customFormat="1" ht="14.25" customHeight="1" x14ac:dyDescent="0.3"/>
    <row r="528" customFormat="1" ht="14.25" customHeight="1" x14ac:dyDescent="0.3"/>
    <row r="529" customFormat="1" ht="14.25" customHeight="1" x14ac:dyDescent="0.3"/>
    <row r="530" customFormat="1" ht="14.25" customHeight="1" x14ac:dyDescent="0.3"/>
    <row r="531" customFormat="1" ht="14.25" customHeight="1" x14ac:dyDescent="0.3"/>
    <row r="532" customFormat="1" ht="14.25" customHeight="1" x14ac:dyDescent="0.3"/>
    <row r="533" customFormat="1" ht="14.25" customHeight="1" x14ac:dyDescent="0.3"/>
    <row r="534" customFormat="1" ht="14.25" customHeight="1" x14ac:dyDescent="0.3"/>
    <row r="535" customFormat="1" ht="14.25" customHeight="1" x14ac:dyDescent="0.3"/>
    <row r="536" customFormat="1" ht="14.25" customHeight="1" x14ac:dyDescent="0.3"/>
    <row r="537" customFormat="1" ht="14.25" customHeight="1" x14ac:dyDescent="0.3"/>
    <row r="538" customFormat="1" ht="14.25" customHeight="1" x14ac:dyDescent="0.3"/>
    <row r="539" customFormat="1" ht="14.25" customHeight="1" x14ac:dyDescent="0.3"/>
    <row r="540" customFormat="1" ht="14.25" customHeight="1" x14ac:dyDescent="0.3"/>
    <row r="541" customFormat="1" ht="14.25" customHeight="1" x14ac:dyDescent="0.3"/>
    <row r="542" customFormat="1" ht="14.25" customHeight="1" x14ac:dyDescent="0.3"/>
    <row r="543" customFormat="1" ht="14.25" customHeight="1" x14ac:dyDescent="0.3"/>
    <row r="544" customFormat="1" ht="14.25" customHeight="1" x14ac:dyDescent="0.3"/>
    <row r="545" customFormat="1" ht="14.25" customHeight="1" x14ac:dyDescent="0.3"/>
    <row r="546" customFormat="1" ht="14.25" customHeight="1" x14ac:dyDescent="0.3"/>
    <row r="547" customFormat="1" ht="14.25" customHeight="1" x14ac:dyDescent="0.3"/>
    <row r="548" customFormat="1" ht="14.25" customHeight="1" x14ac:dyDescent="0.3"/>
    <row r="549" customFormat="1" ht="14.25" customHeight="1" x14ac:dyDescent="0.3"/>
    <row r="550" customFormat="1" ht="14.25" customHeight="1" x14ac:dyDescent="0.3"/>
    <row r="551" customFormat="1" ht="14.25" customHeight="1" x14ac:dyDescent="0.3"/>
    <row r="552" customFormat="1" ht="14.25" customHeight="1" x14ac:dyDescent="0.3"/>
    <row r="553" customFormat="1" ht="14.25" customHeight="1" x14ac:dyDescent="0.3"/>
    <row r="554" customFormat="1" ht="14.25" customHeight="1" x14ac:dyDescent="0.3"/>
    <row r="555" customFormat="1" ht="14.25" customHeight="1" x14ac:dyDescent="0.3"/>
    <row r="556" customFormat="1" ht="14.25" customHeight="1" x14ac:dyDescent="0.3"/>
    <row r="557" customFormat="1" ht="14.25" customHeight="1" x14ac:dyDescent="0.3"/>
    <row r="558" customFormat="1" ht="14.25" customHeight="1" x14ac:dyDescent="0.3"/>
    <row r="559" customFormat="1" ht="14.25" customHeight="1" x14ac:dyDescent="0.3"/>
    <row r="560" customFormat="1" ht="14.25" customHeight="1" x14ac:dyDescent="0.3"/>
    <row r="561" customFormat="1" ht="14.25" customHeight="1" x14ac:dyDescent="0.3"/>
    <row r="562" customFormat="1" ht="14.25" customHeight="1" x14ac:dyDescent="0.3"/>
    <row r="563" customFormat="1" ht="14.25" customHeight="1" x14ac:dyDescent="0.3"/>
    <row r="564" customFormat="1" ht="14.25" customHeight="1" x14ac:dyDescent="0.3"/>
    <row r="565" customFormat="1" ht="14.25" customHeight="1" x14ac:dyDescent="0.3"/>
    <row r="566" customFormat="1" ht="14.25" customHeight="1" x14ac:dyDescent="0.3"/>
    <row r="567" customFormat="1" ht="14.25" customHeight="1" x14ac:dyDescent="0.3"/>
    <row r="568" customFormat="1" ht="14.25" customHeight="1" x14ac:dyDescent="0.3"/>
    <row r="569" customFormat="1" ht="14.25" customHeight="1" x14ac:dyDescent="0.3"/>
    <row r="570" customFormat="1" ht="14.25" customHeight="1" x14ac:dyDescent="0.3"/>
    <row r="571" customFormat="1" ht="14.25" customHeight="1" x14ac:dyDescent="0.3"/>
    <row r="572" customFormat="1" ht="14.25" customHeight="1" x14ac:dyDescent="0.3"/>
    <row r="573" customFormat="1" ht="14.25" customHeight="1" x14ac:dyDescent="0.3"/>
    <row r="574" customFormat="1" ht="14.25" customHeight="1" x14ac:dyDescent="0.3"/>
    <row r="575" customFormat="1" ht="14.25" customHeight="1" x14ac:dyDescent="0.3"/>
    <row r="576" customFormat="1" ht="14.25" customHeight="1" x14ac:dyDescent="0.3"/>
    <row r="577" customFormat="1" ht="14.25" customHeight="1" x14ac:dyDescent="0.3"/>
    <row r="578" customFormat="1" ht="14.25" customHeight="1" x14ac:dyDescent="0.3"/>
    <row r="579" customFormat="1" ht="14.25" customHeight="1" x14ac:dyDescent="0.3"/>
    <row r="580" customFormat="1" ht="14.25" customHeight="1" x14ac:dyDescent="0.3"/>
    <row r="581" customFormat="1" ht="14.25" customHeight="1" x14ac:dyDescent="0.3"/>
    <row r="582" customFormat="1" ht="14.25" customHeight="1" x14ac:dyDescent="0.3"/>
    <row r="583" customFormat="1" ht="14.25" customHeight="1" x14ac:dyDescent="0.3"/>
    <row r="584" customFormat="1" ht="14.25" customHeight="1" x14ac:dyDescent="0.3"/>
    <row r="585" customFormat="1" ht="14.25" customHeight="1" x14ac:dyDescent="0.3"/>
    <row r="586" customFormat="1" ht="14.25" customHeight="1" x14ac:dyDescent="0.3"/>
    <row r="587" customFormat="1" ht="14.25" customHeight="1" x14ac:dyDescent="0.3"/>
    <row r="588" customFormat="1" ht="14.25" customHeight="1" x14ac:dyDescent="0.3"/>
    <row r="589" customFormat="1" ht="14.25" customHeight="1" x14ac:dyDescent="0.3"/>
    <row r="590" customFormat="1" ht="14.25" customHeight="1" x14ac:dyDescent="0.3"/>
    <row r="591" customFormat="1" ht="14.25" customHeight="1" x14ac:dyDescent="0.3"/>
    <row r="592" customFormat="1" ht="14.25" customHeight="1" x14ac:dyDescent="0.3"/>
    <row r="593" customFormat="1" ht="14.25" customHeight="1" x14ac:dyDescent="0.3"/>
    <row r="594" customFormat="1" ht="14.25" customHeight="1" x14ac:dyDescent="0.3"/>
    <row r="595" customFormat="1" ht="14.25" customHeight="1" x14ac:dyDescent="0.3"/>
    <row r="596" customFormat="1" ht="14.25" customHeight="1" x14ac:dyDescent="0.3"/>
    <row r="597" customFormat="1" ht="14.25" customHeight="1" x14ac:dyDescent="0.3"/>
    <row r="598" customFormat="1" ht="14.25" customHeight="1" x14ac:dyDescent="0.3"/>
    <row r="599" customFormat="1" ht="14.25" customHeight="1" x14ac:dyDescent="0.3"/>
    <row r="600" customFormat="1" ht="14.25" customHeight="1" x14ac:dyDescent="0.3"/>
    <row r="601" customFormat="1" ht="14.25" customHeight="1" x14ac:dyDescent="0.3"/>
    <row r="602" customFormat="1" ht="14.25" customHeight="1" x14ac:dyDescent="0.3"/>
    <row r="603" customFormat="1" ht="14.25" customHeight="1" x14ac:dyDescent="0.3"/>
    <row r="604" customFormat="1" ht="14.25" customHeight="1" x14ac:dyDescent="0.3"/>
    <row r="605" customFormat="1" ht="14.25" customHeight="1" x14ac:dyDescent="0.3"/>
    <row r="606" customFormat="1" ht="14.25" customHeight="1" x14ac:dyDescent="0.3"/>
    <row r="607" customFormat="1" ht="14.25" customHeight="1" x14ac:dyDescent="0.3"/>
    <row r="608" customFormat="1" ht="14.25" customHeight="1" x14ac:dyDescent="0.3"/>
    <row r="609" customFormat="1" ht="14.25" customHeight="1" x14ac:dyDescent="0.3"/>
    <row r="610" customFormat="1" ht="14.25" customHeight="1" x14ac:dyDescent="0.3"/>
    <row r="611" customFormat="1" ht="14.25" customHeight="1" x14ac:dyDescent="0.3"/>
    <row r="612" customFormat="1" ht="14.25" customHeight="1" x14ac:dyDescent="0.3"/>
    <row r="613" customFormat="1" ht="14.25" customHeight="1" x14ac:dyDescent="0.3"/>
    <row r="614" customFormat="1" ht="14.25" customHeight="1" x14ac:dyDescent="0.3"/>
    <row r="615" customFormat="1" ht="14.25" customHeight="1" x14ac:dyDescent="0.3"/>
    <row r="616" customFormat="1" ht="14.25" customHeight="1" x14ac:dyDescent="0.3"/>
    <row r="617" customFormat="1" ht="14.25" customHeight="1" x14ac:dyDescent="0.3"/>
    <row r="618" customFormat="1" ht="14.25" customHeight="1" x14ac:dyDescent="0.3"/>
    <row r="619" customFormat="1" ht="14.25" customHeight="1" x14ac:dyDescent="0.3"/>
    <row r="620" customFormat="1" ht="14.25" customHeight="1" x14ac:dyDescent="0.3"/>
    <row r="621" customFormat="1" ht="14.25" customHeight="1" x14ac:dyDescent="0.3"/>
    <row r="622" customFormat="1" ht="14.25" customHeight="1" x14ac:dyDescent="0.3"/>
    <row r="623" customFormat="1" ht="14.25" customHeight="1" x14ac:dyDescent="0.3"/>
    <row r="624" customFormat="1" ht="14.25" customHeight="1" x14ac:dyDescent="0.3"/>
    <row r="625" customFormat="1" ht="14.25" customHeight="1" x14ac:dyDescent="0.3"/>
    <row r="626" customFormat="1" ht="14.25" customHeight="1" x14ac:dyDescent="0.3"/>
    <row r="627" customFormat="1" ht="14.25" customHeight="1" x14ac:dyDescent="0.3"/>
    <row r="628" customFormat="1" ht="14.25" customHeight="1" x14ac:dyDescent="0.3"/>
    <row r="629" customFormat="1" ht="14.25" customHeight="1" x14ac:dyDescent="0.3"/>
    <row r="630" customFormat="1" ht="14.25" customHeight="1" x14ac:dyDescent="0.3"/>
    <row r="631" customFormat="1" ht="14.25" customHeight="1" x14ac:dyDescent="0.3"/>
    <row r="632" customFormat="1" ht="14.25" customHeight="1" x14ac:dyDescent="0.3"/>
    <row r="633" customFormat="1" ht="14.25" customHeight="1" x14ac:dyDescent="0.3"/>
    <row r="634" customFormat="1" ht="14.25" customHeight="1" x14ac:dyDescent="0.3"/>
    <row r="635" customFormat="1" ht="14.25" customHeight="1" x14ac:dyDescent="0.3"/>
    <row r="636" customFormat="1" ht="14.25" customHeight="1" x14ac:dyDescent="0.3"/>
    <row r="637" customFormat="1" ht="14.25" customHeight="1" x14ac:dyDescent="0.3"/>
    <row r="638" customFormat="1" ht="14.25" customHeight="1" x14ac:dyDescent="0.3"/>
    <row r="639" customFormat="1" ht="14.25" customHeight="1" x14ac:dyDescent="0.3"/>
    <row r="640" customFormat="1" ht="14.25" customHeight="1" x14ac:dyDescent="0.3"/>
    <row r="641" customFormat="1" ht="14.25" customHeight="1" x14ac:dyDescent="0.3"/>
    <row r="642" customFormat="1" ht="14.25" customHeight="1" x14ac:dyDescent="0.3"/>
    <row r="643" customFormat="1" ht="14.25" customHeight="1" x14ac:dyDescent="0.3"/>
    <row r="644" customFormat="1" ht="14.25" customHeight="1" x14ac:dyDescent="0.3"/>
    <row r="645" customFormat="1" ht="14.25" customHeight="1" x14ac:dyDescent="0.3"/>
    <row r="646" customFormat="1" ht="14.25" customHeight="1" x14ac:dyDescent="0.3"/>
    <row r="647" customFormat="1" ht="14.25" customHeight="1" x14ac:dyDescent="0.3"/>
    <row r="648" customFormat="1" ht="14.25" customHeight="1" x14ac:dyDescent="0.3"/>
    <row r="649" customFormat="1" ht="14.25" customHeight="1" x14ac:dyDescent="0.3"/>
    <row r="650" customFormat="1" ht="14.25" customHeight="1" x14ac:dyDescent="0.3"/>
    <row r="651" customFormat="1" ht="14.25" customHeight="1" x14ac:dyDescent="0.3"/>
    <row r="652" customFormat="1" ht="14.25" customHeight="1" x14ac:dyDescent="0.3"/>
    <row r="653" customFormat="1" ht="14.25" customHeight="1" x14ac:dyDescent="0.3"/>
    <row r="654" customFormat="1" ht="14.25" customHeight="1" x14ac:dyDescent="0.3"/>
    <row r="655" customFormat="1" ht="14.25" customHeight="1" x14ac:dyDescent="0.3"/>
    <row r="656" customFormat="1" ht="14.25" customHeight="1" x14ac:dyDescent="0.3"/>
    <row r="657" customFormat="1" ht="14.25" customHeight="1" x14ac:dyDescent="0.3"/>
    <row r="658" customFormat="1" ht="14.25" customHeight="1" x14ac:dyDescent="0.3"/>
    <row r="659" customFormat="1" ht="14.25" customHeight="1" x14ac:dyDescent="0.3"/>
    <row r="660" customFormat="1" ht="14.25" customHeight="1" x14ac:dyDescent="0.3"/>
    <row r="661" customFormat="1" ht="14.25" customHeight="1" x14ac:dyDescent="0.3"/>
    <row r="662" customFormat="1" ht="14.25" customHeight="1" x14ac:dyDescent="0.3"/>
    <row r="663" customFormat="1" ht="14.25" customHeight="1" x14ac:dyDescent="0.3"/>
    <row r="664" customFormat="1" ht="14.25" customHeight="1" x14ac:dyDescent="0.3"/>
    <row r="665" customFormat="1" ht="14.25" customHeight="1" x14ac:dyDescent="0.3"/>
    <row r="666" customFormat="1" ht="14.25" customHeight="1" x14ac:dyDescent="0.3"/>
    <row r="667" customFormat="1" ht="14.25" customHeight="1" x14ac:dyDescent="0.3"/>
    <row r="668" customFormat="1" ht="14.25" customHeight="1" x14ac:dyDescent="0.3"/>
    <row r="669" customFormat="1" ht="14.25" customHeight="1" x14ac:dyDescent="0.3"/>
    <row r="670" customFormat="1" ht="14.25" customHeight="1" x14ac:dyDescent="0.3"/>
    <row r="671" customFormat="1" ht="14.25" customHeight="1" x14ac:dyDescent="0.3"/>
    <row r="672" customFormat="1" ht="14.25" customHeight="1" x14ac:dyDescent="0.3"/>
    <row r="673" customFormat="1" ht="14.25" customHeight="1" x14ac:dyDescent="0.3"/>
    <row r="674" customFormat="1" ht="14.25" customHeight="1" x14ac:dyDescent="0.3"/>
    <row r="675" customFormat="1" ht="14.25" customHeight="1" x14ac:dyDescent="0.3"/>
    <row r="676" customFormat="1" ht="14.25" customHeight="1" x14ac:dyDescent="0.3"/>
    <row r="677" customFormat="1" ht="14.25" customHeight="1" x14ac:dyDescent="0.3"/>
    <row r="678" customFormat="1" ht="14.25" customHeight="1" x14ac:dyDescent="0.3"/>
    <row r="679" customFormat="1" ht="14.25" customHeight="1" x14ac:dyDescent="0.3"/>
    <row r="680" customFormat="1" ht="14.25" customHeight="1" x14ac:dyDescent="0.3"/>
    <row r="681" customFormat="1" ht="14.25" customHeight="1" x14ac:dyDescent="0.3"/>
    <row r="682" customFormat="1" ht="14.25" customHeight="1" x14ac:dyDescent="0.3"/>
    <row r="683" customFormat="1" ht="14.25" customHeight="1" x14ac:dyDescent="0.3"/>
    <row r="684" customFormat="1" ht="14.25" customHeight="1" x14ac:dyDescent="0.3"/>
    <row r="685" customFormat="1" ht="14.25" customHeight="1" x14ac:dyDescent="0.3"/>
    <row r="686" customFormat="1" ht="14.25" customHeight="1" x14ac:dyDescent="0.3"/>
    <row r="687" customFormat="1" ht="14.25" customHeight="1" x14ac:dyDescent="0.3"/>
    <row r="688" customFormat="1" ht="14.25" customHeight="1" x14ac:dyDescent="0.3"/>
    <row r="689" customFormat="1" ht="14.25" customHeight="1" x14ac:dyDescent="0.3"/>
    <row r="690" customFormat="1" ht="14.25" customHeight="1" x14ac:dyDescent="0.3"/>
    <row r="691" customFormat="1" ht="14.25" customHeight="1" x14ac:dyDescent="0.3"/>
    <row r="692" customFormat="1" ht="14.25" customHeight="1" x14ac:dyDescent="0.3"/>
    <row r="693" customFormat="1" ht="14.25" customHeight="1" x14ac:dyDescent="0.3"/>
    <row r="694" customFormat="1" ht="14.25" customHeight="1" x14ac:dyDescent="0.3"/>
    <row r="695" customFormat="1" ht="14.25" customHeight="1" x14ac:dyDescent="0.3"/>
    <row r="696" customFormat="1" ht="14.25" customHeight="1" x14ac:dyDescent="0.3"/>
    <row r="697" customFormat="1" ht="14.25" customHeight="1" x14ac:dyDescent="0.3"/>
    <row r="698" customFormat="1" ht="14.25" customHeight="1" x14ac:dyDescent="0.3"/>
    <row r="699" customFormat="1" ht="14.25" customHeight="1" x14ac:dyDescent="0.3"/>
    <row r="700" customFormat="1" ht="14.25" customHeight="1" x14ac:dyDescent="0.3"/>
    <row r="701" customFormat="1" ht="14.25" customHeight="1" x14ac:dyDescent="0.3"/>
    <row r="702" customFormat="1" ht="14.25" customHeight="1" x14ac:dyDescent="0.3"/>
    <row r="703" customFormat="1" ht="14.25" customHeight="1" x14ac:dyDescent="0.3"/>
    <row r="704" customFormat="1" ht="14.25" customHeight="1" x14ac:dyDescent="0.3"/>
    <row r="705" customFormat="1" ht="14.25" customHeight="1" x14ac:dyDescent="0.3"/>
    <row r="706" customFormat="1" ht="14.25" customHeight="1" x14ac:dyDescent="0.3"/>
    <row r="707" customFormat="1" ht="14.25" customHeight="1" x14ac:dyDescent="0.3"/>
    <row r="708" customFormat="1" ht="14.25" customHeight="1" x14ac:dyDescent="0.3"/>
    <row r="709" customFormat="1" ht="14.25" customHeight="1" x14ac:dyDescent="0.3"/>
    <row r="710" customFormat="1" ht="14.25" customHeight="1" x14ac:dyDescent="0.3"/>
    <row r="711" customFormat="1" ht="14.25" customHeight="1" x14ac:dyDescent="0.3"/>
    <row r="712" customFormat="1" ht="14.25" customHeight="1" x14ac:dyDescent="0.3"/>
    <row r="713" customFormat="1" ht="14.25" customHeight="1" x14ac:dyDescent="0.3"/>
    <row r="714" customFormat="1" ht="14.25" customHeight="1" x14ac:dyDescent="0.3"/>
    <row r="715" customFormat="1" ht="14.25" customHeight="1" x14ac:dyDescent="0.3"/>
    <row r="716" customFormat="1" ht="14.25" customHeight="1" x14ac:dyDescent="0.3"/>
    <row r="717" customFormat="1" ht="14.25" customHeight="1" x14ac:dyDescent="0.3"/>
    <row r="718" customFormat="1" ht="14.25" customHeight="1" x14ac:dyDescent="0.3"/>
    <row r="719" customFormat="1" ht="14.25" customHeight="1" x14ac:dyDescent="0.3"/>
    <row r="720" customFormat="1" ht="14.25" customHeight="1" x14ac:dyDescent="0.3"/>
    <row r="721" customFormat="1" ht="14.25" customHeight="1" x14ac:dyDescent="0.3"/>
    <row r="722" customFormat="1" ht="14.25" customHeight="1" x14ac:dyDescent="0.3"/>
    <row r="723" customFormat="1" ht="14.25" customHeight="1" x14ac:dyDescent="0.3"/>
    <row r="724" customFormat="1" ht="14.25" customHeight="1" x14ac:dyDescent="0.3"/>
    <row r="725" customFormat="1" ht="14.25" customHeight="1" x14ac:dyDescent="0.3"/>
    <row r="726" customFormat="1" ht="14.25" customHeight="1" x14ac:dyDescent="0.3"/>
    <row r="727" customFormat="1" ht="14.25" customHeight="1" x14ac:dyDescent="0.3"/>
    <row r="728" customFormat="1" ht="14.25" customHeight="1" x14ac:dyDescent="0.3"/>
    <row r="729" customFormat="1" ht="14.25" customHeight="1" x14ac:dyDescent="0.3"/>
    <row r="730" customFormat="1" ht="14.25" customHeight="1" x14ac:dyDescent="0.3"/>
    <row r="731" customFormat="1" ht="14.25" customHeight="1" x14ac:dyDescent="0.3"/>
    <row r="732" customFormat="1" ht="14.25" customHeight="1" x14ac:dyDescent="0.3"/>
    <row r="733" customFormat="1" ht="14.25" customHeight="1" x14ac:dyDescent="0.3"/>
    <row r="734" customFormat="1" ht="14.25" customHeight="1" x14ac:dyDescent="0.3"/>
    <row r="735" customFormat="1" ht="14.25" customHeight="1" x14ac:dyDescent="0.3"/>
    <row r="736" customFormat="1" ht="14.25" customHeight="1" x14ac:dyDescent="0.3"/>
    <row r="737" customFormat="1" ht="14.25" customHeight="1" x14ac:dyDescent="0.3"/>
    <row r="738" customFormat="1" ht="14.25" customHeight="1" x14ac:dyDescent="0.3"/>
    <row r="739" customFormat="1" ht="14.25" customHeight="1" x14ac:dyDescent="0.3"/>
    <row r="740" customFormat="1" ht="14.25" customHeight="1" x14ac:dyDescent="0.3"/>
    <row r="741" customFormat="1" ht="14.25" customHeight="1" x14ac:dyDescent="0.3"/>
    <row r="742" customFormat="1" ht="14.25" customHeight="1" x14ac:dyDescent="0.3"/>
    <row r="743" customFormat="1" ht="14.25" customHeight="1" x14ac:dyDescent="0.3"/>
    <row r="744" customFormat="1" ht="14.25" customHeight="1" x14ac:dyDescent="0.3"/>
    <row r="745" customFormat="1" ht="14.25" customHeight="1" x14ac:dyDescent="0.3"/>
    <row r="746" customFormat="1" ht="14.25" customHeight="1" x14ac:dyDescent="0.3"/>
    <row r="747" customFormat="1" ht="14.25" customHeight="1" x14ac:dyDescent="0.3"/>
    <row r="748" customFormat="1" ht="14.25" customHeight="1" x14ac:dyDescent="0.3"/>
    <row r="749" customFormat="1" ht="14.25" customHeight="1" x14ac:dyDescent="0.3"/>
    <row r="750" customFormat="1" ht="14.25" customHeight="1" x14ac:dyDescent="0.3"/>
    <row r="751" customFormat="1" ht="14.25" customHeight="1" x14ac:dyDescent="0.3"/>
    <row r="752" customFormat="1" ht="14.25" customHeight="1" x14ac:dyDescent="0.3"/>
    <row r="753" customFormat="1" ht="14.25" customHeight="1" x14ac:dyDescent="0.3"/>
    <row r="754" customFormat="1" ht="14.25" customHeight="1" x14ac:dyDescent="0.3"/>
    <row r="755" customFormat="1" ht="14.25" customHeight="1" x14ac:dyDescent="0.3"/>
    <row r="756" customFormat="1" ht="14.25" customHeight="1" x14ac:dyDescent="0.3"/>
    <row r="757" customFormat="1" ht="14.25" customHeight="1" x14ac:dyDescent="0.3"/>
    <row r="758" customFormat="1" ht="14.25" customHeight="1" x14ac:dyDescent="0.3"/>
    <row r="759" customFormat="1" ht="14.25" customHeight="1" x14ac:dyDescent="0.3"/>
    <row r="760" customFormat="1" ht="14.25" customHeight="1" x14ac:dyDescent="0.3"/>
    <row r="761" customFormat="1" ht="14.25" customHeight="1" x14ac:dyDescent="0.3"/>
    <row r="762" customFormat="1" ht="14.25" customHeight="1" x14ac:dyDescent="0.3"/>
    <row r="763" customFormat="1" ht="14.25" customHeight="1" x14ac:dyDescent="0.3"/>
    <row r="764" customFormat="1" ht="14.25" customHeight="1" x14ac:dyDescent="0.3"/>
    <row r="765" customFormat="1" ht="14.25" customHeight="1" x14ac:dyDescent="0.3"/>
    <row r="766" customFormat="1" ht="14.25" customHeight="1" x14ac:dyDescent="0.3"/>
    <row r="767" customFormat="1" ht="14.25" customHeight="1" x14ac:dyDescent="0.3"/>
    <row r="768" customFormat="1" ht="14.25" customHeight="1" x14ac:dyDescent="0.3"/>
    <row r="769" customFormat="1" ht="14.25" customHeight="1" x14ac:dyDescent="0.3"/>
    <row r="770" customFormat="1" ht="14.25" customHeight="1" x14ac:dyDescent="0.3"/>
    <row r="771" customFormat="1" ht="14.25" customHeight="1" x14ac:dyDescent="0.3"/>
    <row r="772" customFormat="1" ht="14.25" customHeight="1" x14ac:dyDescent="0.3"/>
    <row r="773" customFormat="1" ht="14.25" customHeight="1" x14ac:dyDescent="0.3"/>
    <row r="774" customFormat="1" ht="14.25" customHeight="1" x14ac:dyDescent="0.3"/>
    <row r="775" customFormat="1" ht="14.25" customHeight="1" x14ac:dyDescent="0.3"/>
    <row r="776" customFormat="1" ht="14.25" customHeight="1" x14ac:dyDescent="0.3"/>
    <row r="777" customFormat="1" ht="14.25" customHeight="1" x14ac:dyDescent="0.3"/>
    <row r="778" customFormat="1" ht="14.25" customHeight="1" x14ac:dyDescent="0.3"/>
    <row r="779" customFormat="1" ht="14.25" customHeight="1" x14ac:dyDescent="0.3"/>
    <row r="780" customFormat="1" ht="14.25" customHeight="1" x14ac:dyDescent="0.3"/>
    <row r="781" customFormat="1" ht="14.25" customHeight="1" x14ac:dyDescent="0.3"/>
    <row r="782" customFormat="1" ht="14.25" customHeight="1" x14ac:dyDescent="0.3"/>
    <row r="783" customFormat="1" ht="14.25" customHeight="1" x14ac:dyDescent="0.3"/>
    <row r="784" customFormat="1" ht="14.25" customHeight="1" x14ac:dyDescent="0.3"/>
    <row r="785" customFormat="1" ht="14.25" customHeight="1" x14ac:dyDescent="0.3"/>
    <row r="786" customFormat="1" ht="14.25" customHeight="1" x14ac:dyDescent="0.3"/>
    <row r="787" customFormat="1" ht="14.25" customHeight="1" x14ac:dyDescent="0.3"/>
    <row r="788" customFormat="1" ht="14.25" customHeight="1" x14ac:dyDescent="0.3"/>
    <row r="789" customFormat="1" ht="14.25" customHeight="1" x14ac:dyDescent="0.3"/>
    <row r="790" customFormat="1" ht="14.25" customHeight="1" x14ac:dyDescent="0.3"/>
    <row r="791" customFormat="1" ht="14.25" customHeight="1" x14ac:dyDescent="0.3"/>
    <row r="792" customFormat="1" ht="14.25" customHeight="1" x14ac:dyDescent="0.3"/>
    <row r="793" customFormat="1" ht="14.25" customHeight="1" x14ac:dyDescent="0.3"/>
    <row r="794" customFormat="1" ht="14.25" customHeight="1" x14ac:dyDescent="0.3"/>
    <row r="795" customFormat="1" ht="14.25" customHeight="1" x14ac:dyDescent="0.3"/>
    <row r="796" customFormat="1" ht="14.25" customHeight="1" x14ac:dyDescent="0.3"/>
    <row r="797" customFormat="1" ht="14.25" customHeight="1" x14ac:dyDescent="0.3"/>
    <row r="798" customFormat="1" ht="14.25" customHeight="1" x14ac:dyDescent="0.3"/>
    <row r="799" customFormat="1" ht="14.25" customHeight="1" x14ac:dyDescent="0.3"/>
    <row r="800" customFormat="1" ht="14.25" customHeight="1" x14ac:dyDescent="0.3"/>
    <row r="801" customFormat="1" ht="14.25" customHeight="1" x14ac:dyDescent="0.3"/>
    <row r="802" customFormat="1" ht="14.25" customHeight="1" x14ac:dyDescent="0.3"/>
    <row r="803" customFormat="1" ht="14.25" customHeight="1" x14ac:dyDescent="0.3"/>
    <row r="804" customFormat="1" ht="14.25" customHeight="1" x14ac:dyDescent="0.3"/>
    <row r="805" customFormat="1" ht="14.25" customHeight="1" x14ac:dyDescent="0.3"/>
    <row r="806" customFormat="1" ht="14.25" customHeight="1" x14ac:dyDescent="0.3"/>
    <row r="807" customFormat="1" ht="14.25" customHeight="1" x14ac:dyDescent="0.3"/>
    <row r="808" customFormat="1" ht="14.25" customHeight="1" x14ac:dyDescent="0.3"/>
    <row r="809" customFormat="1" ht="14.25" customHeight="1" x14ac:dyDescent="0.3"/>
    <row r="810" customFormat="1" ht="14.25" customHeight="1" x14ac:dyDescent="0.3"/>
    <row r="811" customFormat="1" ht="14.25" customHeight="1" x14ac:dyDescent="0.3"/>
    <row r="812" customFormat="1" ht="14.25" customHeight="1" x14ac:dyDescent="0.3"/>
    <row r="813" customFormat="1" ht="14.25" customHeight="1" x14ac:dyDescent="0.3"/>
    <row r="814" customFormat="1" ht="14.25" customHeight="1" x14ac:dyDescent="0.3"/>
    <row r="815" customFormat="1" ht="14.25" customHeight="1" x14ac:dyDescent="0.3"/>
    <row r="816" customFormat="1" ht="14.25" customHeight="1" x14ac:dyDescent="0.3"/>
    <row r="817" customFormat="1" ht="14.25" customHeight="1" x14ac:dyDescent="0.3"/>
    <row r="818" customFormat="1" ht="14.25" customHeight="1" x14ac:dyDescent="0.3"/>
    <row r="819" customFormat="1" ht="14.25" customHeight="1" x14ac:dyDescent="0.3"/>
    <row r="820" customFormat="1" ht="14.25" customHeight="1" x14ac:dyDescent="0.3"/>
    <row r="821" customFormat="1" ht="14.25" customHeight="1" x14ac:dyDescent="0.3"/>
    <row r="822" customFormat="1" ht="14.25" customHeight="1" x14ac:dyDescent="0.3"/>
    <row r="823" customFormat="1" ht="14.25" customHeight="1" x14ac:dyDescent="0.3"/>
    <row r="824" customFormat="1" ht="14.25" customHeight="1" x14ac:dyDescent="0.3"/>
    <row r="825" customFormat="1" ht="14.25" customHeight="1" x14ac:dyDescent="0.3"/>
    <row r="826" customFormat="1" ht="14.25" customHeight="1" x14ac:dyDescent="0.3"/>
    <row r="827" customFormat="1" ht="14.25" customHeight="1" x14ac:dyDescent="0.3"/>
    <row r="828" customFormat="1" ht="14.25" customHeight="1" x14ac:dyDescent="0.3"/>
    <row r="829" customFormat="1" ht="14.25" customHeight="1" x14ac:dyDescent="0.3"/>
    <row r="830" customFormat="1" ht="14.25" customHeight="1" x14ac:dyDescent="0.3"/>
    <row r="831" customFormat="1" ht="14.25" customHeight="1" x14ac:dyDescent="0.3"/>
    <row r="832" customFormat="1" ht="14.25" customHeight="1" x14ac:dyDescent="0.3"/>
    <row r="833" customFormat="1" ht="14.25" customHeight="1" x14ac:dyDescent="0.3"/>
    <row r="834" customFormat="1" ht="14.25" customHeight="1" x14ac:dyDescent="0.3"/>
    <row r="835" customFormat="1" ht="14.25" customHeight="1" x14ac:dyDescent="0.3"/>
    <row r="836" customFormat="1" ht="14.25" customHeight="1" x14ac:dyDescent="0.3"/>
    <row r="837" customFormat="1" ht="14.25" customHeight="1" x14ac:dyDescent="0.3"/>
    <row r="838" customFormat="1" ht="14.25" customHeight="1" x14ac:dyDescent="0.3"/>
    <row r="839" customFormat="1" ht="14.25" customHeight="1" x14ac:dyDescent="0.3"/>
    <row r="840" customFormat="1" ht="14.25" customHeight="1" x14ac:dyDescent="0.3"/>
    <row r="841" customFormat="1" ht="14.25" customHeight="1" x14ac:dyDescent="0.3"/>
    <row r="842" customFormat="1" ht="14.25" customHeight="1" x14ac:dyDescent="0.3"/>
    <row r="843" customFormat="1" ht="14.25" customHeight="1" x14ac:dyDescent="0.3"/>
    <row r="844" customFormat="1" ht="14.25" customHeight="1" x14ac:dyDescent="0.3"/>
    <row r="845" customFormat="1" ht="14.25" customHeight="1" x14ac:dyDescent="0.3"/>
    <row r="846" customFormat="1" ht="14.25" customHeight="1" x14ac:dyDescent="0.3"/>
    <row r="847" customFormat="1" ht="14.25" customHeight="1" x14ac:dyDescent="0.3"/>
    <row r="848" customFormat="1" ht="14.25" customHeight="1" x14ac:dyDescent="0.3"/>
    <row r="849" customFormat="1" ht="14.25" customHeight="1" x14ac:dyDescent="0.3"/>
    <row r="850" customFormat="1" ht="14.25" customHeight="1" x14ac:dyDescent="0.3"/>
    <row r="851" customFormat="1" ht="14.25" customHeight="1" x14ac:dyDescent="0.3"/>
    <row r="852" customFormat="1" ht="14.25" customHeight="1" x14ac:dyDescent="0.3"/>
    <row r="853" customFormat="1" ht="14.25" customHeight="1" x14ac:dyDescent="0.3"/>
    <row r="854" customFormat="1" ht="14.25" customHeight="1" x14ac:dyDescent="0.3"/>
    <row r="855" customFormat="1" ht="14.25" customHeight="1" x14ac:dyDescent="0.3"/>
    <row r="856" customFormat="1" ht="14.25" customHeight="1" x14ac:dyDescent="0.3"/>
    <row r="857" customFormat="1" ht="14.25" customHeight="1" x14ac:dyDescent="0.3"/>
    <row r="858" customFormat="1" ht="14.25" customHeight="1" x14ac:dyDescent="0.3"/>
    <row r="859" customFormat="1" ht="14.25" customHeight="1" x14ac:dyDescent="0.3"/>
    <row r="860" customFormat="1" ht="14.25" customHeight="1" x14ac:dyDescent="0.3"/>
    <row r="861" customFormat="1" ht="14.25" customHeight="1" x14ac:dyDescent="0.3"/>
    <row r="862" customFormat="1" ht="14.25" customHeight="1" x14ac:dyDescent="0.3"/>
    <row r="863" customFormat="1" ht="14.25" customHeight="1" x14ac:dyDescent="0.3"/>
    <row r="864" customFormat="1" ht="14.25" customHeight="1" x14ac:dyDescent="0.3"/>
    <row r="865" customFormat="1" ht="14.25" customHeight="1" x14ac:dyDescent="0.3"/>
    <row r="866" customFormat="1" ht="14.25" customHeight="1" x14ac:dyDescent="0.3"/>
    <row r="867" customFormat="1" ht="14.25" customHeight="1" x14ac:dyDescent="0.3"/>
    <row r="868" customFormat="1" ht="14.25" customHeight="1" x14ac:dyDescent="0.3"/>
    <row r="869" customFormat="1" ht="14.25" customHeight="1" x14ac:dyDescent="0.3"/>
    <row r="870" customFormat="1" ht="14.25" customHeight="1" x14ac:dyDescent="0.3"/>
    <row r="871" customFormat="1" ht="14.25" customHeight="1" x14ac:dyDescent="0.3"/>
    <row r="872" customFormat="1" ht="14.25" customHeight="1" x14ac:dyDescent="0.3"/>
    <row r="873" customFormat="1" ht="14.25" customHeight="1" x14ac:dyDescent="0.3"/>
    <row r="874" customFormat="1" ht="14.25" customHeight="1" x14ac:dyDescent="0.3"/>
    <row r="875" customFormat="1" ht="14.25" customHeight="1" x14ac:dyDescent="0.3"/>
    <row r="876" customFormat="1" ht="14.25" customHeight="1" x14ac:dyDescent="0.3"/>
    <row r="877" customFormat="1" ht="14.25" customHeight="1" x14ac:dyDescent="0.3"/>
    <row r="878" customFormat="1" ht="14.25" customHeight="1" x14ac:dyDescent="0.3"/>
    <row r="879" customFormat="1" ht="14.25" customHeight="1" x14ac:dyDescent="0.3"/>
    <row r="880" customFormat="1" ht="14.25" customHeight="1" x14ac:dyDescent="0.3"/>
    <row r="881" customFormat="1" ht="14.25" customHeight="1" x14ac:dyDescent="0.3"/>
    <row r="882" customFormat="1" ht="14.25" customHeight="1" x14ac:dyDescent="0.3"/>
    <row r="883" customFormat="1" ht="14.25" customHeight="1" x14ac:dyDescent="0.3"/>
    <row r="884" customFormat="1" ht="14.25" customHeight="1" x14ac:dyDescent="0.3"/>
    <row r="885" customFormat="1" ht="14.25" customHeight="1" x14ac:dyDescent="0.3"/>
    <row r="886" customFormat="1" ht="14.25" customHeight="1" x14ac:dyDescent="0.3"/>
    <row r="887" customFormat="1" ht="14.25" customHeight="1" x14ac:dyDescent="0.3"/>
    <row r="888" customFormat="1" ht="14.25" customHeight="1" x14ac:dyDescent="0.3"/>
    <row r="889" customFormat="1" ht="14.25" customHeight="1" x14ac:dyDescent="0.3"/>
    <row r="890" customFormat="1" ht="14.25" customHeight="1" x14ac:dyDescent="0.3"/>
    <row r="891" customFormat="1" ht="14.25" customHeight="1" x14ac:dyDescent="0.3"/>
    <row r="892" customFormat="1" ht="14.25" customHeight="1" x14ac:dyDescent="0.3"/>
    <row r="893" customFormat="1" ht="14.25" customHeight="1" x14ac:dyDescent="0.3"/>
    <row r="894" customFormat="1" ht="14.25" customHeight="1" x14ac:dyDescent="0.3"/>
    <row r="895" customFormat="1" ht="14.25" customHeight="1" x14ac:dyDescent="0.3"/>
    <row r="896" customFormat="1" ht="14.25" customHeight="1" x14ac:dyDescent="0.3"/>
    <row r="897" customFormat="1" ht="14.25" customHeight="1" x14ac:dyDescent="0.3"/>
    <row r="898" customFormat="1" ht="14.25" customHeight="1" x14ac:dyDescent="0.3"/>
    <row r="899" customFormat="1" ht="14.25" customHeight="1" x14ac:dyDescent="0.3"/>
    <row r="900" customFormat="1" ht="14.25" customHeight="1" x14ac:dyDescent="0.3"/>
    <row r="901" customFormat="1" ht="14.25" customHeight="1" x14ac:dyDescent="0.3"/>
    <row r="902" customFormat="1" ht="14.25" customHeight="1" x14ac:dyDescent="0.3"/>
    <row r="903" customFormat="1" ht="14.25" customHeight="1" x14ac:dyDescent="0.3"/>
    <row r="904" customFormat="1" ht="14.25" customHeight="1" x14ac:dyDescent="0.3"/>
    <row r="905" customFormat="1" ht="14.25" customHeight="1" x14ac:dyDescent="0.3"/>
    <row r="906" customFormat="1" ht="14.25" customHeight="1" x14ac:dyDescent="0.3"/>
    <row r="907" customFormat="1" ht="14.25" customHeight="1" x14ac:dyDescent="0.3"/>
    <row r="908" customFormat="1" ht="14.25" customHeight="1" x14ac:dyDescent="0.3"/>
    <row r="909" customFormat="1" ht="14.25" customHeight="1" x14ac:dyDescent="0.3"/>
    <row r="910" customFormat="1" ht="14.25" customHeight="1" x14ac:dyDescent="0.3"/>
    <row r="911" customFormat="1" ht="14.25" customHeight="1" x14ac:dyDescent="0.3"/>
    <row r="912" customFormat="1" ht="14.25" customHeight="1" x14ac:dyDescent="0.3"/>
    <row r="913" customFormat="1" ht="14.25" customHeight="1" x14ac:dyDescent="0.3"/>
    <row r="914" customFormat="1" ht="14.25" customHeight="1" x14ac:dyDescent="0.3"/>
    <row r="915" customFormat="1" ht="14.25" customHeight="1" x14ac:dyDescent="0.3"/>
    <row r="916" customFormat="1" ht="14.25" customHeight="1" x14ac:dyDescent="0.3"/>
    <row r="917" customFormat="1" ht="14.25" customHeight="1" x14ac:dyDescent="0.3"/>
    <row r="918" customFormat="1" ht="14.25" customHeight="1" x14ac:dyDescent="0.3"/>
    <row r="919" customFormat="1" ht="14.25" customHeight="1" x14ac:dyDescent="0.3"/>
    <row r="920" customFormat="1" ht="14.25" customHeight="1" x14ac:dyDescent="0.3"/>
    <row r="921" customFormat="1" ht="14.25" customHeight="1" x14ac:dyDescent="0.3"/>
    <row r="922" customFormat="1" ht="14.25" customHeight="1" x14ac:dyDescent="0.3"/>
    <row r="923" customFormat="1" ht="14.25" customHeight="1" x14ac:dyDescent="0.3"/>
    <row r="924" customFormat="1" ht="14.25" customHeight="1" x14ac:dyDescent="0.3"/>
    <row r="925" customFormat="1" ht="14.25" customHeight="1" x14ac:dyDescent="0.3"/>
    <row r="926" customFormat="1" ht="14.25" customHeight="1" x14ac:dyDescent="0.3"/>
    <row r="927" customFormat="1" ht="14.25" customHeight="1" x14ac:dyDescent="0.3"/>
    <row r="928" customFormat="1" ht="14.25" customHeight="1" x14ac:dyDescent="0.3"/>
    <row r="929" customFormat="1" ht="14.25" customHeight="1" x14ac:dyDescent="0.3"/>
    <row r="930" customFormat="1" ht="14.25" customHeight="1" x14ac:dyDescent="0.3"/>
    <row r="931" customFormat="1" ht="14.25" customHeight="1" x14ac:dyDescent="0.3"/>
    <row r="932" customFormat="1" ht="14.25" customHeight="1" x14ac:dyDescent="0.3"/>
    <row r="933" customFormat="1" ht="14.25" customHeight="1" x14ac:dyDescent="0.3"/>
    <row r="934" customFormat="1" ht="14.25" customHeight="1" x14ac:dyDescent="0.3"/>
    <row r="935" customFormat="1" ht="14.25" customHeight="1" x14ac:dyDescent="0.3"/>
    <row r="936" customFormat="1" ht="14.25" customHeight="1" x14ac:dyDescent="0.3"/>
    <row r="937" customFormat="1" ht="14.25" customHeight="1" x14ac:dyDescent="0.3"/>
    <row r="938" customFormat="1" ht="14.25" customHeight="1" x14ac:dyDescent="0.3"/>
    <row r="939" customFormat="1" ht="14.25" customHeight="1" x14ac:dyDescent="0.3"/>
    <row r="940" customFormat="1" ht="14.25" customHeight="1" x14ac:dyDescent="0.3"/>
    <row r="941" customFormat="1" ht="14.25" customHeight="1" x14ac:dyDescent="0.3"/>
    <row r="942" customFormat="1" ht="14.25" customHeight="1" x14ac:dyDescent="0.3"/>
    <row r="943" customFormat="1" ht="14.25" customHeight="1" x14ac:dyDescent="0.3"/>
    <row r="944" customFormat="1" ht="14.25" customHeight="1" x14ac:dyDescent="0.3"/>
    <row r="945" customFormat="1" ht="14.25" customHeight="1" x14ac:dyDescent="0.3"/>
    <row r="946" customFormat="1" ht="14.25" customHeight="1" x14ac:dyDescent="0.3"/>
    <row r="947" customFormat="1" ht="14.25" customHeight="1" x14ac:dyDescent="0.3"/>
    <row r="948" customFormat="1" ht="14.25" customHeight="1" x14ac:dyDescent="0.3"/>
    <row r="949" customFormat="1" ht="14.25" customHeight="1" x14ac:dyDescent="0.3"/>
    <row r="950" customFormat="1" ht="14.25" customHeight="1" x14ac:dyDescent="0.3"/>
    <row r="951" customFormat="1" ht="14.25" customHeight="1" x14ac:dyDescent="0.3"/>
    <row r="952" customFormat="1" ht="14.25" customHeight="1" x14ac:dyDescent="0.3"/>
    <row r="953" customFormat="1" ht="14.25" customHeight="1" x14ac:dyDescent="0.3"/>
    <row r="954" customFormat="1" ht="14.25" customHeight="1" x14ac:dyDescent="0.3"/>
    <row r="955" customFormat="1" ht="14.25" customHeight="1" x14ac:dyDescent="0.3"/>
    <row r="956" customFormat="1" ht="14.25" customHeight="1" x14ac:dyDescent="0.3"/>
    <row r="957" customFormat="1" ht="14.25" customHeight="1" x14ac:dyDescent="0.3"/>
    <row r="958" customFormat="1" ht="14.25" customHeight="1" x14ac:dyDescent="0.3"/>
    <row r="959" customFormat="1" ht="14.25" customHeight="1" x14ac:dyDescent="0.3"/>
    <row r="960" customFormat="1" ht="14.25" customHeight="1" x14ac:dyDescent="0.3"/>
    <row r="961" customFormat="1" ht="14.25" customHeight="1" x14ac:dyDescent="0.3"/>
    <row r="962" customFormat="1" ht="14.25" customHeight="1" x14ac:dyDescent="0.3"/>
    <row r="963" customFormat="1" ht="14.25" customHeight="1" x14ac:dyDescent="0.3"/>
    <row r="964" customFormat="1" ht="14.25" customHeight="1" x14ac:dyDescent="0.3"/>
    <row r="965" customFormat="1" ht="14.25" customHeight="1" x14ac:dyDescent="0.3"/>
    <row r="966" customFormat="1" ht="14.25" customHeight="1" x14ac:dyDescent="0.3"/>
    <row r="967" customFormat="1" ht="14.25" customHeight="1" x14ac:dyDescent="0.3"/>
    <row r="968" customFormat="1" ht="14.25" customHeight="1" x14ac:dyDescent="0.3"/>
    <row r="969" customFormat="1" ht="14.25" customHeight="1" x14ac:dyDescent="0.3"/>
    <row r="970" customFormat="1" ht="14.25" customHeight="1" x14ac:dyDescent="0.3"/>
    <row r="971" customFormat="1" ht="14.25" customHeight="1" x14ac:dyDescent="0.3"/>
    <row r="972" customFormat="1" ht="14.25" customHeight="1" x14ac:dyDescent="0.3"/>
    <row r="973" customFormat="1" ht="14.25" customHeight="1" x14ac:dyDescent="0.3"/>
    <row r="974" customFormat="1" ht="14.25" customHeight="1" x14ac:dyDescent="0.3"/>
    <row r="975" customFormat="1" ht="14.25" customHeight="1" x14ac:dyDescent="0.3"/>
    <row r="976" customFormat="1" ht="14.25" customHeight="1" x14ac:dyDescent="0.3"/>
    <row r="977" customFormat="1" ht="14.25" customHeight="1" x14ac:dyDescent="0.3"/>
    <row r="978" customFormat="1" ht="14.25" customHeight="1" x14ac:dyDescent="0.3"/>
    <row r="979" customFormat="1" ht="14.25" customHeight="1" x14ac:dyDescent="0.3"/>
    <row r="980" customFormat="1" ht="14.25" customHeight="1" x14ac:dyDescent="0.3"/>
    <row r="981" customFormat="1" ht="14.25" customHeight="1" x14ac:dyDescent="0.3"/>
    <row r="982" customFormat="1" ht="14.25" customHeight="1" x14ac:dyDescent="0.3"/>
    <row r="983" customFormat="1" ht="14.25" customHeight="1" x14ac:dyDescent="0.3"/>
    <row r="984" customFormat="1" ht="14.25" customHeight="1" x14ac:dyDescent="0.3"/>
    <row r="985" customFormat="1" ht="14.25" customHeight="1" x14ac:dyDescent="0.3"/>
    <row r="986" customFormat="1" ht="14.25" customHeight="1" x14ac:dyDescent="0.3"/>
    <row r="987" customFormat="1" ht="14.25" customHeight="1" x14ac:dyDescent="0.3"/>
    <row r="988" customFormat="1" ht="14.25" customHeight="1" x14ac:dyDescent="0.3"/>
    <row r="989" customFormat="1" ht="14.25" customHeight="1" x14ac:dyDescent="0.3"/>
    <row r="990" customFormat="1" ht="14.25" customHeight="1" x14ac:dyDescent="0.3"/>
    <row r="991" customFormat="1" ht="14.25" customHeight="1" x14ac:dyDescent="0.3"/>
    <row r="992" customFormat="1" ht="14.25" customHeight="1" x14ac:dyDescent="0.3"/>
    <row r="993" customFormat="1" ht="14.25" customHeight="1" x14ac:dyDescent="0.3"/>
    <row r="994" customFormat="1" ht="14.25" customHeight="1" x14ac:dyDescent="0.3"/>
    <row r="995" customFormat="1" ht="14.25" customHeight="1" x14ac:dyDescent="0.3"/>
    <row r="996" customFormat="1" ht="14.25" customHeight="1" x14ac:dyDescent="0.3"/>
    <row r="997" customFormat="1" ht="14.25" customHeight="1" x14ac:dyDescent="0.3"/>
    <row r="998" customFormat="1" ht="14.25" customHeight="1" x14ac:dyDescent="0.3"/>
    <row r="999" customFormat="1" ht="14.25" customHeight="1" x14ac:dyDescent="0.3"/>
    <row r="1000" customFormat="1" ht="14.25" customHeight="1" x14ac:dyDescent="0.3"/>
  </sheetData>
  <mergeCells count="4">
    <mergeCell ref="A1:H1"/>
    <mergeCell ref="A3:A34"/>
    <mergeCell ref="H3:H34"/>
    <mergeCell ref="B4:B23"/>
  </mergeCells>
  <hyperlinks>
    <hyperlink ref="D31" r:id="rId1" xr:uid="{96182CEA-30F7-49C0-B02E-5A1D56352319}"/>
    <hyperlink ref="D32:D34" r:id="rId2" display="SRT10KXLT" xr:uid="{73CD29C6-C8D7-4D95-A4CE-2AB716220973}"/>
    <hyperlink ref="C41" r:id="rId3" display="2 x Daikin DFC090" xr:uid="{911D120A-EAEF-4E6D-A4A9-60D3ABC78A1E}"/>
    <hyperlink ref="C40" r:id="rId4" display="2 x Daikin DFC090" xr:uid="{AE70FA36-50E3-4DB7-AEE5-FBA4E45CCFB9}"/>
    <hyperlink ref="A1:H1" r:id="rId5" display="Open Frame Server 58U Rack" xr:uid="{BEF3D624-422F-4782-A58F-6BB0CE399208}"/>
  </hyperlinks>
  <pageMargins left="0.7" right="0.7" top="0.75" bottom="0.75" header="0" footer="0"/>
  <pageSetup orientation="landscape"/>
  <legacyDrawing r:id="rId6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CA82D-4E23-4B2C-8686-6CF83076A013}">
  <dimension ref="A1:H1000"/>
  <sheetViews>
    <sheetView tabSelected="1" topLeftCell="A19" workbookViewId="0">
      <selection activeCell="C38" sqref="C38"/>
    </sheetView>
  </sheetViews>
  <sheetFormatPr defaultColWidth="14.44140625" defaultRowHeight="14.4" x14ac:dyDescent="0.3"/>
  <cols>
    <col min="1" max="2" width="8.6640625" customWidth="1"/>
    <col min="3" max="3" width="23.33203125" customWidth="1"/>
    <col min="4" max="4" width="29.77734375" customWidth="1"/>
    <col min="5" max="5" width="28.109375" customWidth="1"/>
    <col min="6" max="6" width="26.88671875" customWidth="1"/>
    <col min="7" max="26" width="8.6640625" customWidth="1"/>
  </cols>
  <sheetData>
    <row r="1" spans="1:8" ht="14.25" customHeight="1" thickBot="1" x14ac:dyDescent="0.35">
      <c r="A1" s="209" t="s">
        <v>306</v>
      </c>
      <c r="B1" s="209"/>
      <c r="C1" s="209"/>
      <c r="D1" s="209"/>
      <c r="E1" s="209"/>
      <c r="F1" s="209"/>
      <c r="G1" s="209"/>
      <c r="H1" s="209"/>
    </row>
    <row r="2" spans="1:8" ht="14.25" customHeight="1" thickBot="1" x14ac:dyDescent="0.35">
      <c r="A2" s="211" t="s">
        <v>131</v>
      </c>
      <c r="B2" s="180" t="s">
        <v>132</v>
      </c>
      <c r="C2" s="212" t="s">
        <v>133</v>
      </c>
      <c r="D2" s="212" t="s">
        <v>134</v>
      </c>
      <c r="E2" s="212" t="s">
        <v>135</v>
      </c>
      <c r="F2" s="212" t="s">
        <v>290</v>
      </c>
      <c r="G2" s="213" t="s">
        <v>288</v>
      </c>
      <c r="H2" s="214" t="s">
        <v>131</v>
      </c>
    </row>
    <row r="3" spans="1:8" ht="14.25" customHeight="1" thickBot="1" x14ac:dyDescent="0.35">
      <c r="A3" s="183" t="s">
        <v>136</v>
      </c>
      <c r="B3" s="182">
        <v>1</v>
      </c>
      <c r="C3" s="215" t="s">
        <v>296</v>
      </c>
      <c r="D3" s="215" t="s">
        <v>295</v>
      </c>
      <c r="E3" s="215">
        <v>72</v>
      </c>
      <c r="F3" s="215"/>
      <c r="G3" s="216"/>
      <c r="H3" s="183" t="s">
        <v>136</v>
      </c>
    </row>
    <row r="4" spans="1:8" ht="14.25" customHeight="1" x14ac:dyDescent="0.3">
      <c r="A4" s="181"/>
      <c r="B4" s="280">
        <v>13</v>
      </c>
      <c r="C4" s="210" t="s">
        <v>281</v>
      </c>
      <c r="D4" s="217" t="s">
        <v>197</v>
      </c>
      <c r="E4" s="217"/>
      <c r="F4" s="218"/>
      <c r="G4" s="270"/>
      <c r="H4" s="181"/>
    </row>
    <row r="5" spans="1:8" ht="14.25" customHeight="1" x14ac:dyDescent="0.3">
      <c r="A5" s="181"/>
      <c r="B5" s="281"/>
      <c r="C5" s="219" t="s">
        <v>282</v>
      </c>
      <c r="D5" s="219" t="str">
        <f>'Tech Stack'!B52</f>
        <v>C9400-SUP-1XL</v>
      </c>
      <c r="E5" s="219">
        <v>2</v>
      </c>
      <c r="F5" s="219">
        <v>-350</v>
      </c>
      <c r="G5" s="271">
        <f>ABS(F5)*3.41</f>
        <v>1193.5</v>
      </c>
      <c r="H5" s="181"/>
    </row>
    <row r="6" spans="1:8" ht="14.25" customHeight="1" x14ac:dyDescent="0.3">
      <c r="A6" s="181"/>
      <c r="B6" s="281"/>
      <c r="C6" s="219" t="s">
        <v>282</v>
      </c>
      <c r="D6" s="219"/>
      <c r="E6" s="219"/>
      <c r="F6" s="219"/>
      <c r="G6" s="271">
        <f t="shared" ref="G6:G23" si="0">ABS(F6)*3.41</f>
        <v>0</v>
      </c>
      <c r="H6" s="181"/>
    </row>
    <row r="7" spans="1:8" ht="14.25" customHeight="1" x14ac:dyDescent="0.3">
      <c r="A7" s="181"/>
      <c r="B7" s="281"/>
      <c r="C7" s="219" t="s">
        <v>283</v>
      </c>
      <c r="D7" s="219" t="str">
        <f>'Tech Stack'!B56</f>
        <v>C9400-LC-12QC (12x40GE)</v>
      </c>
      <c r="E7" s="219">
        <v>12</v>
      </c>
      <c r="F7" s="219">
        <v>-280</v>
      </c>
      <c r="G7" s="271">
        <f t="shared" si="0"/>
        <v>954.80000000000007</v>
      </c>
      <c r="H7" s="181"/>
    </row>
    <row r="8" spans="1:8" ht="14.25" customHeight="1" x14ac:dyDescent="0.3">
      <c r="A8" s="181"/>
      <c r="B8" s="281"/>
      <c r="C8" s="219" t="s">
        <v>284</v>
      </c>
      <c r="D8" s="219" t="str">
        <f>'Tech Stack'!B53</f>
        <v>C9400-LC-48P</v>
      </c>
      <c r="E8" s="219">
        <v>48</v>
      </c>
      <c r="F8" s="219">
        <f>-(E8*30+65)</f>
        <v>-1505</v>
      </c>
      <c r="G8" s="271">
        <f>(ABS(F8)-E8*30)*3.41</f>
        <v>221.65</v>
      </c>
      <c r="H8" s="181"/>
    </row>
    <row r="9" spans="1:8" ht="14.25" customHeight="1" x14ac:dyDescent="0.3">
      <c r="A9" s="181"/>
      <c r="B9" s="281"/>
      <c r="C9" s="219" t="s">
        <v>284</v>
      </c>
      <c r="D9" s="219" t="str">
        <f>'Tech Stack'!B53</f>
        <v>C9400-LC-48P</v>
      </c>
      <c r="E9" s="219">
        <v>48</v>
      </c>
      <c r="F9" s="219">
        <f t="shared" ref="F9:F13" si="1">-(E9*30+65)</f>
        <v>-1505</v>
      </c>
      <c r="G9" s="271">
        <f t="shared" ref="G9:G13" si="2">(ABS(F9)-E9*30)*3.41</f>
        <v>221.65</v>
      </c>
      <c r="H9" s="181"/>
    </row>
    <row r="10" spans="1:8" ht="14.25" customHeight="1" x14ac:dyDescent="0.3">
      <c r="A10" s="181"/>
      <c r="B10" s="281"/>
      <c r="C10" s="219" t="s">
        <v>284</v>
      </c>
      <c r="D10" s="219" t="str">
        <f>'Tech Stack'!B53</f>
        <v>C9400-LC-48P</v>
      </c>
      <c r="E10" s="219">
        <v>48</v>
      </c>
      <c r="F10" s="219">
        <f t="shared" si="1"/>
        <v>-1505</v>
      </c>
      <c r="G10" s="271">
        <f t="shared" si="2"/>
        <v>221.65</v>
      </c>
      <c r="H10" s="181"/>
    </row>
    <row r="11" spans="1:8" ht="14.25" customHeight="1" x14ac:dyDescent="0.3">
      <c r="A11" s="181"/>
      <c r="B11" s="281"/>
      <c r="C11" s="219" t="s">
        <v>284</v>
      </c>
      <c r="D11" s="219" t="str">
        <f>'Tech Stack'!B53</f>
        <v>C9400-LC-48P</v>
      </c>
      <c r="E11" s="219">
        <v>48</v>
      </c>
      <c r="F11" s="219">
        <f t="shared" si="1"/>
        <v>-1505</v>
      </c>
      <c r="G11" s="271">
        <f t="shared" si="2"/>
        <v>221.65</v>
      </c>
      <c r="H11" s="181"/>
    </row>
    <row r="12" spans="1:8" ht="14.25" customHeight="1" x14ac:dyDescent="0.3">
      <c r="A12" s="181"/>
      <c r="B12" s="281"/>
      <c r="C12" s="219" t="s">
        <v>284</v>
      </c>
      <c r="D12" s="219" t="str">
        <f>'Tech Stack'!B53</f>
        <v>C9400-LC-48P</v>
      </c>
      <c r="E12" s="219">
        <v>48</v>
      </c>
      <c r="F12" s="219">
        <f t="shared" si="1"/>
        <v>-1505</v>
      </c>
      <c r="G12" s="271">
        <f t="shared" si="2"/>
        <v>221.65</v>
      </c>
      <c r="H12" s="181"/>
    </row>
    <row r="13" spans="1:8" ht="14.25" customHeight="1" x14ac:dyDescent="0.3">
      <c r="A13" s="181"/>
      <c r="B13" s="281"/>
      <c r="C13" s="219" t="s">
        <v>285</v>
      </c>
      <c r="D13" s="219" t="str">
        <f>'Tech Stack'!B53</f>
        <v>C9400-LC-48P</v>
      </c>
      <c r="E13" s="219">
        <v>48</v>
      </c>
      <c r="F13" s="219">
        <f t="shared" si="1"/>
        <v>-1505</v>
      </c>
      <c r="G13" s="271">
        <f t="shared" si="2"/>
        <v>221.65</v>
      </c>
      <c r="H13" s="181"/>
    </row>
    <row r="14" spans="1:8" ht="14.25" customHeight="1" x14ac:dyDescent="0.3">
      <c r="A14" s="181"/>
      <c r="B14" s="281"/>
      <c r="C14" s="219" t="s">
        <v>286</v>
      </c>
      <c r="D14" s="219" t="str">
        <f>'Tech Stack'!B57</f>
        <v>C9400-LC-48UX</v>
      </c>
      <c r="E14" s="219">
        <v>48</v>
      </c>
      <c r="F14" s="219">
        <f>-(60*E14+70)</f>
        <v>-2950</v>
      </c>
      <c r="G14" s="271">
        <f>(ABS(F14)-E14*60)*3.41</f>
        <v>238.70000000000002</v>
      </c>
      <c r="H14" s="181"/>
    </row>
    <row r="15" spans="1:8" ht="14.25" customHeight="1" x14ac:dyDescent="0.3">
      <c r="A15" s="181"/>
      <c r="B15" s="281"/>
      <c r="C15" s="220" t="s">
        <v>287</v>
      </c>
      <c r="D15" s="221" t="s">
        <v>289</v>
      </c>
      <c r="E15" s="222"/>
      <c r="F15" s="223">
        <v>3200</v>
      </c>
      <c r="G15" s="272">
        <f t="shared" si="0"/>
        <v>10912</v>
      </c>
      <c r="H15" s="181"/>
    </row>
    <row r="16" spans="1:8" ht="14.25" customHeight="1" x14ac:dyDescent="0.3">
      <c r="A16" s="181"/>
      <c r="B16" s="281"/>
      <c r="C16" s="220" t="s">
        <v>287</v>
      </c>
      <c r="D16" s="224" t="s">
        <v>289</v>
      </c>
      <c r="E16" s="222"/>
      <c r="F16" s="225">
        <v>3200</v>
      </c>
      <c r="G16" s="273">
        <f t="shared" si="0"/>
        <v>10912</v>
      </c>
      <c r="H16" s="181"/>
    </row>
    <row r="17" spans="1:8" ht="14.25" customHeight="1" x14ac:dyDescent="0.3">
      <c r="A17" s="181"/>
      <c r="B17" s="281"/>
      <c r="C17" s="220" t="s">
        <v>287</v>
      </c>
      <c r="D17" s="224" t="s">
        <v>289</v>
      </c>
      <c r="E17" s="222"/>
      <c r="F17" s="225">
        <v>3200</v>
      </c>
      <c r="G17" s="273">
        <f t="shared" si="0"/>
        <v>10912</v>
      </c>
      <c r="H17" s="181"/>
    </row>
    <row r="18" spans="1:8" ht="14.25" customHeight="1" x14ac:dyDescent="0.3">
      <c r="A18" s="181"/>
      <c r="B18" s="281"/>
      <c r="C18" s="220" t="s">
        <v>287</v>
      </c>
      <c r="D18" s="224" t="s">
        <v>289</v>
      </c>
      <c r="E18" s="226"/>
      <c r="F18" s="225">
        <v>3200</v>
      </c>
      <c r="G18" s="273">
        <f t="shared" si="0"/>
        <v>10912</v>
      </c>
      <c r="H18" s="181"/>
    </row>
    <row r="19" spans="1:8" ht="14.25" customHeight="1" x14ac:dyDescent="0.3">
      <c r="A19" s="181"/>
      <c r="B19" s="281"/>
      <c r="C19" s="220" t="s">
        <v>287</v>
      </c>
      <c r="D19" s="224" t="s">
        <v>289</v>
      </c>
      <c r="E19" s="226"/>
      <c r="F19" s="225">
        <v>3200</v>
      </c>
      <c r="G19" s="273">
        <f t="shared" si="0"/>
        <v>10912</v>
      </c>
      <c r="H19" s="181"/>
    </row>
    <row r="20" spans="1:8" ht="14.25" customHeight="1" x14ac:dyDescent="0.3">
      <c r="A20" s="181"/>
      <c r="B20" s="281"/>
      <c r="C20" s="220" t="s">
        <v>287</v>
      </c>
      <c r="D20" s="224" t="s">
        <v>289</v>
      </c>
      <c r="E20" s="226"/>
      <c r="F20" s="225">
        <v>3200</v>
      </c>
      <c r="G20" s="273">
        <f t="shared" si="0"/>
        <v>10912</v>
      </c>
      <c r="H20" s="181"/>
    </row>
    <row r="21" spans="1:8" ht="14.25" customHeight="1" x14ac:dyDescent="0.3">
      <c r="A21" s="181"/>
      <c r="B21" s="281"/>
      <c r="C21" s="220" t="s">
        <v>287</v>
      </c>
      <c r="D21" s="224"/>
      <c r="E21" s="226"/>
      <c r="F21" s="225"/>
      <c r="G21" s="273">
        <f t="shared" si="0"/>
        <v>0</v>
      </c>
      <c r="H21" s="181"/>
    </row>
    <row r="22" spans="1:8" ht="14.25" customHeight="1" x14ac:dyDescent="0.3">
      <c r="A22" s="181"/>
      <c r="B22" s="281"/>
      <c r="C22" s="227" t="s">
        <v>287</v>
      </c>
      <c r="D22" s="228"/>
      <c r="E22" s="229"/>
      <c r="F22" s="230"/>
      <c r="G22" s="274">
        <f t="shared" si="0"/>
        <v>0</v>
      </c>
      <c r="H22" s="181"/>
    </row>
    <row r="23" spans="1:8" ht="14.25" customHeight="1" thickBot="1" x14ac:dyDescent="0.35">
      <c r="A23" s="181"/>
      <c r="B23" s="282"/>
      <c r="C23" s="231" t="s">
        <v>294</v>
      </c>
      <c r="D23" s="231" t="s">
        <v>291</v>
      </c>
      <c r="E23" s="231"/>
      <c r="F23" s="231">
        <v>600</v>
      </c>
      <c r="G23" s="260">
        <f t="shared" si="0"/>
        <v>2046</v>
      </c>
      <c r="H23" s="181"/>
    </row>
    <row r="24" spans="1:8" ht="14.25" customHeight="1" x14ac:dyDescent="0.3">
      <c r="A24" s="184"/>
      <c r="B24" s="298">
        <v>2</v>
      </c>
      <c r="C24" s="232" t="s">
        <v>298</v>
      </c>
      <c r="D24" s="233" t="s">
        <v>297</v>
      </c>
      <c r="E24" s="234">
        <v>48</v>
      </c>
      <c r="F24" s="234"/>
      <c r="G24" s="235"/>
      <c r="H24" s="181"/>
    </row>
    <row r="25" spans="1:8" ht="14.25" customHeight="1" x14ac:dyDescent="0.3">
      <c r="A25" s="184"/>
      <c r="B25" s="185">
        <v>2</v>
      </c>
      <c r="C25" s="236" t="s">
        <v>298</v>
      </c>
      <c r="D25" s="237" t="s">
        <v>297</v>
      </c>
      <c r="E25" s="238">
        <v>48</v>
      </c>
      <c r="F25" s="239"/>
      <c r="G25" s="240"/>
      <c r="H25" s="181"/>
    </row>
    <row r="26" spans="1:8" ht="14.25" customHeight="1" x14ac:dyDescent="0.3">
      <c r="A26" s="184"/>
      <c r="B26" s="185">
        <v>2</v>
      </c>
      <c r="C26" s="236" t="s">
        <v>298</v>
      </c>
      <c r="D26" s="237" t="s">
        <v>297</v>
      </c>
      <c r="E26" s="238">
        <v>48</v>
      </c>
      <c r="F26" s="239"/>
      <c r="G26" s="240"/>
      <c r="H26" s="181"/>
    </row>
    <row r="27" spans="1:8" ht="14.25" customHeight="1" x14ac:dyDescent="0.3">
      <c r="A27" s="184"/>
      <c r="B27" s="185">
        <v>2</v>
      </c>
      <c r="C27" s="236" t="s">
        <v>298</v>
      </c>
      <c r="D27" s="237" t="s">
        <v>297</v>
      </c>
      <c r="E27" s="238">
        <v>48</v>
      </c>
      <c r="F27" s="239"/>
      <c r="G27" s="240"/>
      <c r="H27" s="181"/>
    </row>
    <row r="28" spans="1:8" ht="14.25" customHeight="1" x14ac:dyDescent="0.3">
      <c r="A28" s="184"/>
      <c r="B28" s="185">
        <v>2</v>
      </c>
      <c r="C28" s="215" t="s">
        <v>298</v>
      </c>
      <c r="D28" s="241" t="s">
        <v>297</v>
      </c>
      <c r="E28" s="242">
        <v>48</v>
      </c>
      <c r="F28" s="243"/>
      <c r="G28" s="244"/>
      <c r="H28" s="181"/>
    </row>
    <row r="29" spans="1:8" ht="14.25" customHeight="1" x14ac:dyDescent="0.3">
      <c r="A29" s="184"/>
      <c r="B29" s="185">
        <v>2</v>
      </c>
      <c r="C29" s="245" t="s">
        <v>298</v>
      </c>
      <c r="D29" s="245" t="s">
        <v>297</v>
      </c>
      <c r="E29" s="245">
        <v>48</v>
      </c>
      <c r="F29" s="245"/>
      <c r="G29" s="246"/>
      <c r="H29" s="181"/>
    </row>
    <row r="30" spans="1:8" ht="14.25" customHeight="1" thickBot="1" x14ac:dyDescent="0.35">
      <c r="A30" s="184"/>
      <c r="B30" s="299">
        <v>2</v>
      </c>
      <c r="C30" s="247" t="s">
        <v>298</v>
      </c>
      <c r="D30" s="247" t="s">
        <v>297</v>
      </c>
      <c r="E30" s="247">
        <v>48</v>
      </c>
      <c r="F30" s="247"/>
      <c r="G30" s="248"/>
      <c r="H30" s="181"/>
    </row>
    <row r="31" spans="1:8" ht="14.25" customHeight="1" x14ac:dyDescent="0.3">
      <c r="A31" s="181"/>
      <c r="B31" s="294">
        <v>6</v>
      </c>
      <c r="C31" s="295" t="s">
        <v>300</v>
      </c>
      <c r="D31" s="296" t="s">
        <v>302</v>
      </c>
      <c r="E31" s="295"/>
      <c r="F31" s="295">
        <v>10000</v>
      </c>
      <c r="G31" s="297">
        <v>2450</v>
      </c>
      <c r="H31" s="181"/>
    </row>
    <row r="32" spans="1:8" ht="14.25" customHeight="1" x14ac:dyDescent="0.3">
      <c r="A32" s="181"/>
      <c r="B32" s="194">
        <v>6</v>
      </c>
      <c r="C32" s="261" t="s">
        <v>300</v>
      </c>
      <c r="D32" s="264" t="s">
        <v>302</v>
      </c>
      <c r="E32" s="261"/>
      <c r="F32" s="261">
        <v>10000</v>
      </c>
      <c r="G32" s="263">
        <v>2450</v>
      </c>
      <c r="H32" s="181"/>
    </row>
    <row r="33" spans="1:8" ht="14.25" customHeight="1" x14ac:dyDescent="0.3">
      <c r="A33" s="181"/>
      <c r="B33" s="194">
        <v>6</v>
      </c>
      <c r="C33" s="261" t="s">
        <v>300</v>
      </c>
      <c r="D33" s="264" t="s">
        <v>302</v>
      </c>
      <c r="E33" s="261"/>
      <c r="F33" s="261">
        <v>10000</v>
      </c>
      <c r="G33" s="263">
        <v>2450</v>
      </c>
      <c r="H33" s="181"/>
    </row>
    <row r="34" spans="1:8" ht="14.25" customHeight="1" thickBot="1" x14ac:dyDescent="0.35">
      <c r="A34" s="191"/>
      <c r="B34" s="194">
        <v>6</v>
      </c>
      <c r="C34" s="261" t="s">
        <v>300</v>
      </c>
      <c r="D34" s="264" t="s">
        <v>302</v>
      </c>
      <c r="E34" s="261"/>
      <c r="F34" s="261">
        <v>10000</v>
      </c>
      <c r="G34" s="263">
        <v>2450</v>
      </c>
      <c r="H34" s="191"/>
    </row>
    <row r="35" spans="1:8" ht="14.25" customHeight="1" thickBot="1" x14ac:dyDescent="0.35">
      <c r="A35" s="265" t="s">
        <v>138</v>
      </c>
      <c r="B35" s="192">
        <f>SUM(B4:B34)</f>
        <v>51</v>
      </c>
      <c r="C35" s="266"/>
      <c r="D35" s="266"/>
      <c r="E35" s="266"/>
      <c r="F35" s="266">
        <f>SUM(F5:F34)</f>
        <v>47190</v>
      </c>
      <c r="G35" s="266">
        <f>SUM(G4:G34)</f>
        <v>81034.899999999994</v>
      </c>
      <c r="H35" s="267"/>
    </row>
    <row r="36" spans="1:8" ht="14.25" customHeight="1" x14ac:dyDescent="0.3">
      <c r="B36" s="193"/>
      <c r="C36" s="193"/>
      <c r="D36" s="193"/>
      <c r="E36" s="268" t="s">
        <v>301</v>
      </c>
      <c r="F36" s="268">
        <f>SUM(F15:F23)</f>
        <v>19800</v>
      </c>
      <c r="G36" s="193"/>
    </row>
    <row r="37" spans="1:8" ht="14.25" customHeight="1" x14ac:dyDescent="0.3">
      <c r="B37" s="193"/>
      <c r="C37" s="193"/>
      <c r="D37" s="193"/>
      <c r="E37" s="269" t="s">
        <v>303</v>
      </c>
      <c r="F37" s="269">
        <f>SUM(F31:F34)</f>
        <v>40000</v>
      </c>
      <c r="G37" s="193"/>
    </row>
    <row r="38" spans="1:8" ht="14.25" customHeight="1" x14ac:dyDescent="0.3">
      <c r="B38" s="30"/>
      <c r="E38" s="196"/>
      <c r="G38" s="195"/>
    </row>
    <row r="39" spans="1:8" ht="14.25" customHeight="1" thickBot="1" x14ac:dyDescent="0.35">
      <c r="D39" s="20" t="s">
        <v>139</v>
      </c>
      <c r="E39" s="20" t="s">
        <v>140</v>
      </c>
    </row>
    <row r="40" spans="1:8" ht="14.25" customHeight="1" thickBot="1" x14ac:dyDescent="0.35">
      <c r="B40" s="197" t="s">
        <v>141</v>
      </c>
      <c r="C40" s="198" t="s">
        <v>304</v>
      </c>
      <c r="D40" s="199">
        <v>12000</v>
      </c>
      <c r="E40" s="200">
        <v>86000</v>
      </c>
    </row>
    <row r="41" spans="1:8" ht="14.25" customHeight="1" thickBot="1" x14ac:dyDescent="0.35">
      <c r="B41" s="201" t="s">
        <v>142</v>
      </c>
      <c r="C41" s="202" t="s">
        <v>304</v>
      </c>
      <c r="D41" s="199">
        <v>12000</v>
      </c>
      <c r="E41" s="203">
        <v>86000</v>
      </c>
    </row>
    <row r="42" spans="1:8" ht="14.25" customHeight="1" x14ac:dyDescent="0.3">
      <c r="C42" s="21" t="s">
        <v>138</v>
      </c>
      <c r="D42" s="21">
        <f t="shared" ref="D42:E42" si="3">SUM(D40:D41)</f>
        <v>24000</v>
      </c>
      <c r="E42" s="21">
        <f t="shared" si="3"/>
        <v>172000</v>
      </c>
    </row>
    <row r="43" spans="1:8" ht="14.25" customHeight="1" x14ac:dyDescent="0.3">
      <c r="B43" s="30"/>
      <c r="E43" s="13"/>
      <c r="F43" s="13"/>
      <c r="G43" s="13"/>
    </row>
    <row r="44" spans="1:8" ht="14.25" customHeight="1" x14ac:dyDescent="0.3">
      <c r="B44" s="204" t="s">
        <v>143</v>
      </c>
      <c r="C44" s="205">
        <f>SUM('Tech Stack'!B43:E43)</f>
        <v>244</v>
      </c>
      <c r="E44" s="22"/>
      <c r="F44" s="13"/>
      <c r="G44" s="13"/>
    </row>
    <row r="45" spans="1:8" ht="14.25" customHeight="1" x14ac:dyDescent="0.3">
      <c r="B45" s="206" t="s">
        <v>144</v>
      </c>
      <c r="C45" s="207">
        <f>COUNTIF(C2:C35,"UTP Patch Panel")*48</f>
        <v>336</v>
      </c>
      <c r="E45" s="13"/>
      <c r="F45" s="13"/>
      <c r="G45" s="13"/>
    </row>
    <row r="46" spans="1:8" ht="14.25" customHeight="1" x14ac:dyDescent="0.3"/>
    <row r="47" spans="1:8" ht="14.25" customHeight="1" x14ac:dyDescent="0.3"/>
    <row r="48" spans="1:8" ht="14.25" customHeight="1" x14ac:dyDescent="0.3"/>
    <row r="49" customFormat="1" ht="14.25" customHeight="1" x14ac:dyDescent="0.3"/>
    <row r="50" customFormat="1" ht="14.25" customHeight="1" x14ac:dyDescent="0.3"/>
    <row r="51" customFormat="1" ht="14.25" customHeight="1" x14ac:dyDescent="0.3"/>
    <row r="52" customFormat="1" ht="14.25" customHeight="1" x14ac:dyDescent="0.3"/>
    <row r="53" customFormat="1" ht="14.25" customHeight="1" x14ac:dyDescent="0.3"/>
    <row r="54" customFormat="1" ht="14.25" customHeight="1" x14ac:dyDescent="0.3"/>
    <row r="55" customFormat="1" ht="14.25" customHeight="1" x14ac:dyDescent="0.3"/>
    <row r="56" customFormat="1" ht="14.25" customHeight="1" x14ac:dyDescent="0.3"/>
    <row r="57" customFormat="1" ht="14.25" customHeight="1" x14ac:dyDescent="0.3"/>
    <row r="58" customFormat="1" ht="14.25" customHeight="1" x14ac:dyDescent="0.3"/>
    <row r="59" customFormat="1" ht="14.25" customHeight="1" x14ac:dyDescent="0.3"/>
    <row r="60" customFormat="1" ht="14.25" customHeight="1" x14ac:dyDescent="0.3"/>
    <row r="61" customFormat="1" ht="14.25" customHeight="1" x14ac:dyDescent="0.3"/>
    <row r="62" customFormat="1" ht="14.25" customHeight="1" x14ac:dyDescent="0.3"/>
    <row r="63" customFormat="1" ht="14.25" customHeight="1" x14ac:dyDescent="0.3"/>
    <row r="64" customFormat="1" ht="14.25" customHeight="1" x14ac:dyDescent="0.3"/>
    <row r="65" customFormat="1" ht="14.25" customHeight="1" x14ac:dyDescent="0.3"/>
    <row r="66" customFormat="1" ht="14.25" customHeight="1" x14ac:dyDescent="0.3"/>
    <row r="67" customFormat="1" ht="14.25" customHeight="1" x14ac:dyDescent="0.3"/>
    <row r="68" customFormat="1" ht="14.25" customHeight="1" x14ac:dyDescent="0.3"/>
    <row r="69" customFormat="1" ht="14.25" customHeight="1" x14ac:dyDescent="0.3"/>
    <row r="70" customFormat="1" ht="14.25" customHeight="1" x14ac:dyDescent="0.3"/>
    <row r="71" customFormat="1" ht="14.25" customHeight="1" x14ac:dyDescent="0.3"/>
    <row r="72" customFormat="1" ht="14.25" customHeight="1" x14ac:dyDescent="0.3"/>
    <row r="73" customFormat="1" ht="14.25" customHeight="1" x14ac:dyDescent="0.3"/>
    <row r="74" customFormat="1" ht="14.25" customHeight="1" x14ac:dyDescent="0.3"/>
    <row r="75" customFormat="1" ht="14.25" customHeight="1" x14ac:dyDescent="0.3"/>
    <row r="76" customFormat="1" ht="14.25" customHeight="1" x14ac:dyDescent="0.3"/>
    <row r="77" customFormat="1" ht="14.25" customHeight="1" x14ac:dyDescent="0.3"/>
    <row r="78" customFormat="1" ht="14.25" customHeight="1" x14ac:dyDescent="0.3"/>
    <row r="79" customFormat="1" ht="14.25" customHeight="1" x14ac:dyDescent="0.3"/>
    <row r="80" customFormat="1" ht="14.25" customHeight="1" x14ac:dyDescent="0.3"/>
    <row r="81" customFormat="1" ht="14.25" customHeight="1" x14ac:dyDescent="0.3"/>
    <row r="82" customFormat="1" ht="14.25" customHeight="1" x14ac:dyDescent="0.3"/>
    <row r="83" customFormat="1" ht="14.25" customHeight="1" x14ac:dyDescent="0.3"/>
    <row r="84" customFormat="1" ht="14.25" customHeight="1" x14ac:dyDescent="0.3"/>
    <row r="85" customFormat="1" ht="14.25" customHeight="1" x14ac:dyDescent="0.3"/>
    <row r="86" customFormat="1" ht="14.25" customHeight="1" x14ac:dyDescent="0.3"/>
    <row r="87" customFormat="1" ht="14.25" customHeight="1" x14ac:dyDescent="0.3"/>
    <row r="88" customFormat="1" ht="14.25" customHeight="1" x14ac:dyDescent="0.3"/>
    <row r="89" customFormat="1" ht="14.25" customHeight="1" x14ac:dyDescent="0.3"/>
    <row r="90" customFormat="1" ht="14.25" customHeight="1" x14ac:dyDescent="0.3"/>
    <row r="91" customFormat="1" ht="14.25" customHeight="1" x14ac:dyDescent="0.3"/>
    <row r="92" customFormat="1" ht="14.25" customHeight="1" x14ac:dyDescent="0.3"/>
    <row r="93" customFormat="1" ht="14.25" customHeight="1" x14ac:dyDescent="0.3"/>
    <row r="94" customFormat="1" ht="14.25" customHeight="1" x14ac:dyDescent="0.3"/>
    <row r="95" customFormat="1" ht="14.25" customHeight="1" x14ac:dyDescent="0.3"/>
    <row r="96" customFormat="1" ht="14.25" customHeight="1" x14ac:dyDescent="0.3"/>
    <row r="97" customFormat="1" ht="14.25" customHeight="1" x14ac:dyDescent="0.3"/>
    <row r="98" customFormat="1" ht="14.25" customHeight="1" x14ac:dyDescent="0.3"/>
    <row r="99" customFormat="1" ht="14.25" customHeight="1" x14ac:dyDescent="0.3"/>
    <row r="100" customFormat="1" ht="14.25" customHeight="1" x14ac:dyDescent="0.3"/>
    <row r="101" customFormat="1" ht="14.25" customHeight="1" x14ac:dyDescent="0.3"/>
    <row r="102" customFormat="1" ht="14.25" customHeight="1" x14ac:dyDescent="0.3"/>
    <row r="103" customFormat="1" ht="14.25" customHeight="1" x14ac:dyDescent="0.3"/>
    <row r="104" customFormat="1" ht="14.25" customHeight="1" x14ac:dyDescent="0.3"/>
    <row r="105" customFormat="1" ht="14.25" customHeight="1" x14ac:dyDescent="0.3"/>
    <row r="106" customFormat="1" ht="14.25" customHeight="1" x14ac:dyDescent="0.3"/>
    <row r="107" customFormat="1" ht="14.25" customHeight="1" x14ac:dyDescent="0.3"/>
    <row r="108" customFormat="1" ht="14.25" customHeight="1" x14ac:dyDescent="0.3"/>
    <row r="109" customFormat="1" ht="14.25" customHeight="1" x14ac:dyDescent="0.3"/>
    <row r="110" customFormat="1" ht="14.25" customHeight="1" x14ac:dyDescent="0.3"/>
    <row r="111" customFormat="1" ht="14.25" customHeight="1" x14ac:dyDescent="0.3"/>
    <row r="112" customFormat="1" ht="14.25" customHeight="1" x14ac:dyDescent="0.3"/>
    <row r="113" customFormat="1" ht="14.25" customHeight="1" x14ac:dyDescent="0.3"/>
    <row r="114" customFormat="1" ht="14.25" customHeight="1" x14ac:dyDescent="0.3"/>
    <row r="115" customFormat="1" ht="14.25" customHeight="1" x14ac:dyDescent="0.3"/>
    <row r="116" customFormat="1" ht="14.25" customHeight="1" x14ac:dyDescent="0.3"/>
    <row r="117" customFormat="1" ht="14.25" customHeight="1" x14ac:dyDescent="0.3"/>
    <row r="118" customFormat="1" ht="14.25" customHeight="1" x14ac:dyDescent="0.3"/>
    <row r="119" customFormat="1" ht="14.25" customHeight="1" x14ac:dyDescent="0.3"/>
    <row r="120" customFormat="1" ht="14.25" customHeight="1" x14ac:dyDescent="0.3"/>
    <row r="121" customFormat="1" ht="14.25" customHeight="1" x14ac:dyDescent="0.3"/>
    <row r="122" customFormat="1" ht="14.25" customHeight="1" x14ac:dyDescent="0.3"/>
    <row r="123" customFormat="1" ht="14.25" customHeight="1" x14ac:dyDescent="0.3"/>
    <row r="124" customFormat="1" ht="14.25" customHeight="1" x14ac:dyDescent="0.3"/>
    <row r="125" customFormat="1" ht="14.25" customHeight="1" x14ac:dyDescent="0.3"/>
    <row r="126" customFormat="1" ht="14.25" customHeight="1" x14ac:dyDescent="0.3"/>
    <row r="127" customFormat="1" ht="14.25" customHeight="1" x14ac:dyDescent="0.3"/>
    <row r="128" customFormat="1" ht="14.25" customHeight="1" x14ac:dyDescent="0.3"/>
    <row r="129" customFormat="1" ht="14.25" customHeight="1" x14ac:dyDescent="0.3"/>
    <row r="130" customFormat="1" ht="14.25" customHeight="1" x14ac:dyDescent="0.3"/>
    <row r="131" customFormat="1" ht="14.25" customHeight="1" x14ac:dyDescent="0.3"/>
    <row r="132" customFormat="1" ht="14.25" customHeight="1" x14ac:dyDescent="0.3"/>
    <row r="133" customFormat="1" ht="14.25" customHeight="1" x14ac:dyDescent="0.3"/>
    <row r="134" customFormat="1" ht="14.25" customHeight="1" x14ac:dyDescent="0.3"/>
    <row r="135" customFormat="1" ht="14.25" customHeight="1" x14ac:dyDescent="0.3"/>
    <row r="136" customFormat="1" ht="14.25" customHeight="1" x14ac:dyDescent="0.3"/>
    <row r="137" customFormat="1" ht="14.25" customHeight="1" x14ac:dyDescent="0.3"/>
    <row r="138" customFormat="1" ht="14.25" customHeight="1" x14ac:dyDescent="0.3"/>
    <row r="139" customFormat="1" ht="14.25" customHeight="1" x14ac:dyDescent="0.3"/>
    <row r="140" customFormat="1" ht="14.25" customHeight="1" x14ac:dyDescent="0.3"/>
    <row r="141" customFormat="1" ht="14.25" customHeight="1" x14ac:dyDescent="0.3"/>
    <row r="142" customFormat="1" ht="14.25" customHeight="1" x14ac:dyDescent="0.3"/>
    <row r="143" customFormat="1" ht="14.25" customHeight="1" x14ac:dyDescent="0.3"/>
    <row r="144" customFormat="1" ht="14.25" customHeight="1" x14ac:dyDescent="0.3"/>
    <row r="145" customFormat="1" ht="14.25" customHeight="1" x14ac:dyDescent="0.3"/>
    <row r="146" customFormat="1" ht="14.25" customHeight="1" x14ac:dyDescent="0.3"/>
    <row r="147" customFormat="1" ht="14.25" customHeight="1" x14ac:dyDescent="0.3"/>
    <row r="148" customFormat="1" ht="14.25" customHeight="1" x14ac:dyDescent="0.3"/>
    <row r="149" customFormat="1" ht="14.25" customHeight="1" x14ac:dyDescent="0.3"/>
    <row r="150" customFormat="1" ht="14.25" customHeight="1" x14ac:dyDescent="0.3"/>
    <row r="151" customFormat="1" ht="14.25" customHeight="1" x14ac:dyDescent="0.3"/>
    <row r="152" customFormat="1" ht="14.25" customHeight="1" x14ac:dyDescent="0.3"/>
    <row r="153" customFormat="1" ht="14.25" customHeight="1" x14ac:dyDescent="0.3"/>
    <row r="154" customFormat="1" ht="14.25" customHeight="1" x14ac:dyDescent="0.3"/>
    <row r="155" customFormat="1" ht="14.25" customHeight="1" x14ac:dyDescent="0.3"/>
    <row r="156" customFormat="1" ht="14.25" customHeight="1" x14ac:dyDescent="0.3"/>
    <row r="157" customFormat="1" ht="14.25" customHeight="1" x14ac:dyDescent="0.3"/>
    <row r="158" customFormat="1" ht="14.25" customHeight="1" x14ac:dyDescent="0.3"/>
    <row r="159" customFormat="1" ht="14.25" customHeight="1" x14ac:dyDescent="0.3"/>
    <row r="160" customFormat="1" ht="14.25" customHeight="1" x14ac:dyDescent="0.3"/>
    <row r="161" customFormat="1" ht="14.25" customHeight="1" x14ac:dyDescent="0.3"/>
    <row r="162" customFormat="1" ht="14.25" customHeight="1" x14ac:dyDescent="0.3"/>
    <row r="163" customFormat="1" ht="14.25" customHeight="1" x14ac:dyDescent="0.3"/>
    <row r="164" customFormat="1" ht="14.25" customHeight="1" x14ac:dyDescent="0.3"/>
    <row r="165" customFormat="1" ht="14.25" customHeight="1" x14ac:dyDescent="0.3"/>
    <row r="166" customFormat="1" ht="14.25" customHeight="1" x14ac:dyDescent="0.3"/>
    <row r="167" customFormat="1" ht="14.25" customHeight="1" x14ac:dyDescent="0.3"/>
    <row r="168" customFormat="1" ht="14.25" customHeight="1" x14ac:dyDescent="0.3"/>
    <row r="169" customFormat="1" ht="14.25" customHeight="1" x14ac:dyDescent="0.3"/>
    <row r="170" customFormat="1" ht="14.25" customHeight="1" x14ac:dyDescent="0.3"/>
    <row r="171" customFormat="1" ht="14.25" customHeight="1" x14ac:dyDescent="0.3"/>
    <row r="172" customFormat="1" ht="14.25" customHeight="1" x14ac:dyDescent="0.3"/>
    <row r="173" customFormat="1" ht="14.25" customHeight="1" x14ac:dyDescent="0.3"/>
    <row r="174" customFormat="1" ht="14.25" customHeight="1" x14ac:dyDescent="0.3"/>
    <row r="175" customFormat="1" ht="14.25" customHeight="1" x14ac:dyDescent="0.3"/>
    <row r="176" customFormat="1" ht="14.25" customHeight="1" x14ac:dyDescent="0.3"/>
    <row r="177" customFormat="1" ht="14.25" customHeight="1" x14ac:dyDescent="0.3"/>
    <row r="178" customFormat="1" ht="14.25" customHeight="1" x14ac:dyDescent="0.3"/>
    <row r="179" customFormat="1" ht="14.25" customHeight="1" x14ac:dyDescent="0.3"/>
    <row r="180" customFormat="1" ht="14.25" customHeight="1" x14ac:dyDescent="0.3"/>
    <row r="181" customFormat="1" ht="14.25" customHeight="1" x14ac:dyDescent="0.3"/>
    <row r="182" customFormat="1" ht="14.25" customHeight="1" x14ac:dyDescent="0.3"/>
    <row r="183" customFormat="1" ht="14.25" customHeight="1" x14ac:dyDescent="0.3"/>
    <row r="184" customFormat="1" ht="14.25" customHeight="1" x14ac:dyDescent="0.3"/>
    <row r="185" customFormat="1" ht="14.25" customHeight="1" x14ac:dyDescent="0.3"/>
    <row r="186" customFormat="1" ht="14.25" customHeight="1" x14ac:dyDescent="0.3"/>
    <row r="187" customFormat="1" ht="14.25" customHeight="1" x14ac:dyDescent="0.3"/>
    <row r="188" customFormat="1" ht="14.25" customHeight="1" x14ac:dyDescent="0.3"/>
    <row r="189" customFormat="1" ht="14.25" customHeight="1" x14ac:dyDescent="0.3"/>
    <row r="190" customFormat="1" ht="14.25" customHeight="1" x14ac:dyDescent="0.3"/>
    <row r="191" customFormat="1" ht="14.25" customHeight="1" x14ac:dyDescent="0.3"/>
    <row r="192" customFormat="1" ht="14.25" customHeight="1" x14ac:dyDescent="0.3"/>
    <row r="193" customFormat="1" ht="14.25" customHeight="1" x14ac:dyDescent="0.3"/>
    <row r="194" customFormat="1" ht="14.25" customHeight="1" x14ac:dyDescent="0.3"/>
    <row r="195" customFormat="1" ht="14.25" customHeight="1" x14ac:dyDescent="0.3"/>
    <row r="196" customFormat="1" ht="14.25" customHeight="1" x14ac:dyDescent="0.3"/>
    <row r="197" customFormat="1" ht="14.25" customHeight="1" x14ac:dyDescent="0.3"/>
    <row r="198" customFormat="1" ht="14.25" customHeight="1" x14ac:dyDescent="0.3"/>
    <row r="199" customFormat="1" ht="14.25" customHeight="1" x14ac:dyDescent="0.3"/>
    <row r="200" customFormat="1" ht="14.25" customHeight="1" x14ac:dyDescent="0.3"/>
    <row r="201" customFormat="1" ht="14.25" customHeight="1" x14ac:dyDescent="0.3"/>
    <row r="202" customFormat="1" ht="14.25" customHeight="1" x14ac:dyDescent="0.3"/>
    <row r="203" customFormat="1" ht="14.25" customHeight="1" x14ac:dyDescent="0.3"/>
    <row r="204" customFormat="1" ht="14.25" customHeight="1" x14ac:dyDescent="0.3"/>
    <row r="205" customFormat="1" ht="14.25" customHeight="1" x14ac:dyDescent="0.3"/>
    <row r="206" customFormat="1" ht="14.25" customHeight="1" x14ac:dyDescent="0.3"/>
    <row r="207" customFormat="1" ht="14.25" customHeight="1" x14ac:dyDescent="0.3"/>
    <row r="208" customFormat="1" ht="14.25" customHeight="1" x14ac:dyDescent="0.3"/>
    <row r="209" customFormat="1" ht="14.25" customHeight="1" x14ac:dyDescent="0.3"/>
    <row r="210" customFormat="1" ht="14.25" customHeight="1" x14ac:dyDescent="0.3"/>
    <row r="211" customFormat="1" ht="14.25" customHeight="1" x14ac:dyDescent="0.3"/>
    <row r="212" customFormat="1" ht="14.25" customHeight="1" x14ac:dyDescent="0.3"/>
    <row r="213" customFormat="1" ht="14.25" customHeight="1" x14ac:dyDescent="0.3"/>
    <row r="214" customFormat="1" ht="14.25" customHeight="1" x14ac:dyDescent="0.3"/>
    <row r="215" customFormat="1" ht="14.25" customHeight="1" x14ac:dyDescent="0.3"/>
    <row r="216" customFormat="1" ht="14.25" customHeight="1" x14ac:dyDescent="0.3"/>
    <row r="217" customFormat="1" ht="14.25" customHeight="1" x14ac:dyDescent="0.3"/>
    <row r="218" customFormat="1" ht="14.25" customHeight="1" x14ac:dyDescent="0.3"/>
    <row r="219" customFormat="1" ht="14.25" customHeight="1" x14ac:dyDescent="0.3"/>
    <row r="220" customFormat="1" ht="14.25" customHeight="1" x14ac:dyDescent="0.3"/>
    <row r="221" customFormat="1" ht="14.25" customHeight="1" x14ac:dyDescent="0.3"/>
    <row r="222" customFormat="1" ht="14.25" customHeight="1" x14ac:dyDescent="0.3"/>
    <row r="223" customFormat="1" ht="14.25" customHeight="1" x14ac:dyDescent="0.3"/>
    <row r="224" customFormat="1" ht="14.25" customHeight="1" x14ac:dyDescent="0.3"/>
    <row r="225" customFormat="1" ht="14.25" customHeight="1" x14ac:dyDescent="0.3"/>
    <row r="226" customFormat="1" ht="14.25" customHeight="1" x14ac:dyDescent="0.3"/>
    <row r="227" customFormat="1" ht="14.25" customHeight="1" x14ac:dyDescent="0.3"/>
    <row r="228" customFormat="1" ht="14.25" customHeight="1" x14ac:dyDescent="0.3"/>
    <row r="229" customFormat="1" ht="14.25" customHeight="1" x14ac:dyDescent="0.3"/>
    <row r="230" customFormat="1" ht="14.25" customHeight="1" x14ac:dyDescent="0.3"/>
    <row r="231" customFormat="1" ht="14.25" customHeight="1" x14ac:dyDescent="0.3"/>
    <row r="232" customFormat="1" ht="14.25" customHeight="1" x14ac:dyDescent="0.3"/>
    <row r="233" customFormat="1" ht="14.25" customHeight="1" x14ac:dyDescent="0.3"/>
    <row r="234" customFormat="1" ht="14.25" customHeight="1" x14ac:dyDescent="0.3"/>
    <row r="235" customFormat="1" ht="14.25" customHeight="1" x14ac:dyDescent="0.3"/>
    <row r="236" customFormat="1" ht="14.25" customHeight="1" x14ac:dyDescent="0.3"/>
    <row r="237" customFormat="1" ht="14.25" customHeight="1" x14ac:dyDescent="0.3"/>
    <row r="238" customFormat="1" ht="14.25" customHeight="1" x14ac:dyDescent="0.3"/>
    <row r="239" customFormat="1" ht="14.25" customHeight="1" x14ac:dyDescent="0.3"/>
    <row r="240" customFormat="1" ht="14.25" customHeight="1" x14ac:dyDescent="0.3"/>
    <row r="241" customFormat="1" ht="14.25" customHeight="1" x14ac:dyDescent="0.3"/>
    <row r="242" customFormat="1" ht="14.25" customHeight="1" x14ac:dyDescent="0.3"/>
    <row r="243" customFormat="1" ht="14.25" customHeight="1" x14ac:dyDescent="0.3"/>
    <row r="244" customFormat="1" ht="14.25" customHeight="1" x14ac:dyDescent="0.3"/>
    <row r="245" customFormat="1" ht="14.25" customHeight="1" x14ac:dyDescent="0.3"/>
    <row r="246" customFormat="1" ht="14.25" customHeight="1" x14ac:dyDescent="0.3"/>
    <row r="247" customFormat="1" ht="14.25" customHeight="1" x14ac:dyDescent="0.3"/>
    <row r="248" customFormat="1" ht="14.25" customHeight="1" x14ac:dyDescent="0.3"/>
    <row r="249" customFormat="1" ht="14.25" customHeight="1" x14ac:dyDescent="0.3"/>
    <row r="250" customFormat="1" ht="14.25" customHeight="1" x14ac:dyDescent="0.3"/>
    <row r="251" customFormat="1" ht="14.25" customHeight="1" x14ac:dyDescent="0.3"/>
    <row r="252" customFormat="1" ht="14.25" customHeight="1" x14ac:dyDescent="0.3"/>
    <row r="253" customFormat="1" ht="14.25" customHeight="1" x14ac:dyDescent="0.3"/>
    <row r="254" customFormat="1" ht="14.25" customHeight="1" x14ac:dyDescent="0.3"/>
    <row r="255" customFormat="1" ht="14.25" customHeight="1" x14ac:dyDescent="0.3"/>
    <row r="256" customFormat="1" ht="14.25" customHeight="1" x14ac:dyDescent="0.3"/>
    <row r="257" customFormat="1" ht="14.25" customHeight="1" x14ac:dyDescent="0.3"/>
    <row r="258" customFormat="1" ht="14.25" customHeight="1" x14ac:dyDescent="0.3"/>
    <row r="259" customFormat="1" ht="14.25" customHeight="1" x14ac:dyDescent="0.3"/>
    <row r="260" customFormat="1" ht="14.25" customHeight="1" x14ac:dyDescent="0.3"/>
    <row r="261" customFormat="1" ht="14.25" customHeight="1" x14ac:dyDescent="0.3"/>
    <row r="262" customFormat="1" ht="14.25" customHeight="1" x14ac:dyDescent="0.3"/>
    <row r="263" customFormat="1" ht="14.25" customHeight="1" x14ac:dyDescent="0.3"/>
    <row r="264" customFormat="1" ht="14.25" customHeight="1" x14ac:dyDescent="0.3"/>
    <row r="265" customFormat="1" ht="14.25" customHeight="1" x14ac:dyDescent="0.3"/>
    <row r="266" customFormat="1" ht="14.25" customHeight="1" x14ac:dyDescent="0.3"/>
    <row r="267" customFormat="1" ht="14.25" customHeight="1" x14ac:dyDescent="0.3"/>
    <row r="268" customFormat="1" ht="14.25" customHeight="1" x14ac:dyDescent="0.3"/>
    <row r="269" customFormat="1" ht="14.25" customHeight="1" x14ac:dyDescent="0.3"/>
    <row r="270" customFormat="1" ht="14.25" customHeight="1" x14ac:dyDescent="0.3"/>
    <row r="271" customFormat="1" ht="14.25" customHeight="1" x14ac:dyDescent="0.3"/>
    <row r="272" customFormat="1" ht="14.25" customHeight="1" x14ac:dyDescent="0.3"/>
    <row r="273" customFormat="1" ht="14.25" customHeight="1" x14ac:dyDescent="0.3"/>
    <row r="274" customFormat="1" ht="14.25" customHeight="1" x14ac:dyDescent="0.3"/>
    <row r="275" customFormat="1" ht="14.25" customHeight="1" x14ac:dyDescent="0.3"/>
    <row r="276" customFormat="1" ht="14.25" customHeight="1" x14ac:dyDescent="0.3"/>
    <row r="277" customFormat="1" ht="14.25" customHeight="1" x14ac:dyDescent="0.3"/>
    <row r="278" customFormat="1" ht="14.25" customHeight="1" x14ac:dyDescent="0.3"/>
    <row r="279" customFormat="1" ht="14.25" customHeight="1" x14ac:dyDescent="0.3"/>
    <row r="280" customFormat="1" ht="14.25" customHeight="1" x14ac:dyDescent="0.3"/>
    <row r="281" customFormat="1" ht="14.25" customHeight="1" x14ac:dyDescent="0.3"/>
    <row r="282" customFormat="1" ht="14.25" customHeight="1" x14ac:dyDescent="0.3"/>
    <row r="283" customFormat="1" ht="14.25" customHeight="1" x14ac:dyDescent="0.3"/>
    <row r="284" customFormat="1" ht="14.25" customHeight="1" x14ac:dyDescent="0.3"/>
    <row r="285" customFormat="1" ht="14.25" customHeight="1" x14ac:dyDescent="0.3"/>
    <row r="286" customFormat="1" ht="14.25" customHeight="1" x14ac:dyDescent="0.3"/>
    <row r="287" customFormat="1" ht="14.25" customHeight="1" x14ac:dyDescent="0.3"/>
    <row r="288" customFormat="1" ht="14.25" customHeight="1" x14ac:dyDescent="0.3"/>
    <row r="289" customFormat="1" ht="14.25" customHeight="1" x14ac:dyDescent="0.3"/>
    <row r="290" customFormat="1" ht="14.25" customHeight="1" x14ac:dyDescent="0.3"/>
    <row r="291" customFormat="1" ht="14.25" customHeight="1" x14ac:dyDescent="0.3"/>
    <row r="292" customFormat="1" ht="14.25" customHeight="1" x14ac:dyDescent="0.3"/>
    <row r="293" customFormat="1" ht="14.25" customHeight="1" x14ac:dyDescent="0.3"/>
    <row r="294" customFormat="1" ht="14.25" customHeight="1" x14ac:dyDescent="0.3"/>
    <row r="295" customFormat="1" ht="14.25" customHeight="1" x14ac:dyDescent="0.3"/>
    <row r="296" customFormat="1" ht="14.25" customHeight="1" x14ac:dyDescent="0.3"/>
    <row r="297" customFormat="1" ht="14.25" customHeight="1" x14ac:dyDescent="0.3"/>
    <row r="298" customFormat="1" ht="14.25" customHeight="1" x14ac:dyDescent="0.3"/>
    <row r="299" customFormat="1" ht="14.25" customHeight="1" x14ac:dyDescent="0.3"/>
    <row r="300" customFormat="1" ht="14.25" customHeight="1" x14ac:dyDescent="0.3"/>
    <row r="301" customFormat="1" ht="14.25" customHeight="1" x14ac:dyDescent="0.3"/>
    <row r="302" customFormat="1" ht="14.25" customHeight="1" x14ac:dyDescent="0.3"/>
    <row r="303" customFormat="1" ht="14.25" customHeight="1" x14ac:dyDescent="0.3"/>
    <row r="304" customFormat="1" ht="14.25" customHeight="1" x14ac:dyDescent="0.3"/>
    <row r="305" customFormat="1" ht="14.25" customHeight="1" x14ac:dyDescent="0.3"/>
    <row r="306" customFormat="1" ht="14.25" customHeight="1" x14ac:dyDescent="0.3"/>
    <row r="307" customFormat="1" ht="14.25" customHeight="1" x14ac:dyDescent="0.3"/>
    <row r="308" customFormat="1" ht="14.25" customHeight="1" x14ac:dyDescent="0.3"/>
    <row r="309" customFormat="1" ht="14.25" customHeight="1" x14ac:dyDescent="0.3"/>
    <row r="310" customFormat="1" ht="14.25" customHeight="1" x14ac:dyDescent="0.3"/>
    <row r="311" customFormat="1" ht="14.25" customHeight="1" x14ac:dyDescent="0.3"/>
    <row r="312" customFormat="1" ht="14.25" customHeight="1" x14ac:dyDescent="0.3"/>
    <row r="313" customFormat="1" ht="14.25" customHeight="1" x14ac:dyDescent="0.3"/>
    <row r="314" customFormat="1" ht="14.25" customHeight="1" x14ac:dyDescent="0.3"/>
    <row r="315" customFormat="1" ht="14.25" customHeight="1" x14ac:dyDescent="0.3"/>
    <row r="316" customFormat="1" ht="14.25" customHeight="1" x14ac:dyDescent="0.3"/>
    <row r="317" customFormat="1" ht="14.25" customHeight="1" x14ac:dyDescent="0.3"/>
    <row r="318" customFormat="1" ht="14.25" customHeight="1" x14ac:dyDescent="0.3"/>
    <row r="319" customFormat="1" ht="14.25" customHeight="1" x14ac:dyDescent="0.3"/>
    <row r="320" customFormat="1" ht="14.25" customHeight="1" x14ac:dyDescent="0.3"/>
    <row r="321" customFormat="1" ht="14.25" customHeight="1" x14ac:dyDescent="0.3"/>
    <row r="322" customFormat="1" ht="14.25" customHeight="1" x14ac:dyDescent="0.3"/>
    <row r="323" customFormat="1" ht="14.25" customHeight="1" x14ac:dyDescent="0.3"/>
    <row r="324" customFormat="1" ht="14.25" customHeight="1" x14ac:dyDescent="0.3"/>
    <row r="325" customFormat="1" ht="14.25" customHeight="1" x14ac:dyDescent="0.3"/>
    <row r="326" customFormat="1" ht="14.25" customHeight="1" x14ac:dyDescent="0.3"/>
    <row r="327" customFormat="1" ht="14.25" customHeight="1" x14ac:dyDescent="0.3"/>
    <row r="328" customFormat="1" ht="14.25" customHeight="1" x14ac:dyDescent="0.3"/>
    <row r="329" customFormat="1" ht="14.25" customHeight="1" x14ac:dyDescent="0.3"/>
    <row r="330" customFormat="1" ht="14.25" customHeight="1" x14ac:dyDescent="0.3"/>
    <row r="331" customFormat="1" ht="14.25" customHeight="1" x14ac:dyDescent="0.3"/>
    <row r="332" customFormat="1" ht="14.25" customHeight="1" x14ac:dyDescent="0.3"/>
    <row r="333" customFormat="1" ht="14.25" customHeight="1" x14ac:dyDescent="0.3"/>
    <row r="334" customFormat="1" ht="14.25" customHeight="1" x14ac:dyDescent="0.3"/>
    <row r="335" customFormat="1" ht="14.25" customHeight="1" x14ac:dyDescent="0.3"/>
    <row r="336" customFormat="1" ht="14.25" customHeight="1" x14ac:dyDescent="0.3"/>
    <row r="337" customFormat="1" ht="14.25" customHeight="1" x14ac:dyDescent="0.3"/>
    <row r="338" customFormat="1" ht="14.25" customHeight="1" x14ac:dyDescent="0.3"/>
    <row r="339" customFormat="1" ht="14.25" customHeight="1" x14ac:dyDescent="0.3"/>
    <row r="340" customFormat="1" ht="14.25" customHeight="1" x14ac:dyDescent="0.3"/>
    <row r="341" customFormat="1" ht="14.25" customHeight="1" x14ac:dyDescent="0.3"/>
    <row r="342" customFormat="1" ht="14.25" customHeight="1" x14ac:dyDescent="0.3"/>
    <row r="343" customFormat="1" ht="14.25" customHeight="1" x14ac:dyDescent="0.3"/>
    <row r="344" customFormat="1" ht="14.25" customHeight="1" x14ac:dyDescent="0.3"/>
    <row r="345" customFormat="1" ht="14.25" customHeight="1" x14ac:dyDescent="0.3"/>
    <row r="346" customFormat="1" ht="14.25" customHeight="1" x14ac:dyDescent="0.3"/>
    <row r="347" customFormat="1" ht="14.25" customHeight="1" x14ac:dyDescent="0.3"/>
    <row r="348" customFormat="1" ht="14.25" customHeight="1" x14ac:dyDescent="0.3"/>
    <row r="349" customFormat="1" ht="14.25" customHeight="1" x14ac:dyDescent="0.3"/>
    <row r="350" customFormat="1" ht="14.25" customHeight="1" x14ac:dyDescent="0.3"/>
    <row r="351" customFormat="1" ht="14.25" customHeight="1" x14ac:dyDescent="0.3"/>
    <row r="352" customFormat="1" ht="14.25" customHeight="1" x14ac:dyDescent="0.3"/>
    <row r="353" customFormat="1" ht="14.25" customHeight="1" x14ac:dyDescent="0.3"/>
    <row r="354" customFormat="1" ht="14.25" customHeight="1" x14ac:dyDescent="0.3"/>
    <row r="355" customFormat="1" ht="14.25" customHeight="1" x14ac:dyDescent="0.3"/>
    <row r="356" customFormat="1" ht="14.25" customHeight="1" x14ac:dyDescent="0.3"/>
    <row r="357" customFormat="1" ht="14.25" customHeight="1" x14ac:dyDescent="0.3"/>
    <row r="358" customFormat="1" ht="14.25" customHeight="1" x14ac:dyDescent="0.3"/>
    <row r="359" customFormat="1" ht="14.25" customHeight="1" x14ac:dyDescent="0.3"/>
    <row r="360" customFormat="1" ht="14.25" customHeight="1" x14ac:dyDescent="0.3"/>
    <row r="361" customFormat="1" ht="14.25" customHeight="1" x14ac:dyDescent="0.3"/>
    <row r="362" customFormat="1" ht="14.25" customHeight="1" x14ac:dyDescent="0.3"/>
    <row r="363" customFormat="1" ht="14.25" customHeight="1" x14ac:dyDescent="0.3"/>
    <row r="364" customFormat="1" ht="14.25" customHeight="1" x14ac:dyDescent="0.3"/>
    <row r="365" customFormat="1" ht="14.25" customHeight="1" x14ac:dyDescent="0.3"/>
    <row r="366" customFormat="1" ht="14.25" customHeight="1" x14ac:dyDescent="0.3"/>
    <row r="367" customFormat="1" ht="14.25" customHeight="1" x14ac:dyDescent="0.3"/>
    <row r="368" customFormat="1" ht="14.25" customHeight="1" x14ac:dyDescent="0.3"/>
    <row r="369" customFormat="1" ht="14.25" customHeight="1" x14ac:dyDescent="0.3"/>
    <row r="370" customFormat="1" ht="14.25" customHeight="1" x14ac:dyDescent="0.3"/>
    <row r="371" customFormat="1" ht="14.25" customHeight="1" x14ac:dyDescent="0.3"/>
    <row r="372" customFormat="1" ht="14.25" customHeight="1" x14ac:dyDescent="0.3"/>
    <row r="373" customFormat="1" ht="14.25" customHeight="1" x14ac:dyDescent="0.3"/>
    <row r="374" customFormat="1" ht="14.25" customHeight="1" x14ac:dyDescent="0.3"/>
    <row r="375" customFormat="1" ht="14.25" customHeight="1" x14ac:dyDescent="0.3"/>
    <row r="376" customFormat="1" ht="14.25" customHeight="1" x14ac:dyDescent="0.3"/>
    <row r="377" customFormat="1" ht="14.25" customHeight="1" x14ac:dyDescent="0.3"/>
    <row r="378" customFormat="1" ht="14.25" customHeight="1" x14ac:dyDescent="0.3"/>
    <row r="379" customFormat="1" ht="14.25" customHeight="1" x14ac:dyDescent="0.3"/>
    <row r="380" customFormat="1" ht="14.25" customHeight="1" x14ac:dyDescent="0.3"/>
    <row r="381" customFormat="1" ht="14.25" customHeight="1" x14ac:dyDescent="0.3"/>
    <row r="382" customFormat="1" ht="14.25" customHeight="1" x14ac:dyDescent="0.3"/>
    <row r="383" customFormat="1" ht="14.25" customHeight="1" x14ac:dyDescent="0.3"/>
    <row r="384" customFormat="1" ht="14.25" customHeight="1" x14ac:dyDescent="0.3"/>
    <row r="385" customFormat="1" ht="14.25" customHeight="1" x14ac:dyDescent="0.3"/>
    <row r="386" customFormat="1" ht="14.25" customHeight="1" x14ac:dyDescent="0.3"/>
    <row r="387" customFormat="1" ht="14.25" customHeight="1" x14ac:dyDescent="0.3"/>
    <row r="388" customFormat="1" ht="14.25" customHeight="1" x14ac:dyDescent="0.3"/>
    <row r="389" customFormat="1" ht="14.25" customHeight="1" x14ac:dyDescent="0.3"/>
    <row r="390" customFormat="1" ht="14.25" customHeight="1" x14ac:dyDescent="0.3"/>
    <row r="391" customFormat="1" ht="14.25" customHeight="1" x14ac:dyDescent="0.3"/>
    <row r="392" customFormat="1" ht="14.25" customHeight="1" x14ac:dyDescent="0.3"/>
    <row r="393" customFormat="1" ht="14.25" customHeight="1" x14ac:dyDescent="0.3"/>
    <row r="394" customFormat="1" ht="14.25" customHeight="1" x14ac:dyDescent="0.3"/>
    <row r="395" customFormat="1" ht="14.25" customHeight="1" x14ac:dyDescent="0.3"/>
    <row r="396" customFormat="1" ht="14.25" customHeight="1" x14ac:dyDescent="0.3"/>
    <row r="397" customFormat="1" ht="14.25" customHeight="1" x14ac:dyDescent="0.3"/>
    <row r="398" customFormat="1" ht="14.25" customHeight="1" x14ac:dyDescent="0.3"/>
    <row r="399" customFormat="1" ht="14.25" customHeight="1" x14ac:dyDescent="0.3"/>
    <row r="400" customFormat="1" ht="14.25" customHeight="1" x14ac:dyDescent="0.3"/>
    <row r="401" customFormat="1" ht="14.25" customHeight="1" x14ac:dyDescent="0.3"/>
    <row r="402" customFormat="1" ht="14.25" customHeight="1" x14ac:dyDescent="0.3"/>
    <row r="403" customFormat="1" ht="14.25" customHeight="1" x14ac:dyDescent="0.3"/>
    <row r="404" customFormat="1" ht="14.25" customHeight="1" x14ac:dyDescent="0.3"/>
    <row r="405" customFormat="1" ht="14.25" customHeight="1" x14ac:dyDescent="0.3"/>
    <row r="406" customFormat="1" ht="14.25" customHeight="1" x14ac:dyDescent="0.3"/>
    <row r="407" customFormat="1" ht="14.25" customHeight="1" x14ac:dyDescent="0.3"/>
    <row r="408" customFormat="1" ht="14.25" customHeight="1" x14ac:dyDescent="0.3"/>
    <row r="409" customFormat="1" ht="14.25" customHeight="1" x14ac:dyDescent="0.3"/>
    <row r="410" customFormat="1" ht="14.25" customHeight="1" x14ac:dyDescent="0.3"/>
    <row r="411" customFormat="1" ht="14.25" customHeight="1" x14ac:dyDescent="0.3"/>
    <row r="412" customFormat="1" ht="14.25" customHeight="1" x14ac:dyDescent="0.3"/>
    <row r="413" customFormat="1" ht="14.25" customHeight="1" x14ac:dyDescent="0.3"/>
    <row r="414" customFormat="1" ht="14.25" customHeight="1" x14ac:dyDescent="0.3"/>
    <row r="415" customFormat="1" ht="14.25" customHeight="1" x14ac:dyDescent="0.3"/>
    <row r="416" customFormat="1" ht="14.25" customHeight="1" x14ac:dyDescent="0.3"/>
    <row r="417" customFormat="1" ht="14.25" customHeight="1" x14ac:dyDescent="0.3"/>
    <row r="418" customFormat="1" ht="14.25" customHeight="1" x14ac:dyDescent="0.3"/>
    <row r="419" customFormat="1" ht="14.25" customHeight="1" x14ac:dyDescent="0.3"/>
    <row r="420" customFormat="1" ht="14.25" customHeight="1" x14ac:dyDescent="0.3"/>
    <row r="421" customFormat="1" ht="14.25" customHeight="1" x14ac:dyDescent="0.3"/>
    <row r="422" customFormat="1" ht="14.25" customHeight="1" x14ac:dyDescent="0.3"/>
    <row r="423" customFormat="1" ht="14.25" customHeight="1" x14ac:dyDescent="0.3"/>
    <row r="424" customFormat="1" ht="14.25" customHeight="1" x14ac:dyDescent="0.3"/>
    <row r="425" customFormat="1" ht="14.25" customHeight="1" x14ac:dyDescent="0.3"/>
    <row r="426" customFormat="1" ht="14.25" customHeight="1" x14ac:dyDescent="0.3"/>
    <row r="427" customFormat="1" ht="14.25" customHeight="1" x14ac:dyDescent="0.3"/>
    <row r="428" customFormat="1" ht="14.25" customHeight="1" x14ac:dyDescent="0.3"/>
    <row r="429" customFormat="1" ht="14.25" customHeight="1" x14ac:dyDescent="0.3"/>
    <row r="430" customFormat="1" ht="14.25" customHeight="1" x14ac:dyDescent="0.3"/>
    <row r="431" customFormat="1" ht="14.25" customHeight="1" x14ac:dyDescent="0.3"/>
    <row r="432" customFormat="1" ht="14.25" customHeight="1" x14ac:dyDescent="0.3"/>
    <row r="433" customFormat="1" ht="14.25" customHeight="1" x14ac:dyDescent="0.3"/>
    <row r="434" customFormat="1" ht="14.25" customHeight="1" x14ac:dyDescent="0.3"/>
    <row r="435" customFormat="1" ht="14.25" customHeight="1" x14ac:dyDescent="0.3"/>
    <row r="436" customFormat="1" ht="14.25" customHeight="1" x14ac:dyDescent="0.3"/>
    <row r="437" customFormat="1" ht="14.25" customHeight="1" x14ac:dyDescent="0.3"/>
    <row r="438" customFormat="1" ht="14.25" customHeight="1" x14ac:dyDescent="0.3"/>
    <row r="439" customFormat="1" ht="14.25" customHeight="1" x14ac:dyDescent="0.3"/>
    <row r="440" customFormat="1" ht="14.25" customHeight="1" x14ac:dyDescent="0.3"/>
    <row r="441" customFormat="1" ht="14.25" customHeight="1" x14ac:dyDescent="0.3"/>
    <row r="442" customFormat="1" ht="14.25" customHeight="1" x14ac:dyDescent="0.3"/>
    <row r="443" customFormat="1" ht="14.25" customHeight="1" x14ac:dyDescent="0.3"/>
    <row r="444" customFormat="1" ht="14.25" customHeight="1" x14ac:dyDescent="0.3"/>
    <row r="445" customFormat="1" ht="14.25" customHeight="1" x14ac:dyDescent="0.3"/>
    <row r="446" customFormat="1" ht="14.25" customHeight="1" x14ac:dyDescent="0.3"/>
    <row r="447" customFormat="1" ht="14.25" customHeight="1" x14ac:dyDescent="0.3"/>
    <row r="448" customFormat="1" ht="14.25" customHeight="1" x14ac:dyDescent="0.3"/>
    <row r="449" customFormat="1" ht="14.25" customHeight="1" x14ac:dyDescent="0.3"/>
    <row r="450" customFormat="1" ht="14.25" customHeight="1" x14ac:dyDescent="0.3"/>
    <row r="451" customFormat="1" ht="14.25" customHeight="1" x14ac:dyDescent="0.3"/>
    <row r="452" customFormat="1" ht="14.25" customHeight="1" x14ac:dyDescent="0.3"/>
    <row r="453" customFormat="1" ht="14.25" customHeight="1" x14ac:dyDescent="0.3"/>
    <row r="454" customFormat="1" ht="14.25" customHeight="1" x14ac:dyDescent="0.3"/>
    <row r="455" customFormat="1" ht="14.25" customHeight="1" x14ac:dyDescent="0.3"/>
    <row r="456" customFormat="1" ht="14.25" customHeight="1" x14ac:dyDescent="0.3"/>
    <row r="457" customFormat="1" ht="14.25" customHeight="1" x14ac:dyDescent="0.3"/>
    <row r="458" customFormat="1" ht="14.25" customHeight="1" x14ac:dyDescent="0.3"/>
    <row r="459" customFormat="1" ht="14.25" customHeight="1" x14ac:dyDescent="0.3"/>
    <row r="460" customFormat="1" ht="14.25" customHeight="1" x14ac:dyDescent="0.3"/>
    <row r="461" customFormat="1" ht="14.25" customHeight="1" x14ac:dyDescent="0.3"/>
    <row r="462" customFormat="1" ht="14.25" customHeight="1" x14ac:dyDescent="0.3"/>
    <row r="463" customFormat="1" ht="14.25" customHeight="1" x14ac:dyDescent="0.3"/>
    <row r="464" customFormat="1" ht="14.25" customHeight="1" x14ac:dyDescent="0.3"/>
    <row r="465" customFormat="1" ht="14.25" customHeight="1" x14ac:dyDescent="0.3"/>
    <row r="466" customFormat="1" ht="14.25" customHeight="1" x14ac:dyDescent="0.3"/>
    <row r="467" customFormat="1" ht="14.25" customHeight="1" x14ac:dyDescent="0.3"/>
    <row r="468" customFormat="1" ht="14.25" customHeight="1" x14ac:dyDescent="0.3"/>
    <row r="469" customFormat="1" ht="14.25" customHeight="1" x14ac:dyDescent="0.3"/>
    <row r="470" customFormat="1" ht="14.25" customHeight="1" x14ac:dyDescent="0.3"/>
    <row r="471" customFormat="1" ht="14.25" customHeight="1" x14ac:dyDescent="0.3"/>
    <row r="472" customFormat="1" ht="14.25" customHeight="1" x14ac:dyDescent="0.3"/>
    <row r="473" customFormat="1" ht="14.25" customHeight="1" x14ac:dyDescent="0.3"/>
    <row r="474" customFormat="1" ht="14.25" customHeight="1" x14ac:dyDescent="0.3"/>
    <row r="475" customFormat="1" ht="14.25" customHeight="1" x14ac:dyDescent="0.3"/>
    <row r="476" customFormat="1" ht="14.25" customHeight="1" x14ac:dyDescent="0.3"/>
    <row r="477" customFormat="1" ht="14.25" customHeight="1" x14ac:dyDescent="0.3"/>
    <row r="478" customFormat="1" ht="14.25" customHeight="1" x14ac:dyDescent="0.3"/>
    <row r="479" customFormat="1" ht="14.25" customHeight="1" x14ac:dyDescent="0.3"/>
    <row r="480" customFormat="1" ht="14.25" customHeight="1" x14ac:dyDescent="0.3"/>
    <row r="481" customFormat="1" ht="14.25" customHeight="1" x14ac:dyDescent="0.3"/>
    <row r="482" customFormat="1" ht="14.25" customHeight="1" x14ac:dyDescent="0.3"/>
    <row r="483" customFormat="1" ht="14.25" customHeight="1" x14ac:dyDescent="0.3"/>
    <row r="484" customFormat="1" ht="14.25" customHeight="1" x14ac:dyDescent="0.3"/>
    <row r="485" customFormat="1" ht="14.25" customHeight="1" x14ac:dyDescent="0.3"/>
    <row r="486" customFormat="1" ht="14.25" customHeight="1" x14ac:dyDescent="0.3"/>
    <row r="487" customFormat="1" ht="14.25" customHeight="1" x14ac:dyDescent="0.3"/>
    <row r="488" customFormat="1" ht="14.25" customHeight="1" x14ac:dyDescent="0.3"/>
    <row r="489" customFormat="1" ht="14.25" customHeight="1" x14ac:dyDescent="0.3"/>
    <row r="490" customFormat="1" ht="14.25" customHeight="1" x14ac:dyDescent="0.3"/>
    <row r="491" customFormat="1" ht="14.25" customHeight="1" x14ac:dyDescent="0.3"/>
    <row r="492" customFormat="1" ht="14.25" customHeight="1" x14ac:dyDescent="0.3"/>
    <row r="493" customFormat="1" ht="14.25" customHeight="1" x14ac:dyDescent="0.3"/>
    <row r="494" customFormat="1" ht="14.25" customHeight="1" x14ac:dyDescent="0.3"/>
    <row r="495" customFormat="1" ht="14.25" customHeight="1" x14ac:dyDescent="0.3"/>
    <row r="496" customFormat="1" ht="14.25" customHeight="1" x14ac:dyDescent="0.3"/>
    <row r="497" customFormat="1" ht="14.25" customHeight="1" x14ac:dyDescent="0.3"/>
    <row r="498" customFormat="1" ht="14.25" customHeight="1" x14ac:dyDescent="0.3"/>
    <row r="499" customFormat="1" ht="14.25" customHeight="1" x14ac:dyDescent="0.3"/>
    <row r="500" customFormat="1" ht="14.25" customHeight="1" x14ac:dyDescent="0.3"/>
    <row r="501" customFormat="1" ht="14.25" customHeight="1" x14ac:dyDescent="0.3"/>
    <row r="502" customFormat="1" ht="14.25" customHeight="1" x14ac:dyDescent="0.3"/>
    <row r="503" customFormat="1" ht="14.25" customHeight="1" x14ac:dyDescent="0.3"/>
    <row r="504" customFormat="1" ht="14.25" customHeight="1" x14ac:dyDescent="0.3"/>
    <row r="505" customFormat="1" ht="14.25" customHeight="1" x14ac:dyDescent="0.3"/>
    <row r="506" customFormat="1" ht="14.25" customHeight="1" x14ac:dyDescent="0.3"/>
    <row r="507" customFormat="1" ht="14.25" customHeight="1" x14ac:dyDescent="0.3"/>
    <row r="508" customFormat="1" ht="14.25" customHeight="1" x14ac:dyDescent="0.3"/>
    <row r="509" customFormat="1" ht="14.25" customHeight="1" x14ac:dyDescent="0.3"/>
    <row r="510" customFormat="1" ht="14.25" customHeight="1" x14ac:dyDescent="0.3"/>
    <row r="511" customFormat="1" ht="14.25" customHeight="1" x14ac:dyDescent="0.3"/>
    <row r="512" customFormat="1" ht="14.25" customHeight="1" x14ac:dyDescent="0.3"/>
    <row r="513" customFormat="1" ht="14.25" customHeight="1" x14ac:dyDescent="0.3"/>
    <row r="514" customFormat="1" ht="14.25" customHeight="1" x14ac:dyDescent="0.3"/>
    <row r="515" customFormat="1" ht="14.25" customHeight="1" x14ac:dyDescent="0.3"/>
    <row r="516" customFormat="1" ht="14.25" customHeight="1" x14ac:dyDescent="0.3"/>
    <row r="517" customFormat="1" ht="14.25" customHeight="1" x14ac:dyDescent="0.3"/>
    <row r="518" customFormat="1" ht="14.25" customHeight="1" x14ac:dyDescent="0.3"/>
    <row r="519" customFormat="1" ht="14.25" customHeight="1" x14ac:dyDescent="0.3"/>
    <row r="520" customFormat="1" ht="14.25" customHeight="1" x14ac:dyDescent="0.3"/>
    <row r="521" customFormat="1" ht="14.25" customHeight="1" x14ac:dyDescent="0.3"/>
    <row r="522" customFormat="1" ht="14.25" customHeight="1" x14ac:dyDescent="0.3"/>
    <row r="523" customFormat="1" ht="14.25" customHeight="1" x14ac:dyDescent="0.3"/>
    <row r="524" customFormat="1" ht="14.25" customHeight="1" x14ac:dyDescent="0.3"/>
    <row r="525" customFormat="1" ht="14.25" customHeight="1" x14ac:dyDescent="0.3"/>
    <row r="526" customFormat="1" ht="14.25" customHeight="1" x14ac:dyDescent="0.3"/>
    <row r="527" customFormat="1" ht="14.25" customHeight="1" x14ac:dyDescent="0.3"/>
    <row r="528" customFormat="1" ht="14.25" customHeight="1" x14ac:dyDescent="0.3"/>
    <row r="529" customFormat="1" ht="14.25" customHeight="1" x14ac:dyDescent="0.3"/>
    <row r="530" customFormat="1" ht="14.25" customHeight="1" x14ac:dyDescent="0.3"/>
    <row r="531" customFormat="1" ht="14.25" customHeight="1" x14ac:dyDescent="0.3"/>
    <row r="532" customFormat="1" ht="14.25" customHeight="1" x14ac:dyDescent="0.3"/>
    <row r="533" customFormat="1" ht="14.25" customHeight="1" x14ac:dyDescent="0.3"/>
    <row r="534" customFormat="1" ht="14.25" customHeight="1" x14ac:dyDescent="0.3"/>
    <row r="535" customFormat="1" ht="14.25" customHeight="1" x14ac:dyDescent="0.3"/>
    <row r="536" customFormat="1" ht="14.25" customHeight="1" x14ac:dyDescent="0.3"/>
    <row r="537" customFormat="1" ht="14.25" customHeight="1" x14ac:dyDescent="0.3"/>
    <row r="538" customFormat="1" ht="14.25" customHeight="1" x14ac:dyDescent="0.3"/>
    <row r="539" customFormat="1" ht="14.25" customHeight="1" x14ac:dyDescent="0.3"/>
    <row r="540" customFormat="1" ht="14.25" customHeight="1" x14ac:dyDescent="0.3"/>
    <row r="541" customFormat="1" ht="14.25" customHeight="1" x14ac:dyDescent="0.3"/>
    <row r="542" customFormat="1" ht="14.25" customHeight="1" x14ac:dyDescent="0.3"/>
    <row r="543" customFormat="1" ht="14.25" customHeight="1" x14ac:dyDescent="0.3"/>
    <row r="544" customFormat="1" ht="14.25" customHeight="1" x14ac:dyDescent="0.3"/>
    <row r="545" customFormat="1" ht="14.25" customHeight="1" x14ac:dyDescent="0.3"/>
    <row r="546" customFormat="1" ht="14.25" customHeight="1" x14ac:dyDescent="0.3"/>
    <row r="547" customFormat="1" ht="14.25" customHeight="1" x14ac:dyDescent="0.3"/>
    <row r="548" customFormat="1" ht="14.25" customHeight="1" x14ac:dyDescent="0.3"/>
    <row r="549" customFormat="1" ht="14.25" customHeight="1" x14ac:dyDescent="0.3"/>
    <row r="550" customFormat="1" ht="14.25" customHeight="1" x14ac:dyDescent="0.3"/>
    <row r="551" customFormat="1" ht="14.25" customHeight="1" x14ac:dyDescent="0.3"/>
    <row r="552" customFormat="1" ht="14.25" customHeight="1" x14ac:dyDescent="0.3"/>
    <row r="553" customFormat="1" ht="14.25" customHeight="1" x14ac:dyDescent="0.3"/>
    <row r="554" customFormat="1" ht="14.25" customHeight="1" x14ac:dyDescent="0.3"/>
    <row r="555" customFormat="1" ht="14.25" customHeight="1" x14ac:dyDescent="0.3"/>
    <row r="556" customFormat="1" ht="14.25" customHeight="1" x14ac:dyDescent="0.3"/>
    <row r="557" customFormat="1" ht="14.25" customHeight="1" x14ac:dyDescent="0.3"/>
    <row r="558" customFormat="1" ht="14.25" customHeight="1" x14ac:dyDescent="0.3"/>
    <row r="559" customFormat="1" ht="14.25" customHeight="1" x14ac:dyDescent="0.3"/>
    <row r="560" customFormat="1" ht="14.25" customHeight="1" x14ac:dyDescent="0.3"/>
    <row r="561" customFormat="1" ht="14.25" customHeight="1" x14ac:dyDescent="0.3"/>
    <row r="562" customFormat="1" ht="14.25" customHeight="1" x14ac:dyDescent="0.3"/>
    <row r="563" customFormat="1" ht="14.25" customHeight="1" x14ac:dyDescent="0.3"/>
    <row r="564" customFormat="1" ht="14.25" customHeight="1" x14ac:dyDescent="0.3"/>
    <row r="565" customFormat="1" ht="14.25" customHeight="1" x14ac:dyDescent="0.3"/>
    <row r="566" customFormat="1" ht="14.25" customHeight="1" x14ac:dyDescent="0.3"/>
    <row r="567" customFormat="1" ht="14.25" customHeight="1" x14ac:dyDescent="0.3"/>
    <row r="568" customFormat="1" ht="14.25" customHeight="1" x14ac:dyDescent="0.3"/>
    <row r="569" customFormat="1" ht="14.25" customHeight="1" x14ac:dyDescent="0.3"/>
    <row r="570" customFormat="1" ht="14.25" customHeight="1" x14ac:dyDescent="0.3"/>
    <row r="571" customFormat="1" ht="14.25" customHeight="1" x14ac:dyDescent="0.3"/>
    <row r="572" customFormat="1" ht="14.25" customHeight="1" x14ac:dyDescent="0.3"/>
    <row r="573" customFormat="1" ht="14.25" customHeight="1" x14ac:dyDescent="0.3"/>
    <row r="574" customFormat="1" ht="14.25" customHeight="1" x14ac:dyDescent="0.3"/>
    <row r="575" customFormat="1" ht="14.25" customHeight="1" x14ac:dyDescent="0.3"/>
    <row r="576" customFormat="1" ht="14.25" customHeight="1" x14ac:dyDescent="0.3"/>
    <row r="577" customFormat="1" ht="14.25" customHeight="1" x14ac:dyDescent="0.3"/>
    <row r="578" customFormat="1" ht="14.25" customHeight="1" x14ac:dyDescent="0.3"/>
    <row r="579" customFormat="1" ht="14.25" customHeight="1" x14ac:dyDescent="0.3"/>
    <row r="580" customFormat="1" ht="14.25" customHeight="1" x14ac:dyDescent="0.3"/>
    <row r="581" customFormat="1" ht="14.25" customHeight="1" x14ac:dyDescent="0.3"/>
    <row r="582" customFormat="1" ht="14.25" customHeight="1" x14ac:dyDescent="0.3"/>
    <row r="583" customFormat="1" ht="14.25" customHeight="1" x14ac:dyDescent="0.3"/>
    <row r="584" customFormat="1" ht="14.25" customHeight="1" x14ac:dyDescent="0.3"/>
    <row r="585" customFormat="1" ht="14.25" customHeight="1" x14ac:dyDescent="0.3"/>
    <row r="586" customFormat="1" ht="14.25" customHeight="1" x14ac:dyDescent="0.3"/>
    <row r="587" customFormat="1" ht="14.25" customHeight="1" x14ac:dyDescent="0.3"/>
    <row r="588" customFormat="1" ht="14.25" customHeight="1" x14ac:dyDescent="0.3"/>
    <row r="589" customFormat="1" ht="14.25" customHeight="1" x14ac:dyDescent="0.3"/>
    <row r="590" customFormat="1" ht="14.25" customHeight="1" x14ac:dyDescent="0.3"/>
    <row r="591" customFormat="1" ht="14.25" customHeight="1" x14ac:dyDescent="0.3"/>
    <row r="592" customFormat="1" ht="14.25" customHeight="1" x14ac:dyDescent="0.3"/>
    <row r="593" customFormat="1" ht="14.25" customHeight="1" x14ac:dyDescent="0.3"/>
    <row r="594" customFormat="1" ht="14.25" customHeight="1" x14ac:dyDescent="0.3"/>
    <row r="595" customFormat="1" ht="14.25" customHeight="1" x14ac:dyDescent="0.3"/>
    <row r="596" customFormat="1" ht="14.25" customHeight="1" x14ac:dyDescent="0.3"/>
    <row r="597" customFormat="1" ht="14.25" customHeight="1" x14ac:dyDescent="0.3"/>
    <row r="598" customFormat="1" ht="14.25" customHeight="1" x14ac:dyDescent="0.3"/>
    <row r="599" customFormat="1" ht="14.25" customHeight="1" x14ac:dyDescent="0.3"/>
    <row r="600" customFormat="1" ht="14.25" customHeight="1" x14ac:dyDescent="0.3"/>
    <row r="601" customFormat="1" ht="14.25" customHeight="1" x14ac:dyDescent="0.3"/>
    <row r="602" customFormat="1" ht="14.25" customHeight="1" x14ac:dyDescent="0.3"/>
    <row r="603" customFormat="1" ht="14.25" customHeight="1" x14ac:dyDescent="0.3"/>
    <row r="604" customFormat="1" ht="14.25" customHeight="1" x14ac:dyDescent="0.3"/>
    <row r="605" customFormat="1" ht="14.25" customHeight="1" x14ac:dyDescent="0.3"/>
    <row r="606" customFormat="1" ht="14.25" customHeight="1" x14ac:dyDescent="0.3"/>
    <row r="607" customFormat="1" ht="14.25" customHeight="1" x14ac:dyDescent="0.3"/>
    <row r="608" customFormat="1" ht="14.25" customHeight="1" x14ac:dyDescent="0.3"/>
    <row r="609" customFormat="1" ht="14.25" customHeight="1" x14ac:dyDescent="0.3"/>
    <row r="610" customFormat="1" ht="14.25" customHeight="1" x14ac:dyDescent="0.3"/>
    <row r="611" customFormat="1" ht="14.25" customHeight="1" x14ac:dyDescent="0.3"/>
    <row r="612" customFormat="1" ht="14.25" customHeight="1" x14ac:dyDescent="0.3"/>
    <row r="613" customFormat="1" ht="14.25" customHeight="1" x14ac:dyDescent="0.3"/>
    <row r="614" customFormat="1" ht="14.25" customHeight="1" x14ac:dyDescent="0.3"/>
    <row r="615" customFormat="1" ht="14.25" customHeight="1" x14ac:dyDescent="0.3"/>
    <row r="616" customFormat="1" ht="14.25" customHeight="1" x14ac:dyDescent="0.3"/>
    <row r="617" customFormat="1" ht="14.25" customHeight="1" x14ac:dyDescent="0.3"/>
    <row r="618" customFormat="1" ht="14.25" customHeight="1" x14ac:dyDescent="0.3"/>
    <row r="619" customFormat="1" ht="14.25" customHeight="1" x14ac:dyDescent="0.3"/>
    <row r="620" customFormat="1" ht="14.25" customHeight="1" x14ac:dyDescent="0.3"/>
    <row r="621" customFormat="1" ht="14.25" customHeight="1" x14ac:dyDescent="0.3"/>
    <row r="622" customFormat="1" ht="14.25" customHeight="1" x14ac:dyDescent="0.3"/>
    <row r="623" customFormat="1" ht="14.25" customHeight="1" x14ac:dyDescent="0.3"/>
    <row r="624" customFormat="1" ht="14.25" customHeight="1" x14ac:dyDescent="0.3"/>
    <row r="625" customFormat="1" ht="14.25" customHeight="1" x14ac:dyDescent="0.3"/>
    <row r="626" customFormat="1" ht="14.25" customHeight="1" x14ac:dyDescent="0.3"/>
    <row r="627" customFormat="1" ht="14.25" customHeight="1" x14ac:dyDescent="0.3"/>
    <row r="628" customFormat="1" ht="14.25" customHeight="1" x14ac:dyDescent="0.3"/>
    <row r="629" customFormat="1" ht="14.25" customHeight="1" x14ac:dyDescent="0.3"/>
    <row r="630" customFormat="1" ht="14.25" customHeight="1" x14ac:dyDescent="0.3"/>
    <row r="631" customFormat="1" ht="14.25" customHeight="1" x14ac:dyDescent="0.3"/>
    <row r="632" customFormat="1" ht="14.25" customHeight="1" x14ac:dyDescent="0.3"/>
    <row r="633" customFormat="1" ht="14.25" customHeight="1" x14ac:dyDescent="0.3"/>
    <row r="634" customFormat="1" ht="14.25" customHeight="1" x14ac:dyDescent="0.3"/>
    <row r="635" customFormat="1" ht="14.25" customHeight="1" x14ac:dyDescent="0.3"/>
    <row r="636" customFormat="1" ht="14.25" customHeight="1" x14ac:dyDescent="0.3"/>
    <row r="637" customFormat="1" ht="14.25" customHeight="1" x14ac:dyDescent="0.3"/>
    <row r="638" customFormat="1" ht="14.25" customHeight="1" x14ac:dyDescent="0.3"/>
    <row r="639" customFormat="1" ht="14.25" customHeight="1" x14ac:dyDescent="0.3"/>
    <row r="640" customFormat="1" ht="14.25" customHeight="1" x14ac:dyDescent="0.3"/>
    <row r="641" customFormat="1" ht="14.25" customHeight="1" x14ac:dyDescent="0.3"/>
    <row r="642" customFormat="1" ht="14.25" customHeight="1" x14ac:dyDescent="0.3"/>
    <row r="643" customFormat="1" ht="14.25" customHeight="1" x14ac:dyDescent="0.3"/>
    <row r="644" customFormat="1" ht="14.25" customHeight="1" x14ac:dyDescent="0.3"/>
    <row r="645" customFormat="1" ht="14.25" customHeight="1" x14ac:dyDescent="0.3"/>
    <row r="646" customFormat="1" ht="14.25" customHeight="1" x14ac:dyDescent="0.3"/>
    <row r="647" customFormat="1" ht="14.25" customHeight="1" x14ac:dyDescent="0.3"/>
    <row r="648" customFormat="1" ht="14.25" customHeight="1" x14ac:dyDescent="0.3"/>
    <row r="649" customFormat="1" ht="14.25" customHeight="1" x14ac:dyDescent="0.3"/>
    <row r="650" customFormat="1" ht="14.25" customHeight="1" x14ac:dyDescent="0.3"/>
    <row r="651" customFormat="1" ht="14.25" customHeight="1" x14ac:dyDescent="0.3"/>
    <row r="652" customFormat="1" ht="14.25" customHeight="1" x14ac:dyDescent="0.3"/>
    <row r="653" customFormat="1" ht="14.25" customHeight="1" x14ac:dyDescent="0.3"/>
    <row r="654" customFormat="1" ht="14.25" customHeight="1" x14ac:dyDescent="0.3"/>
    <row r="655" customFormat="1" ht="14.25" customHeight="1" x14ac:dyDescent="0.3"/>
    <row r="656" customFormat="1" ht="14.25" customHeight="1" x14ac:dyDescent="0.3"/>
    <row r="657" customFormat="1" ht="14.25" customHeight="1" x14ac:dyDescent="0.3"/>
    <row r="658" customFormat="1" ht="14.25" customHeight="1" x14ac:dyDescent="0.3"/>
    <row r="659" customFormat="1" ht="14.25" customHeight="1" x14ac:dyDescent="0.3"/>
    <row r="660" customFormat="1" ht="14.25" customHeight="1" x14ac:dyDescent="0.3"/>
    <row r="661" customFormat="1" ht="14.25" customHeight="1" x14ac:dyDescent="0.3"/>
    <row r="662" customFormat="1" ht="14.25" customHeight="1" x14ac:dyDescent="0.3"/>
    <row r="663" customFormat="1" ht="14.25" customHeight="1" x14ac:dyDescent="0.3"/>
    <row r="664" customFormat="1" ht="14.25" customHeight="1" x14ac:dyDescent="0.3"/>
    <row r="665" customFormat="1" ht="14.25" customHeight="1" x14ac:dyDescent="0.3"/>
    <row r="666" customFormat="1" ht="14.25" customHeight="1" x14ac:dyDescent="0.3"/>
    <row r="667" customFormat="1" ht="14.25" customHeight="1" x14ac:dyDescent="0.3"/>
    <row r="668" customFormat="1" ht="14.25" customHeight="1" x14ac:dyDescent="0.3"/>
    <row r="669" customFormat="1" ht="14.25" customHeight="1" x14ac:dyDescent="0.3"/>
    <row r="670" customFormat="1" ht="14.25" customHeight="1" x14ac:dyDescent="0.3"/>
    <row r="671" customFormat="1" ht="14.25" customHeight="1" x14ac:dyDescent="0.3"/>
    <row r="672" customFormat="1" ht="14.25" customHeight="1" x14ac:dyDescent="0.3"/>
    <row r="673" customFormat="1" ht="14.25" customHeight="1" x14ac:dyDescent="0.3"/>
    <row r="674" customFormat="1" ht="14.25" customHeight="1" x14ac:dyDescent="0.3"/>
    <row r="675" customFormat="1" ht="14.25" customHeight="1" x14ac:dyDescent="0.3"/>
    <row r="676" customFormat="1" ht="14.25" customHeight="1" x14ac:dyDescent="0.3"/>
    <row r="677" customFormat="1" ht="14.25" customHeight="1" x14ac:dyDescent="0.3"/>
    <row r="678" customFormat="1" ht="14.25" customHeight="1" x14ac:dyDescent="0.3"/>
    <row r="679" customFormat="1" ht="14.25" customHeight="1" x14ac:dyDescent="0.3"/>
    <row r="680" customFormat="1" ht="14.25" customHeight="1" x14ac:dyDescent="0.3"/>
    <row r="681" customFormat="1" ht="14.25" customHeight="1" x14ac:dyDescent="0.3"/>
    <row r="682" customFormat="1" ht="14.25" customHeight="1" x14ac:dyDescent="0.3"/>
    <row r="683" customFormat="1" ht="14.25" customHeight="1" x14ac:dyDescent="0.3"/>
    <row r="684" customFormat="1" ht="14.25" customHeight="1" x14ac:dyDescent="0.3"/>
    <row r="685" customFormat="1" ht="14.25" customHeight="1" x14ac:dyDescent="0.3"/>
    <row r="686" customFormat="1" ht="14.25" customHeight="1" x14ac:dyDescent="0.3"/>
    <row r="687" customFormat="1" ht="14.25" customHeight="1" x14ac:dyDescent="0.3"/>
    <row r="688" customFormat="1" ht="14.25" customHeight="1" x14ac:dyDescent="0.3"/>
    <row r="689" customFormat="1" ht="14.25" customHeight="1" x14ac:dyDescent="0.3"/>
    <row r="690" customFormat="1" ht="14.25" customHeight="1" x14ac:dyDescent="0.3"/>
    <row r="691" customFormat="1" ht="14.25" customHeight="1" x14ac:dyDescent="0.3"/>
    <row r="692" customFormat="1" ht="14.25" customHeight="1" x14ac:dyDescent="0.3"/>
    <row r="693" customFormat="1" ht="14.25" customHeight="1" x14ac:dyDescent="0.3"/>
    <row r="694" customFormat="1" ht="14.25" customHeight="1" x14ac:dyDescent="0.3"/>
    <row r="695" customFormat="1" ht="14.25" customHeight="1" x14ac:dyDescent="0.3"/>
    <row r="696" customFormat="1" ht="14.25" customHeight="1" x14ac:dyDescent="0.3"/>
    <row r="697" customFormat="1" ht="14.25" customHeight="1" x14ac:dyDescent="0.3"/>
    <row r="698" customFormat="1" ht="14.25" customHeight="1" x14ac:dyDescent="0.3"/>
    <row r="699" customFormat="1" ht="14.25" customHeight="1" x14ac:dyDescent="0.3"/>
    <row r="700" customFormat="1" ht="14.25" customHeight="1" x14ac:dyDescent="0.3"/>
    <row r="701" customFormat="1" ht="14.25" customHeight="1" x14ac:dyDescent="0.3"/>
    <row r="702" customFormat="1" ht="14.25" customHeight="1" x14ac:dyDescent="0.3"/>
    <row r="703" customFormat="1" ht="14.25" customHeight="1" x14ac:dyDescent="0.3"/>
    <row r="704" customFormat="1" ht="14.25" customHeight="1" x14ac:dyDescent="0.3"/>
    <row r="705" customFormat="1" ht="14.25" customHeight="1" x14ac:dyDescent="0.3"/>
    <row r="706" customFormat="1" ht="14.25" customHeight="1" x14ac:dyDescent="0.3"/>
    <row r="707" customFormat="1" ht="14.25" customHeight="1" x14ac:dyDescent="0.3"/>
    <row r="708" customFormat="1" ht="14.25" customHeight="1" x14ac:dyDescent="0.3"/>
    <row r="709" customFormat="1" ht="14.25" customHeight="1" x14ac:dyDescent="0.3"/>
    <row r="710" customFormat="1" ht="14.25" customHeight="1" x14ac:dyDescent="0.3"/>
    <row r="711" customFormat="1" ht="14.25" customHeight="1" x14ac:dyDescent="0.3"/>
    <row r="712" customFormat="1" ht="14.25" customHeight="1" x14ac:dyDescent="0.3"/>
    <row r="713" customFormat="1" ht="14.25" customHeight="1" x14ac:dyDescent="0.3"/>
    <row r="714" customFormat="1" ht="14.25" customHeight="1" x14ac:dyDescent="0.3"/>
    <row r="715" customFormat="1" ht="14.25" customHeight="1" x14ac:dyDescent="0.3"/>
    <row r="716" customFormat="1" ht="14.25" customHeight="1" x14ac:dyDescent="0.3"/>
    <row r="717" customFormat="1" ht="14.25" customHeight="1" x14ac:dyDescent="0.3"/>
    <row r="718" customFormat="1" ht="14.25" customHeight="1" x14ac:dyDescent="0.3"/>
    <row r="719" customFormat="1" ht="14.25" customHeight="1" x14ac:dyDescent="0.3"/>
    <row r="720" customFormat="1" ht="14.25" customHeight="1" x14ac:dyDescent="0.3"/>
    <row r="721" customFormat="1" ht="14.25" customHeight="1" x14ac:dyDescent="0.3"/>
    <row r="722" customFormat="1" ht="14.25" customHeight="1" x14ac:dyDescent="0.3"/>
    <row r="723" customFormat="1" ht="14.25" customHeight="1" x14ac:dyDescent="0.3"/>
    <row r="724" customFormat="1" ht="14.25" customHeight="1" x14ac:dyDescent="0.3"/>
    <row r="725" customFormat="1" ht="14.25" customHeight="1" x14ac:dyDescent="0.3"/>
    <row r="726" customFormat="1" ht="14.25" customHeight="1" x14ac:dyDescent="0.3"/>
    <row r="727" customFormat="1" ht="14.25" customHeight="1" x14ac:dyDescent="0.3"/>
    <row r="728" customFormat="1" ht="14.25" customHeight="1" x14ac:dyDescent="0.3"/>
    <row r="729" customFormat="1" ht="14.25" customHeight="1" x14ac:dyDescent="0.3"/>
    <row r="730" customFormat="1" ht="14.25" customHeight="1" x14ac:dyDescent="0.3"/>
    <row r="731" customFormat="1" ht="14.25" customHeight="1" x14ac:dyDescent="0.3"/>
    <row r="732" customFormat="1" ht="14.25" customHeight="1" x14ac:dyDescent="0.3"/>
    <row r="733" customFormat="1" ht="14.25" customHeight="1" x14ac:dyDescent="0.3"/>
    <row r="734" customFormat="1" ht="14.25" customHeight="1" x14ac:dyDescent="0.3"/>
    <row r="735" customFormat="1" ht="14.25" customHeight="1" x14ac:dyDescent="0.3"/>
    <row r="736" customFormat="1" ht="14.25" customHeight="1" x14ac:dyDescent="0.3"/>
    <row r="737" customFormat="1" ht="14.25" customHeight="1" x14ac:dyDescent="0.3"/>
    <row r="738" customFormat="1" ht="14.25" customHeight="1" x14ac:dyDescent="0.3"/>
    <row r="739" customFormat="1" ht="14.25" customHeight="1" x14ac:dyDescent="0.3"/>
    <row r="740" customFormat="1" ht="14.25" customHeight="1" x14ac:dyDescent="0.3"/>
    <row r="741" customFormat="1" ht="14.25" customHeight="1" x14ac:dyDescent="0.3"/>
    <row r="742" customFormat="1" ht="14.25" customHeight="1" x14ac:dyDescent="0.3"/>
    <row r="743" customFormat="1" ht="14.25" customHeight="1" x14ac:dyDescent="0.3"/>
    <row r="744" customFormat="1" ht="14.25" customHeight="1" x14ac:dyDescent="0.3"/>
    <row r="745" customFormat="1" ht="14.25" customHeight="1" x14ac:dyDescent="0.3"/>
    <row r="746" customFormat="1" ht="14.25" customHeight="1" x14ac:dyDescent="0.3"/>
    <row r="747" customFormat="1" ht="14.25" customHeight="1" x14ac:dyDescent="0.3"/>
    <row r="748" customFormat="1" ht="14.25" customHeight="1" x14ac:dyDescent="0.3"/>
    <row r="749" customFormat="1" ht="14.25" customHeight="1" x14ac:dyDescent="0.3"/>
    <row r="750" customFormat="1" ht="14.25" customHeight="1" x14ac:dyDescent="0.3"/>
    <row r="751" customFormat="1" ht="14.25" customHeight="1" x14ac:dyDescent="0.3"/>
    <row r="752" customFormat="1" ht="14.25" customHeight="1" x14ac:dyDescent="0.3"/>
    <row r="753" customFormat="1" ht="14.25" customHeight="1" x14ac:dyDescent="0.3"/>
    <row r="754" customFormat="1" ht="14.25" customHeight="1" x14ac:dyDescent="0.3"/>
    <row r="755" customFormat="1" ht="14.25" customHeight="1" x14ac:dyDescent="0.3"/>
    <row r="756" customFormat="1" ht="14.25" customHeight="1" x14ac:dyDescent="0.3"/>
    <row r="757" customFormat="1" ht="14.25" customHeight="1" x14ac:dyDescent="0.3"/>
    <row r="758" customFormat="1" ht="14.25" customHeight="1" x14ac:dyDescent="0.3"/>
    <row r="759" customFormat="1" ht="14.25" customHeight="1" x14ac:dyDescent="0.3"/>
    <row r="760" customFormat="1" ht="14.25" customHeight="1" x14ac:dyDescent="0.3"/>
    <row r="761" customFormat="1" ht="14.25" customHeight="1" x14ac:dyDescent="0.3"/>
    <row r="762" customFormat="1" ht="14.25" customHeight="1" x14ac:dyDescent="0.3"/>
    <row r="763" customFormat="1" ht="14.25" customHeight="1" x14ac:dyDescent="0.3"/>
    <row r="764" customFormat="1" ht="14.25" customHeight="1" x14ac:dyDescent="0.3"/>
    <row r="765" customFormat="1" ht="14.25" customHeight="1" x14ac:dyDescent="0.3"/>
    <row r="766" customFormat="1" ht="14.25" customHeight="1" x14ac:dyDescent="0.3"/>
    <row r="767" customFormat="1" ht="14.25" customHeight="1" x14ac:dyDescent="0.3"/>
    <row r="768" customFormat="1" ht="14.25" customHeight="1" x14ac:dyDescent="0.3"/>
    <row r="769" customFormat="1" ht="14.25" customHeight="1" x14ac:dyDescent="0.3"/>
    <row r="770" customFormat="1" ht="14.25" customHeight="1" x14ac:dyDescent="0.3"/>
    <row r="771" customFormat="1" ht="14.25" customHeight="1" x14ac:dyDescent="0.3"/>
    <row r="772" customFormat="1" ht="14.25" customHeight="1" x14ac:dyDescent="0.3"/>
    <row r="773" customFormat="1" ht="14.25" customHeight="1" x14ac:dyDescent="0.3"/>
    <row r="774" customFormat="1" ht="14.25" customHeight="1" x14ac:dyDescent="0.3"/>
    <row r="775" customFormat="1" ht="14.25" customHeight="1" x14ac:dyDescent="0.3"/>
    <row r="776" customFormat="1" ht="14.25" customHeight="1" x14ac:dyDescent="0.3"/>
    <row r="777" customFormat="1" ht="14.25" customHeight="1" x14ac:dyDescent="0.3"/>
    <row r="778" customFormat="1" ht="14.25" customHeight="1" x14ac:dyDescent="0.3"/>
    <row r="779" customFormat="1" ht="14.25" customHeight="1" x14ac:dyDescent="0.3"/>
    <row r="780" customFormat="1" ht="14.25" customHeight="1" x14ac:dyDescent="0.3"/>
    <row r="781" customFormat="1" ht="14.25" customHeight="1" x14ac:dyDescent="0.3"/>
    <row r="782" customFormat="1" ht="14.25" customHeight="1" x14ac:dyDescent="0.3"/>
    <row r="783" customFormat="1" ht="14.25" customHeight="1" x14ac:dyDescent="0.3"/>
    <row r="784" customFormat="1" ht="14.25" customHeight="1" x14ac:dyDescent="0.3"/>
    <row r="785" customFormat="1" ht="14.25" customHeight="1" x14ac:dyDescent="0.3"/>
    <row r="786" customFormat="1" ht="14.25" customHeight="1" x14ac:dyDescent="0.3"/>
    <row r="787" customFormat="1" ht="14.25" customHeight="1" x14ac:dyDescent="0.3"/>
    <row r="788" customFormat="1" ht="14.25" customHeight="1" x14ac:dyDescent="0.3"/>
    <row r="789" customFormat="1" ht="14.25" customHeight="1" x14ac:dyDescent="0.3"/>
    <row r="790" customFormat="1" ht="14.25" customHeight="1" x14ac:dyDescent="0.3"/>
    <row r="791" customFormat="1" ht="14.25" customHeight="1" x14ac:dyDescent="0.3"/>
    <row r="792" customFormat="1" ht="14.25" customHeight="1" x14ac:dyDescent="0.3"/>
    <row r="793" customFormat="1" ht="14.25" customHeight="1" x14ac:dyDescent="0.3"/>
    <row r="794" customFormat="1" ht="14.25" customHeight="1" x14ac:dyDescent="0.3"/>
    <row r="795" customFormat="1" ht="14.25" customHeight="1" x14ac:dyDescent="0.3"/>
    <row r="796" customFormat="1" ht="14.25" customHeight="1" x14ac:dyDescent="0.3"/>
    <row r="797" customFormat="1" ht="14.25" customHeight="1" x14ac:dyDescent="0.3"/>
    <row r="798" customFormat="1" ht="14.25" customHeight="1" x14ac:dyDescent="0.3"/>
    <row r="799" customFormat="1" ht="14.25" customHeight="1" x14ac:dyDescent="0.3"/>
    <row r="800" customFormat="1" ht="14.25" customHeight="1" x14ac:dyDescent="0.3"/>
    <row r="801" customFormat="1" ht="14.25" customHeight="1" x14ac:dyDescent="0.3"/>
    <row r="802" customFormat="1" ht="14.25" customHeight="1" x14ac:dyDescent="0.3"/>
    <row r="803" customFormat="1" ht="14.25" customHeight="1" x14ac:dyDescent="0.3"/>
    <row r="804" customFormat="1" ht="14.25" customHeight="1" x14ac:dyDescent="0.3"/>
    <row r="805" customFormat="1" ht="14.25" customHeight="1" x14ac:dyDescent="0.3"/>
    <row r="806" customFormat="1" ht="14.25" customHeight="1" x14ac:dyDescent="0.3"/>
    <row r="807" customFormat="1" ht="14.25" customHeight="1" x14ac:dyDescent="0.3"/>
    <row r="808" customFormat="1" ht="14.25" customHeight="1" x14ac:dyDescent="0.3"/>
    <row r="809" customFormat="1" ht="14.25" customHeight="1" x14ac:dyDescent="0.3"/>
    <row r="810" customFormat="1" ht="14.25" customHeight="1" x14ac:dyDescent="0.3"/>
    <row r="811" customFormat="1" ht="14.25" customHeight="1" x14ac:dyDescent="0.3"/>
    <row r="812" customFormat="1" ht="14.25" customHeight="1" x14ac:dyDescent="0.3"/>
    <row r="813" customFormat="1" ht="14.25" customHeight="1" x14ac:dyDescent="0.3"/>
    <row r="814" customFormat="1" ht="14.25" customHeight="1" x14ac:dyDescent="0.3"/>
    <row r="815" customFormat="1" ht="14.25" customHeight="1" x14ac:dyDescent="0.3"/>
    <row r="816" customFormat="1" ht="14.25" customHeight="1" x14ac:dyDescent="0.3"/>
    <row r="817" customFormat="1" ht="14.25" customHeight="1" x14ac:dyDescent="0.3"/>
    <row r="818" customFormat="1" ht="14.25" customHeight="1" x14ac:dyDescent="0.3"/>
    <row r="819" customFormat="1" ht="14.25" customHeight="1" x14ac:dyDescent="0.3"/>
    <row r="820" customFormat="1" ht="14.25" customHeight="1" x14ac:dyDescent="0.3"/>
    <row r="821" customFormat="1" ht="14.25" customHeight="1" x14ac:dyDescent="0.3"/>
    <row r="822" customFormat="1" ht="14.25" customHeight="1" x14ac:dyDescent="0.3"/>
    <row r="823" customFormat="1" ht="14.25" customHeight="1" x14ac:dyDescent="0.3"/>
    <row r="824" customFormat="1" ht="14.25" customHeight="1" x14ac:dyDescent="0.3"/>
    <row r="825" customFormat="1" ht="14.25" customHeight="1" x14ac:dyDescent="0.3"/>
    <row r="826" customFormat="1" ht="14.25" customHeight="1" x14ac:dyDescent="0.3"/>
    <row r="827" customFormat="1" ht="14.25" customHeight="1" x14ac:dyDescent="0.3"/>
    <row r="828" customFormat="1" ht="14.25" customHeight="1" x14ac:dyDescent="0.3"/>
    <row r="829" customFormat="1" ht="14.25" customHeight="1" x14ac:dyDescent="0.3"/>
    <row r="830" customFormat="1" ht="14.25" customHeight="1" x14ac:dyDescent="0.3"/>
    <row r="831" customFormat="1" ht="14.25" customHeight="1" x14ac:dyDescent="0.3"/>
    <row r="832" customFormat="1" ht="14.25" customHeight="1" x14ac:dyDescent="0.3"/>
    <row r="833" customFormat="1" ht="14.25" customHeight="1" x14ac:dyDescent="0.3"/>
    <row r="834" customFormat="1" ht="14.25" customHeight="1" x14ac:dyDescent="0.3"/>
    <row r="835" customFormat="1" ht="14.25" customHeight="1" x14ac:dyDescent="0.3"/>
    <row r="836" customFormat="1" ht="14.25" customHeight="1" x14ac:dyDescent="0.3"/>
    <row r="837" customFormat="1" ht="14.25" customHeight="1" x14ac:dyDescent="0.3"/>
    <row r="838" customFormat="1" ht="14.25" customHeight="1" x14ac:dyDescent="0.3"/>
    <row r="839" customFormat="1" ht="14.25" customHeight="1" x14ac:dyDescent="0.3"/>
    <row r="840" customFormat="1" ht="14.25" customHeight="1" x14ac:dyDescent="0.3"/>
    <row r="841" customFormat="1" ht="14.25" customHeight="1" x14ac:dyDescent="0.3"/>
    <row r="842" customFormat="1" ht="14.25" customHeight="1" x14ac:dyDescent="0.3"/>
    <row r="843" customFormat="1" ht="14.25" customHeight="1" x14ac:dyDescent="0.3"/>
    <row r="844" customFormat="1" ht="14.25" customHeight="1" x14ac:dyDescent="0.3"/>
    <row r="845" customFormat="1" ht="14.25" customHeight="1" x14ac:dyDescent="0.3"/>
    <row r="846" customFormat="1" ht="14.25" customHeight="1" x14ac:dyDescent="0.3"/>
    <row r="847" customFormat="1" ht="14.25" customHeight="1" x14ac:dyDescent="0.3"/>
    <row r="848" customFormat="1" ht="14.25" customHeight="1" x14ac:dyDescent="0.3"/>
    <row r="849" customFormat="1" ht="14.25" customHeight="1" x14ac:dyDescent="0.3"/>
    <row r="850" customFormat="1" ht="14.25" customHeight="1" x14ac:dyDescent="0.3"/>
    <row r="851" customFormat="1" ht="14.25" customHeight="1" x14ac:dyDescent="0.3"/>
    <row r="852" customFormat="1" ht="14.25" customHeight="1" x14ac:dyDescent="0.3"/>
    <row r="853" customFormat="1" ht="14.25" customHeight="1" x14ac:dyDescent="0.3"/>
    <row r="854" customFormat="1" ht="14.25" customHeight="1" x14ac:dyDescent="0.3"/>
    <row r="855" customFormat="1" ht="14.25" customHeight="1" x14ac:dyDescent="0.3"/>
    <row r="856" customFormat="1" ht="14.25" customHeight="1" x14ac:dyDescent="0.3"/>
    <row r="857" customFormat="1" ht="14.25" customHeight="1" x14ac:dyDescent="0.3"/>
    <row r="858" customFormat="1" ht="14.25" customHeight="1" x14ac:dyDescent="0.3"/>
    <row r="859" customFormat="1" ht="14.25" customHeight="1" x14ac:dyDescent="0.3"/>
    <row r="860" customFormat="1" ht="14.25" customHeight="1" x14ac:dyDescent="0.3"/>
    <row r="861" customFormat="1" ht="14.25" customHeight="1" x14ac:dyDescent="0.3"/>
    <row r="862" customFormat="1" ht="14.25" customHeight="1" x14ac:dyDescent="0.3"/>
    <row r="863" customFormat="1" ht="14.25" customHeight="1" x14ac:dyDescent="0.3"/>
    <row r="864" customFormat="1" ht="14.25" customHeight="1" x14ac:dyDescent="0.3"/>
    <row r="865" customFormat="1" ht="14.25" customHeight="1" x14ac:dyDescent="0.3"/>
    <row r="866" customFormat="1" ht="14.25" customHeight="1" x14ac:dyDescent="0.3"/>
    <row r="867" customFormat="1" ht="14.25" customHeight="1" x14ac:dyDescent="0.3"/>
    <row r="868" customFormat="1" ht="14.25" customHeight="1" x14ac:dyDescent="0.3"/>
    <row r="869" customFormat="1" ht="14.25" customHeight="1" x14ac:dyDescent="0.3"/>
    <row r="870" customFormat="1" ht="14.25" customHeight="1" x14ac:dyDescent="0.3"/>
    <row r="871" customFormat="1" ht="14.25" customHeight="1" x14ac:dyDescent="0.3"/>
    <row r="872" customFormat="1" ht="14.25" customHeight="1" x14ac:dyDescent="0.3"/>
    <row r="873" customFormat="1" ht="14.25" customHeight="1" x14ac:dyDescent="0.3"/>
    <row r="874" customFormat="1" ht="14.25" customHeight="1" x14ac:dyDescent="0.3"/>
    <row r="875" customFormat="1" ht="14.25" customHeight="1" x14ac:dyDescent="0.3"/>
    <row r="876" customFormat="1" ht="14.25" customHeight="1" x14ac:dyDescent="0.3"/>
    <row r="877" customFormat="1" ht="14.25" customHeight="1" x14ac:dyDescent="0.3"/>
    <row r="878" customFormat="1" ht="14.25" customHeight="1" x14ac:dyDescent="0.3"/>
    <row r="879" customFormat="1" ht="14.25" customHeight="1" x14ac:dyDescent="0.3"/>
    <row r="880" customFormat="1" ht="14.25" customHeight="1" x14ac:dyDescent="0.3"/>
    <row r="881" customFormat="1" ht="14.25" customHeight="1" x14ac:dyDescent="0.3"/>
    <row r="882" customFormat="1" ht="14.25" customHeight="1" x14ac:dyDescent="0.3"/>
    <row r="883" customFormat="1" ht="14.25" customHeight="1" x14ac:dyDescent="0.3"/>
    <row r="884" customFormat="1" ht="14.25" customHeight="1" x14ac:dyDescent="0.3"/>
    <row r="885" customFormat="1" ht="14.25" customHeight="1" x14ac:dyDescent="0.3"/>
    <row r="886" customFormat="1" ht="14.25" customHeight="1" x14ac:dyDescent="0.3"/>
    <row r="887" customFormat="1" ht="14.25" customHeight="1" x14ac:dyDescent="0.3"/>
    <row r="888" customFormat="1" ht="14.25" customHeight="1" x14ac:dyDescent="0.3"/>
    <row r="889" customFormat="1" ht="14.25" customHeight="1" x14ac:dyDescent="0.3"/>
    <row r="890" customFormat="1" ht="14.25" customHeight="1" x14ac:dyDescent="0.3"/>
    <row r="891" customFormat="1" ht="14.25" customHeight="1" x14ac:dyDescent="0.3"/>
    <row r="892" customFormat="1" ht="14.25" customHeight="1" x14ac:dyDescent="0.3"/>
    <row r="893" customFormat="1" ht="14.25" customHeight="1" x14ac:dyDescent="0.3"/>
    <row r="894" customFormat="1" ht="14.25" customHeight="1" x14ac:dyDescent="0.3"/>
    <row r="895" customFormat="1" ht="14.25" customHeight="1" x14ac:dyDescent="0.3"/>
    <row r="896" customFormat="1" ht="14.25" customHeight="1" x14ac:dyDescent="0.3"/>
    <row r="897" customFormat="1" ht="14.25" customHeight="1" x14ac:dyDescent="0.3"/>
    <row r="898" customFormat="1" ht="14.25" customHeight="1" x14ac:dyDescent="0.3"/>
    <row r="899" customFormat="1" ht="14.25" customHeight="1" x14ac:dyDescent="0.3"/>
    <row r="900" customFormat="1" ht="14.25" customHeight="1" x14ac:dyDescent="0.3"/>
    <row r="901" customFormat="1" ht="14.25" customHeight="1" x14ac:dyDescent="0.3"/>
    <row r="902" customFormat="1" ht="14.25" customHeight="1" x14ac:dyDescent="0.3"/>
    <row r="903" customFormat="1" ht="14.25" customHeight="1" x14ac:dyDescent="0.3"/>
    <row r="904" customFormat="1" ht="14.25" customHeight="1" x14ac:dyDescent="0.3"/>
    <row r="905" customFormat="1" ht="14.25" customHeight="1" x14ac:dyDescent="0.3"/>
    <row r="906" customFormat="1" ht="14.25" customHeight="1" x14ac:dyDescent="0.3"/>
    <row r="907" customFormat="1" ht="14.25" customHeight="1" x14ac:dyDescent="0.3"/>
    <row r="908" customFormat="1" ht="14.25" customHeight="1" x14ac:dyDescent="0.3"/>
    <row r="909" customFormat="1" ht="14.25" customHeight="1" x14ac:dyDescent="0.3"/>
    <row r="910" customFormat="1" ht="14.25" customHeight="1" x14ac:dyDescent="0.3"/>
    <row r="911" customFormat="1" ht="14.25" customHeight="1" x14ac:dyDescent="0.3"/>
    <row r="912" customFormat="1" ht="14.25" customHeight="1" x14ac:dyDescent="0.3"/>
    <row r="913" customFormat="1" ht="14.25" customHeight="1" x14ac:dyDescent="0.3"/>
    <row r="914" customFormat="1" ht="14.25" customHeight="1" x14ac:dyDescent="0.3"/>
    <row r="915" customFormat="1" ht="14.25" customHeight="1" x14ac:dyDescent="0.3"/>
    <row r="916" customFormat="1" ht="14.25" customHeight="1" x14ac:dyDescent="0.3"/>
    <row r="917" customFormat="1" ht="14.25" customHeight="1" x14ac:dyDescent="0.3"/>
    <row r="918" customFormat="1" ht="14.25" customHeight="1" x14ac:dyDescent="0.3"/>
    <row r="919" customFormat="1" ht="14.25" customHeight="1" x14ac:dyDescent="0.3"/>
    <row r="920" customFormat="1" ht="14.25" customHeight="1" x14ac:dyDescent="0.3"/>
    <row r="921" customFormat="1" ht="14.25" customHeight="1" x14ac:dyDescent="0.3"/>
    <row r="922" customFormat="1" ht="14.25" customHeight="1" x14ac:dyDescent="0.3"/>
    <row r="923" customFormat="1" ht="14.25" customHeight="1" x14ac:dyDescent="0.3"/>
    <row r="924" customFormat="1" ht="14.25" customHeight="1" x14ac:dyDescent="0.3"/>
    <row r="925" customFormat="1" ht="14.25" customHeight="1" x14ac:dyDescent="0.3"/>
    <row r="926" customFormat="1" ht="14.25" customHeight="1" x14ac:dyDescent="0.3"/>
    <row r="927" customFormat="1" ht="14.25" customHeight="1" x14ac:dyDescent="0.3"/>
    <row r="928" customFormat="1" ht="14.25" customHeight="1" x14ac:dyDescent="0.3"/>
    <row r="929" customFormat="1" ht="14.25" customHeight="1" x14ac:dyDescent="0.3"/>
    <row r="930" customFormat="1" ht="14.25" customHeight="1" x14ac:dyDescent="0.3"/>
    <row r="931" customFormat="1" ht="14.25" customHeight="1" x14ac:dyDescent="0.3"/>
    <row r="932" customFormat="1" ht="14.25" customHeight="1" x14ac:dyDescent="0.3"/>
    <row r="933" customFormat="1" ht="14.25" customHeight="1" x14ac:dyDescent="0.3"/>
    <row r="934" customFormat="1" ht="14.25" customHeight="1" x14ac:dyDescent="0.3"/>
    <row r="935" customFormat="1" ht="14.25" customHeight="1" x14ac:dyDescent="0.3"/>
    <row r="936" customFormat="1" ht="14.25" customHeight="1" x14ac:dyDescent="0.3"/>
    <row r="937" customFormat="1" ht="14.25" customHeight="1" x14ac:dyDescent="0.3"/>
    <row r="938" customFormat="1" ht="14.25" customHeight="1" x14ac:dyDescent="0.3"/>
    <row r="939" customFormat="1" ht="14.25" customHeight="1" x14ac:dyDescent="0.3"/>
    <row r="940" customFormat="1" ht="14.25" customHeight="1" x14ac:dyDescent="0.3"/>
    <row r="941" customFormat="1" ht="14.25" customHeight="1" x14ac:dyDescent="0.3"/>
    <row r="942" customFormat="1" ht="14.25" customHeight="1" x14ac:dyDescent="0.3"/>
    <row r="943" customFormat="1" ht="14.25" customHeight="1" x14ac:dyDescent="0.3"/>
    <row r="944" customFormat="1" ht="14.25" customHeight="1" x14ac:dyDescent="0.3"/>
    <row r="945" customFormat="1" ht="14.25" customHeight="1" x14ac:dyDescent="0.3"/>
    <row r="946" customFormat="1" ht="14.25" customHeight="1" x14ac:dyDescent="0.3"/>
    <row r="947" customFormat="1" ht="14.25" customHeight="1" x14ac:dyDescent="0.3"/>
    <row r="948" customFormat="1" ht="14.25" customHeight="1" x14ac:dyDescent="0.3"/>
    <row r="949" customFormat="1" ht="14.25" customHeight="1" x14ac:dyDescent="0.3"/>
    <row r="950" customFormat="1" ht="14.25" customHeight="1" x14ac:dyDescent="0.3"/>
    <row r="951" customFormat="1" ht="14.25" customHeight="1" x14ac:dyDescent="0.3"/>
    <row r="952" customFormat="1" ht="14.25" customHeight="1" x14ac:dyDescent="0.3"/>
    <row r="953" customFormat="1" ht="14.25" customHeight="1" x14ac:dyDescent="0.3"/>
    <row r="954" customFormat="1" ht="14.25" customHeight="1" x14ac:dyDescent="0.3"/>
    <row r="955" customFormat="1" ht="14.25" customHeight="1" x14ac:dyDescent="0.3"/>
    <row r="956" customFormat="1" ht="14.25" customHeight="1" x14ac:dyDescent="0.3"/>
    <row r="957" customFormat="1" ht="14.25" customHeight="1" x14ac:dyDescent="0.3"/>
    <row r="958" customFormat="1" ht="14.25" customHeight="1" x14ac:dyDescent="0.3"/>
    <row r="959" customFormat="1" ht="14.25" customHeight="1" x14ac:dyDescent="0.3"/>
    <row r="960" customFormat="1" ht="14.25" customHeight="1" x14ac:dyDescent="0.3"/>
    <row r="961" customFormat="1" ht="14.25" customHeight="1" x14ac:dyDescent="0.3"/>
    <row r="962" customFormat="1" ht="14.25" customHeight="1" x14ac:dyDescent="0.3"/>
    <row r="963" customFormat="1" ht="14.25" customHeight="1" x14ac:dyDescent="0.3"/>
    <row r="964" customFormat="1" ht="14.25" customHeight="1" x14ac:dyDescent="0.3"/>
    <row r="965" customFormat="1" ht="14.25" customHeight="1" x14ac:dyDescent="0.3"/>
    <row r="966" customFormat="1" ht="14.25" customHeight="1" x14ac:dyDescent="0.3"/>
    <row r="967" customFormat="1" ht="14.25" customHeight="1" x14ac:dyDescent="0.3"/>
    <row r="968" customFormat="1" ht="14.25" customHeight="1" x14ac:dyDescent="0.3"/>
    <row r="969" customFormat="1" ht="14.25" customHeight="1" x14ac:dyDescent="0.3"/>
    <row r="970" customFormat="1" ht="14.25" customHeight="1" x14ac:dyDescent="0.3"/>
    <row r="971" customFormat="1" ht="14.25" customHeight="1" x14ac:dyDescent="0.3"/>
    <row r="972" customFormat="1" ht="14.25" customHeight="1" x14ac:dyDescent="0.3"/>
    <row r="973" customFormat="1" ht="14.25" customHeight="1" x14ac:dyDescent="0.3"/>
    <row r="974" customFormat="1" ht="14.25" customHeight="1" x14ac:dyDescent="0.3"/>
    <row r="975" customFormat="1" ht="14.25" customHeight="1" x14ac:dyDescent="0.3"/>
    <row r="976" customFormat="1" ht="14.25" customHeight="1" x14ac:dyDescent="0.3"/>
    <row r="977" customFormat="1" ht="14.25" customHeight="1" x14ac:dyDescent="0.3"/>
    <row r="978" customFormat="1" ht="14.25" customHeight="1" x14ac:dyDescent="0.3"/>
    <row r="979" customFormat="1" ht="14.25" customHeight="1" x14ac:dyDescent="0.3"/>
    <row r="980" customFormat="1" ht="14.25" customHeight="1" x14ac:dyDescent="0.3"/>
    <row r="981" customFormat="1" ht="14.25" customHeight="1" x14ac:dyDescent="0.3"/>
    <row r="982" customFormat="1" ht="14.25" customHeight="1" x14ac:dyDescent="0.3"/>
    <row r="983" customFormat="1" ht="14.25" customHeight="1" x14ac:dyDescent="0.3"/>
    <row r="984" customFormat="1" ht="14.25" customHeight="1" x14ac:dyDescent="0.3"/>
    <row r="985" customFormat="1" ht="14.25" customHeight="1" x14ac:dyDescent="0.3"/>
    <row r="986" customFormat="1" ht="14.25" customHeight="1" x14ac:dyDescent="0.3"/>
    <row r="987" customFormat="1" ht="14.25" customHeight="1" x14ac:dyDescent="0.3"/>
    <row r="988" customFormat="1" ht="14.25" customHeight="1" x14ac:dyDescent="0.3"/>
    <row r="989" customFormat="1" ht="14.25" customHeight="1" x14ac:dyDescent="0.3"/>
    <row r="990" customFormat="1" ht="14.25" customHeight="1" x14ac:dyDescent="0.3"/>
    <row r="991" customFormat="1" ht="14.25" customHeight="1" x14ac:dyDescent="0.3"/>
    <row r="992" customFormat="1" ht="14.25" customHeight="1" x14ac:dyDescent="0.3"/>
    <row r="993" customFormat="1" ht="14.25" customHeight="1" x14ac:dyDescent="0.3"/>
    <row r="994" customFormat="1" ht="14.25" customHeight="1" x14ac:dyDescent="0.3"/>
    <row r="995" customFormat="1" ht="14.25" customHeight="1" x14ac:dyDescent="0.3"/>
    <row r="996" customFormat="1" ht="14.25" customHeight="1" x14ac:dyDescent="0.3"/>
    <row r="997" customFormat="1" ht="14.25" customHeight="1" x14ac:dyDescent="0.3"/>
    <row r="998" customFormat="1" ht="14.25" customHeight="1" x14ac:dyDescent="0.3"/>
    <row r="999" customFormat="1" ht="14.25" customHeight="1" x14ac:dyDescent="0.3"/>
    <row r="1000" customFormat="1" ht="14.25" customHeight="1" x14ac:dyDescent="0.3"/>
  </sheetData>
  <mergeCells count="4">
    <mergeCell ref="A1:H1"/>
    <mergeCell ref="A3:A34"/>
    <mergeCell ref="H3:H34"/>
    <mergeCell ref="B4:B23"/>
  </mergeCells>
  <hyperlinks>
    <hyperlink ref="D31" r:id="rId1" xr:uid="{D3A62000-8683-415B-B68D-99DBA105D04E}"/>
    <hyperlink ref="D32:D34" r:id="rId2" display="SRT10KXLT" xr:uid="{BF340C62-94DF-4376-83C1-5E99932B6C9F}"/>
    <hyperlink ref="C41" r:id="rId3" display="2 x Daikin DFC090" xr:uid="{0B10B8AE-3217-4374-AC84-ACE1FC6E7CAD}"/>
    <hyperlink ref="C40" r:id="rId4" display="2 x Daikin DFC090" xr:uid="{D5414354-C74F-4270-9288-CF42B19703A3}"/>
    <hyperlink ref="A1:H1" r:id="rId5" display="Open Frame Server 58U Rack" xr:uid="{A7B9D98F-4E7B-4C33-87CE-43DA6183F8D2}"/>
  </hyperlinks>
  <pageMargins left="0.7" right="0.7" top="0.75" bottom="0.75" header="0.3" footer="0.3"/>
  <legacyDrawing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Cable</vt:lpstr>
      <vt:lpstr>Fiber</vt:lpstr>
      <vt:lpstr>Tech Stack</vt:lpstr>
      <vt:lpstr>MDF</vt:lpstr>
      <vt:lpstr>IDF1</vt:lpstr>
      <vt:lpstr>IDF2</vt:lpstr>
      <vt:lpstr>IDF3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cemil</dc:creator>
  <cp:lastModifiedBy>Grad Laurentiu</cp:lastModifiedBy>
  <dcterms:created xsi:type="dcterms:W3CDTF">2020-03-30T08:46:30Z</dcterms:created>
  <dcterms:modified xsi:type="dcterms:W3CDTF">2026-04-17T13:42:46Z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b58b62f-6f94-46bd-8089-18e64b0a9abb_Enabled">
    <vt:lpwstr>true</vt:lpwstr>
  </property>
  <property fmtid="{D5CDD505-2E9C-101B-9397-08002B2CF9AE}" pid="3" name="MSIP_Label_5b58b62f-6f94-46bd-8089-18e64b0a9abb_SetDate">
    <vt:lpwstr>2025-04-10T07:51:52Z</vt:lpwstr>
  </property>
  <property fmtid="{D5CDD505-2E9C-101B-9397-08002B2CF9AE}" pid="4" name="MSIP_Label_5b58b62f-6f94-46bd-8089-18e64b0a9abb_Method">
    <vt:lpwstr>Standard</vt:lpwstr>
  </property>
  <property fmtid="{D5CDD505-2E9C-101B-9397-08002B2CF9AE}" pid="5" name="MSIP_Label_5b58b62f-6f94-46bd-8089-18e64b0a9abb_Name">
    <vt:lpwstr>defa4170-0d19-0005-0004-bc88714345d2</vt:lpwstr>
  </property>
  <property fmtid="{D5CDD505-2E9C-101B-9397-08002B2CF9AE}" pid="6" name="MSIP_Label_5b58b62f-6f94-46bd-8089-18e64b0a9abb_SiteId">
    <vt:lpwstr>a6eb79fa-c4a9-4cce-818d-b85274d15305</vt:lpwstr>
  </property>
  <property fmtid="{D5CDD505-2E9C-101B-9397-08002B2CF9AE}" pid="7" name="MSIP_Label_5b58b62f-6f94-46bd-8089-18e64b0a9abb_ActionId">
    <vt:lpwstr>b5db2479-941d-4433-b1ae-102c71dd8c2b</vt:lpwstr>
  </property>
  <property fmtid="{D5CDD505-2E9C-101B-9397-08002B2CF9AE}" pid="8" name="MSIP_Label_5b58b62f-6f94-46bd-8089-18e64b0a9abb_ContentBits">
    <vt:lpwstr>0</vt:lpwstr>
  </property>
  <property fmtid="{D5CDD505-2E9C-101B-9397-08002B2CF9AE}" pid="9" name="MSIP_Label_5b58b62f-6f94-46bd-8089-18e64b0a9abb_Tag">
    <vt:lpwstr>10, 3, 0, 1</vt:lpwstr>
  </property>
  <property fmtid="{D5CDD505-2E9C-101B-9397-08002B2CF9AE}" pid="10" name="ContentTypeId">
    <vt:lpwstr>0x010100E4DE2CC379442A4D8483D9D7B1BA3E35</vt:lpwstr>
  </property>
</Properties>
</file>