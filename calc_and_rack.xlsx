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ble" sheetId="1" r:id="rId4"/>
    <sheet state="visible" name="MDF" sheetId="2" r:id="rId5"/>
    <sheet state="visible" name="IDF1" sheetId="3" r:id="rId6"/>
    <sheet state="visible" name="IDF..." sheetId="4" r:id="rId7"/>
  </sheets>
  <definedNames/>
  <calcPr/>
  <extLst>
    <ext uri="GoogleSheetsCustomDataVersion2">
      <go:sheetsCustomData xmlns:go="http://customooxmlschemas.google.com/" r:id="rId8" roundtripDataChecksum="vpr7gDjkRN8q9Ys7u63eYmPyQWwZa9TAs42Yaznsvz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">
      <text>
        <t xml:space="preserve">======
ID#AAAB25SOS00
Emil Cebuc    (2026-04-01 14:28:17)
3m for in rack cabling</t>
      </text>
    </comment>
    <comment authorId="0" ref="H1">
      <text>
        <t xml:space="preserve">======
ID#AAAB25SOS0w
Emil Cebuc    (2026-04-01 14:28:17)
From detaild design</t>
      </text>
    </comment>
  </commentList>
  <extLst>
    <ext uri="GoogleSheetsCustomDataVersion2">
      <go:sheetsCustomData xmlns:go="http://customooxmlschemas.google.com/" r:id="rId1" roundtripDataSignature="AMtx7mgq3c4KQOOLpkQlWoXbJ9lmgDKqvQ=="/>
    </ext>
  </extLst>
</comments>
</file>

<file path=xl/sharedStrings.xml><?xml version="1.0" encoding="utf-8"?>
<sst xmlns="http://schemas.openxmlformats.org/spreadsheetml/2006/main" count="321" uniqueCount="182">
  <si>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</si>
  <si>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</si>
  <si>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</si>
  <si>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</si>
  <si>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</si>
  <si>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</si>
  <si>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</si>
  <si>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</si>
  <si>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</si>
  <si>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</si>
  <si>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</si>
  <si>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</si>
  <si>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</si>
  <si>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</si>
  <si>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</si>
  <si>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</si>
  <si>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</si>
  <si>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</si>
  <si>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</si>
  <si>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</si>
  <si>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</si>
  <si>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</si>
  <si>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</si>
  <si>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</si>
  <si>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</si>
  <si>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</si>
  <si>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</si>
  <si>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</si>
  <si>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</si>
  <si>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</si>
  <si>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</si>
  <si>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</si>
  <si>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</si>
  <si>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</si>
  <si>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</si>
  <si>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</si>
  <si>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</si>
  <si>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</si>
  <si>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</si>
  <si>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</si>
  <si>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</si>
  <si>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</si>
  <si>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</si>
  <si>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</si>
  <si>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</si>
  <si>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</si>
  <si>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</si>
  <si>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</si>
  <si>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</si>
  <si>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</si>
  <si>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</si>
  <si>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</si>
  <si>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</si>
  <si>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</si>
  <si>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</si>
  <si>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</si>
  <si>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</si>
  <si>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</si>
  <si>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</si>
  <si>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</si>
  <si>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</si>
  <si>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</si>
  <si>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</si>
  <si>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</si>
  <si>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</si>
  <si>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</si>
  <si>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</si>
  <si>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</si>
  <si>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</si>
  <si>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</si>
  <si>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</si>
  <si>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</si>
  <si>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</si>
  <si>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</si>
  <si>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</si>
  <si>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</si>
  <si>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</si>
  <si>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</si>
  <si>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</si>
  <si>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</si>
  <si>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</si>
  <si>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</si>
  <si>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</si>
  <si>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</si>
  <si>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</si>
  <si>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</si>
  <si>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</si>
  <si>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</si>
  <si>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</si>
  <si>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</si>
  <si>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</si>
  <si>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</si>
  <si>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</si>
  <si>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</si>
  <si>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</si>
  <si>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</si>
  <si>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</si>
  <si>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</si>
  <si>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</si>
  <si>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</si>
  <si>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</si>
  <si>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</si>
  <si>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</si>
  <si>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</si>
  <si>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</si>
  <si>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</si>
  <si>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</si>
  <si>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</si>
  <si>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</si>
  <si>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</si>
  <si>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</si>
  <si>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</si>
  <si>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</si>
  <si>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</si>
  <si>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</si>
  <si>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</si>
  <si>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Cable Source —&gt; Target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</si>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</sst>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b/>
      <sz val="12.0"/>
      <color theme="1"/>
      <name val="Calibri"/>
    </font>
    <font>
      <b/>
      <sz val="12.0"/>
      <color rgb="FF000000"/>
      <name val="Calibri"/>
    </font>
    <font>
      <color theme="1"/>
      <name val="Calibri"/>
      <scheme val="minor"/>
    </font>
    <font>
      <sz val="12.0"/>
      <color rgb="FF000000"/>
      <name val="Calibri"/>
    </font>
    <font>
      <sz val="12.0"/>
      <color theme="1"/>
      <name val="Calibri"/>
    </font>
    <font>
      <b/>
      <sz val="14.0"/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3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2" xfId="0" applyBorder="1" applyFont="1" applyNumberFormat="1"/>
    <xf borderId="1" fillId="0" fontId="1" numFmtId="49" xfId="0" applyBorder="1" applyFont="1" applyNumberFormat="1"/>
    <xf borderId="1" fillId="2" fontId="2" numFmtId="49" xfId="0" applyBorder="1" applyFill="1" applyFont="1" applyNumberFormat="1"/>
    <xf borderId="1" fillId="2" fontId="2" numFmtId="2" xfId="0" applyBorder="1" applyFont="1" applyNumberFormat="1"/>
    <xf borderId="1" fillId="3" fontId="2" numFmtId="0" xfId="0" applyBorder="1" applyFill="1" applyFont="1"/>
    <xf borderId="1" fillId="2" fontId="2" numFmtId="0" xfId="0" applyBorder="1" applyFont="1"/>
    <xf borderId="1" fillId="4" fontId="2" numFmtId="2" xfId="0" applyBorder="1" applyFill="1" applyFont="1" applyNumberFormat="1"/>
    <xf borderId="1" fillId="5" fontId="2" numFmtId="0" xfId="0" applyBorder="1" applyFill="1" applyFont="1"/>
    <xf borderId="1" fillId="6" fontId="2" numFmtId="49" xfId="0" applyBorder="1" applyFill="1" applyFont="1" applyNumberFormat="1"/>
    <xf borderId="1" fillId="7" fontId="2" numFmtId="49" xfId="0" applyBorder="1" applyFill="1" applyFont="1" applyNumberFormat="1"/>
    <xf borderId="2" fillId="7" fontId="2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1" fillId="8" fontId="2" numFmtId="49" xfId="0" applyBorder="1" applyFill="1" applyFont="1" applyNumberFormat="1"/>
    <xf borderId="5" fillId="8" fontId="1" numFmtId="49" xfId="0" applyAlignment="1" applyBorder="1" applyFont="1" applyNumberForma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0" fillId="0" fontId="1" numFmtId="0" xfId="0" applyFont="1"/>
    <xf borderId="0" fillId="0" fontId="1" numFmtId="2" xfId="0" applyFont="1" applyNumberFormat="1"/>
    <xf borderId="0" fillId="0" fontId="2" numFmtId="49" xfId="0" applyFont="1" applyNumberFormat="1"/>
    <xf borderId="1" fillId="9" fontId="2" numFmtId="2" xfId="0" applyBorder="1" applyFill="1" applyFont="1" applyNumberFormat="1"/>
    <xf borderId="5" fillId="8" fontId="1" numFmtId="0" xfId="0" applyAlignment="1" applyBorder="1" applyFont="1">
      <alignment horizontal="center" vertical="center"/>
    </xf>
    <xf borderId="2" fillId="7" fontId="2" numFmtId="0" xfId="0" applyAlignment="1" applyBorder="1" applyFont="1">
      <alignment horizontal="center" vertical="center"/>
    </xf>
    <xf borderId="0" fillId="0" fontId="2" numFmtId="2" xfId="0" applyFont="1" applyNumberFormat="1"/>
    <xf borderId="0" fillId="0" fontId="4" numFmtId="0" xfId="0" applyFont="1"/>
    <xf borderId="0" fillId="0" fontId="4" numFmtId="2" xfId="0" applyFont="1" applyNumberFormat="1"/>
    <xf borderId="11" fillId="0" fontId="5" numFmtId="0" xfId="0" applyAlignment="1" applyBorder="1" applyFont="1">
      <alignment readingOrder="0" vertical="bottom"/>
    </xf>
    <xf borderId="11" fillId="0" fontId="6" numFmtId="0" xfId="0" applyAlignment="1" applyBorder="1" applyFont="1">
      <alignment vertical="bottom"/>
    </xf>
    <xf borderId="11" fillId="0" fontId="6" numFmtId="2" xfId="0" applyAlignment="1" applyBorder="1" applyFont="1" applyNumberFormat="1">
      <alignment vertical="bottom"/>
    </xf>
    <xf borderId="11" fillId="0" fontId="6" numFmtId="49" xfId="0" applyAlignment="1" applyBorder="1" applyFont="1" applyNumberFormat="1">
      <alignment vertical="bottom"/>
    </xf>
    <xf borderId="11" fillId="0" fontId="7" numFmtId="0" xfId="0" applyAlignment="1" applyBorder="1" applyFont="1">
      <alignment readingOrder="0" vertical="bottom"/>
    </xf>
    <xf borderId="0" fillId="0" fontId="2" numFmtId="0" xfId="0" applyAlignment="1" applyFont="1">
      <alignment horizontal="center"/>
    </xf>
    <xf borderId="12" fillId="5" fontId="4" numFmtId="0" xfId="0" applyAlignment="1" applyBorder="1" applyFont="1">
      <alignment horizontal="center" vertical="center"/>
    </xf>
    <xf borderId="13" fillId="0" fontId="3" numFmtId="0" xfId="0" applyBorder="1" applyFont="1"/>
    <xf borderId="14" fillId="0" fontId="3" numFmtId="0" xfId="0" applyBorder="1" applyFont="1"/>
    <xf borderId="12" fillId="3" fontId="4" numFmtId="0" xfId="0" applyAlignment="1" applyBorder="1" applyFont="1">
      <alignment horizontal="center" vertical="center"/>
    </xf>
    <xf borderId="12" fillId="2" fontId="4" numFmtId="0" xfId="0" applyAlignment="1" applyBorder="1" applyFont="1">
      <alignment horizontal="center" vertical="center"/>
    </xf>
    <xf borderId="12" fillId="4" fontId="4" numFmtId="0" xfId="0" applyAlignment="1" applyBorder="1" applyFont="1">
      <alignment horizontal="center" vertical="center"/>
    </xf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18" fillId="0" fontId="2" numFmtId="0" xfId="0" applyAlignment="1" applyBorder="1" applyFont="1">
      <alignment horizontal="center" textRotation="255" vertical="center"/>
    </xf>
    <xf borderId="4" fillId="0" fontId="2" numFmtId="0" xfId="0" applyBorder="1" applyFont="1"/>
    <xf borderId="1" fillId="0" fontId="2" numFmtId="0" xfId="0" applyBorder="1" applyFont="1"/>
    <xf borderId="19" fillId="0" fontId="2" numFmtId="0" xfId="0" applyBorder="1" applyFont="1"/>
    <xf borderId="20" fillId="0" fontId="3" numFmtId="0" xfId="0" applyBorder="1" applyFont="1"/>
    <xf borderId="21" fillId="0" fontId="2" numFmtId="0" xfId="0" applyBorder="1" applyFont="1"/>
    <xf borderId="3" fillId="0" fontId="2" numFmtId="0" xfId="0" applyBorder="1" applyFont="1"/>
    <xf borderId="22" fillId="10" fontId="8" numFmtId="0" xfId="0" applyBorder="1" applyFill="1" applyFont="1"/>
    <xf borderId="23" fillId="10" fontId="8" numFmtId="0" xfId="0" applyBorder="1" applyFont="1"/>
    <xf borderId="24" fillId="10" fontId="2" numFmtId="0" xfId="0" applyBorder="1" applyFont="1"/>
    <xf borderId="1" fillId="10" fontId="2" numFmtId="0" xfId="0" applyBorder="1" applyFont="1"/>
    <xf borderId="22" fillId="0" fontId="2" numFmtId="0" xfId="0" applyBorder="1" applyFont="1"/>
    <xf borderId="25" fillId="0" fontId="2" numFmtId="0" xfId="0" applyBorder="1" applyFont="1"/>
    <xf borderId="23" fillId="0" fontId="2" numFmtId="0" xfId="0" applyBorder="1" applyFont="1"/>
    <xf borderId="1" fillId="11" fontId="2" numFmtId="0" xfId="0" applyBorder="1" applyFill="1" applyFont="1"/>
    <xf borderId="7" fillId="0" fontId="2" numFmtId="0" xfId="0" applyBorder="1" applyFont="1"/>
    <xf borderId="26" fillId="0" fontId="2" numFmtId="0" xfId="0" applyBorder="1" applyFont="1"/>
    <xf borderId="27" fillId="12" fontId="1" numFmtId="0" xfId="0" applyBorder="1" applyFill="1" applyFont="1"/>
    <xf borderId="28" fillId="12" fontId="1" numFmtId="0" xfId="0" applyBorder="1" applyFont="1"/>
    <xf borderId="29" fillId="12" fontId="1" numFmtId="0" xfId="0" applyBorder="1" applyFont="1"/>
    <xf borderId="30" fillId="11" fontId="1" numFmtId="0" xfId="0" applyBorder="1" applyFont="1"/>
    <xf borderId="0" fillId="0" fontId="6" numFmtId="0" xfId="0" applyFont="1"/>
    <xf borderId="31" fillId="0" fontId="2" numFmtId="0" xfId="0" applyBorder="1" applyFont="1"/>
    <xf borderId="32" fillId="0" fontId="2" numFmtId="0" xfId="0" applyBorder="1" applyFont="1"/>
    <xf borderId="33" fillId="0" fontId="2" numFmtId="0" xfId="0" applyBorder="1" applyFont="1"/>
    <xf borderId="34" fillId="0" fontId="2" numFmtId="0" xfId="0" applyBorder="1" applyFont="1"/>
    <xf borderId="30" fillId="13" fontId="1" numFmtId="0" xfId="0" applyBorder="1" applyFill="1" applyFont="1"/>
    <xf borderId="30" fillId="14" fontId="2" numFmtId="0" xfId="0" applyAlignment="1" applyBorder="1" applyFill="1" applyFont="1">
      <alignment shrinkToFit="0" vertical="top" wrapText="1"/>
    </xf>
    <xf borderId="30" fillId="14" fontId="2" numFmtId="0" xfId="0" applyBorder="1" applyFont="1"/>
    <xf borderId="30" fillId="14" fontId="2" numFmtId="0" xfId="0" applyAlignment="1" applyBorder="1" applyFont="1">
      <alignment shrinkToFit="0" wrapText="1"/>
    </xf>
    <xf borderId="30" fillId="3" fontId="2" numFmtId="0" xfId="0" applyBorder="1" applyFont="1"/>
    <xf borderId="0" fillId="0" fontId="1" numFmtId="0" xfId="0" applyAlignment="1" applyFont="1">
      <alignment shrinkToFit="0" wrapText="1"/>
    </xf>
    <xf borderId="30" fillId="13" fontId="2" numFmtId="0" xfId="0" applyBorder="1" applyFont="1"/>
    <xf borderId="30" fillId="15" fontId="9" numFmtId="0" xfId="0" applyBorder="1" applyFill="1" applyFont="1"/>
  </cellXfs>
  <cellStyles count="1">
    <cellStyle xfId="0" name="Normal" builtinId="0"/>
  </cellStyles>
  <dxfs count="2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43"/>
    <col customWidth="1" min="2" max="2" width="15.0"/>
    <col customWidth="1" min="3" max="3" width="8.71"/>
    <col customWidth="1" min="4" max="5" width="8.29"/>
    <col customWidth="1" min="6" max="6" width="14.0"/>
    <col customWidth="1" min="7" max="7" width="10.29"/>
    <col customWidth="1" min="8" max="8" width="12.71"/>
    <col customWidth="1" min="9" max="9" width="13.71"/>
    <col customWidth="1" min="10" max="10" width="12.71"/>
    <col customWidth="1" min="11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ht="14.25" customHeight="1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1">C2*D2</f>
        <v>55.25</v>
      </c>
      <c r="F2" s="6">
        <f t="shared" ref="F2:F3" si="2">ROUNDUP(E2/10,0)</f>
        <v>6</v>
      </c>
      <c r="G2" s="7">
        <v>9.4</v>
      </c>
      <c r="H2" s="8">
        <f t="array" ref="H2">_xlfn.CEILING.MATH(SWITCH(J2, "A", 13.21, "B", 4.86, "C", 10.56, "D", 10.87, "E", 16.75, "F", 22, "G", 13.2, "H", 19.3, "I", 17.5, "J", 12.8, "K", 17.3, "L", 17, -1))</f>
        <v>14</v>
      </c>
      <c r="I2" s="9">
        <f t="shared" ref="I2:I3" si="3">2*F2*(G2+H2+6)</f>
        <v>352.8</v>
      </c>
      <c r="J2" s="10" t="s">
        <v>12</v>
      </c>
    </row>
    <row r="3" ht="14.25" customHeight="1">
      <c r="A3" s="4" t="s">
        <v>13</v>
      </c>
      <c r="B3" s="4" t="s">
        <v>11</v>
      </c>
      <c r="C3" s="5">
        <v>8.5</v>
      </c>
      <c r="D3" s="5">
        <v>6.5</v>
      </c>
      <c r="E3" s="6">
        <f t="shared" si="1"/>
        <v>55.25</v>
      </c>
      <c r="F3" s="6">
        <f t="shared" si="2"/>
        <v>6</v>
      </c>
      <c r="G3" s="7">
        <v>16.11</v>
      </c>
      <c r="H3" s="8">
        <f t="array" ref="H3">_xlfn.CEILING.MATH(SWITCH(J3, "A", 13.21, "B", 4.86, "C", 10.56, "D", 10.87, "E", 16.75, "F", 22, "G", 13.2, "H", 19.3, "I", 17.5, "J", 12.8, "K", 17.3, "L", 17, -1))</f>
        <v>5</v>
      </c>
      <c r="I3" s="9">
        <f t="shared" si="3"/>
        <v>325.32</v>
      </c>
      <c r="J3" s="10" t="s">
        <v>14</v>
      </c>
    </row>
    <row r="4" ht="14.25" customHeight="1">
      <c r="A4" s="11" t="s">
        <v>15</v>
      </c>
      <c r="B4" s="12" t="s">
        <v>11</v>
      </c>
      <c r="C4" s="13"/>
      <c r="D4" s="13"/>
      <c r="E4" s="13"/>
      <c r="F4" s="13"/>
      <c r="G4" s="13"/>
      <c r="H4" s="13"/>
      <c r="I4" s="13"/>
      <c r="J4" s="14"/>
    </row>
    <row r="5" ht="14.25" customHeight="1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4">C5*D5</f>
        <v>46.75</v>
      </c>
      <c r="F5" s="6">
        <f t="shared" ref="F5:F9" si="5">ROUNDUP(E5/10,0)</f>
        <v>5</v>
      </c>
      <c r="G5" s="7">
        <v>21.82</v>
      </c>
      <c r="H5" s="8">
        <f t="array" ref="H5">_xlfn.CEILING.MATH(SWITCH(J5, "A", 13.21, "B", 4.86, "C", 10.56, "D", 10.87, "E", 16.75, "F", 22, "G", 13.2, "H", 19.3, "I", 17.5, "J", 12.8, "K", 17.3, "L", 17, -1))</f>
        <v>11</v>
      </c>
      <c r="I5" s="9">
        <f t="shared" ref="I5:I9" si="6">2*F5*(G5+H5+6)</f>
        <v>388.2</v>
      </c>
      <c r="J5" s="10" t="s">
        <v>17</v>
      </c>
    </row>
    <row r="6" ht="14.25" customHeight="1">
      <c r="A6" s="4" t="s">
        <v>18</v>
      </c>
      <c r="B6" s="4" t="s">
        <v>11</v>
      </c>
      <c r="C6" s="5">
        <v>5.5</v>
      </c>
      <c r="D6" s="5">
        <v>8.5</v>
      </c>
      <c r="E6" s="6">
        <f t="shared" si="4"/>
        <v>46.75</v>
      </c>
      <c r="F6" s="6">
        <f t="shared" si="5"/>
        <v>5</v>
      </c>
      <c r="G6" s="7">
        <v>27.82</v>
      </c>
      <c r="H6" s="8">
        <f t="array" ref="H6">_xlfn.CEILING.MATH(SWITCH(J6, "A", 13.21, "B", 4.86, "C", 10.56, "D", 10.87, "E", 16.75, "F", 22, "G", 13.2, "H", 19.3, "I", 17.5, "J", 12.8, "K", 17.3, "L", 17, -1))</f>
        <v>11</v>
      </c>
      <c r="I6" s="9">
        <f t="shared" si="6"/>
        <v>448.2</v>
      </c>
      <c r="J6" s="10" t="s">
        <v>17</v>
      </c>
    </row>
    <row r="7" ht="14.25" customHeight="1">
      <c r="A7" s="4" t="s">
        <v>19</v>
      </c>
      <c r="B7" s="4" t="s">
        <v>11</v>
      </c>
      <c r="C7" s="5">
        <v>5.5</v>
      </c>
      <c r="D7" s="5">
        <v>8.5</v>
      </c>
      <c r="E7" s="6">
        <f t="shared" si="4"/>
        <v>46.75</v>
      </c>
      <c r="F7" s="6">
        <f t="shared" si="5"/>
        <v>5</v>
      </c>
      <c r="G7" s="7">
        <v>33.53</v>
      </c>
      <c r="H7" s="8">
        <f t="array" ref="H7">_xlfn.CEILING.MATH(SWITCH(J7, "A", 13.21, "B", 4.86, "C", 10.56, "D", 10.87, "E", 16.75, "F", 22, "G", 13.2, "H", 19.3, "I", 17.5, "J", 12.8, "K", 17.3, "L", 17, -1))</f>
        <v>11</v>
      </c>
      <c r="I7" s="9">
        <f t="shared" si="6"/>
        <v>505.3</v>
      </c>
      <c r="J7" s="10" t="s">
        <v>17</v>
      </c>
    </row>
    <row r="8" ht="14.25" customHeight="1">
      <c r="A8" s="4" t="s">
        <v>20</v>
      </c>
      <c r="B8" s="4" t="s">
        <v>11</v>
      </c>
      <c r="C8" s="5">
        <v>5.5</v>
      </c>
      <c r="D8" s="5">
        <v>8.5</v>
      </c>
      <c r="E8" s="6">
        <f t="shared" si="4"/>
        <v>46.75</v>
      </c>
      <c r="F8" s="6">
        <f t="shared" si="5"/>
        <v>5</v>
      </c>
      <c r="G8" s="7">
        <v>39.53</v>
      </c>
      <c r="H8" s="8">
        <f t="array" ref="H8">_xlfn.CEILING.MATH(SWITCH(J8, "A", 13.21, "B", 4.86, "C", 10.56, "D", 10.87, "E", 16.75, "F", 22, "G", 13.2, "H", 19.3, "I", 17.5, "J", 12.8, "K", 17.3, "L", 17, -1))</f>
        <v>11</v>
      </c>
      <c r="I8" s="9">
        <f t="shared" si="6"/>
        <v>565.3</v>
      </c>
      <c r="J8" s="10" t="s">
        <v>17</v>
      </c>
    </row>
    <row r="9" ht="14.25" customHeight="1">
      <c r="A9" s="4" t="s">
        <v>21</v>
      </c>
      <c r="B9" s="4" t="s">
        <v>11</v>
      </c>
      <c r="C9" s="5">
        <v>5.5</v>
      </c>
      <c r="D9" s="5">
        <v>8.5</v>
      </c>
      <c r="E9" s="6">
        <f t="shared" si="4"/>
        <v>46.75</v>
      </c>
      <c r="F9" s="6">
        <f t="shared" si="5"/>
        <v>5</v>
      </c>
      <c r="G9" s="7">
        <v>45.24</v>
      </c>
      <c r="H9" s="8">
        <f t="array" ref="H9">_xlfn.CEILING.MATH(SWITCH(J9, "A", 13.21, "B", 4.86, "C", 10.56, "D", 10.87, "E", 16.75, "F", 22, "G", 13.2, "H", 19.3, "I", 17.5, "J", 12.8, "K", 17.3, "L", 17, -1))</f>
        <v>11</v>
      </c>
      <c r="I9" s="9">
        <f t="shared" si="6"/>
        <v>622.4</v>
      </c>
      <c r="J9" s="10" t="s">
        <v>17</v>
      </c>
    </row>
    <row r="10" ht="14.25" customHeight="1">
      <c r="A10" s="15" t="s">
        <v>22</v>
      </c>
      <c r="B10" s="16" t="s">
        <v>23</v>
      </c>
      <c r="C10" s="17"/>
      <c r="D10" s="17"/>
      <c r="E10" s="17"/>
      <c r="F10" s="17"/>
      <c r="G10" s="17"/>
      <c r="H10" s="17"/>
      <c r="I10" s="17"/>
      <c r="J10" s="18"/>
    </row>
    <row r="11" ht="14.25" customHeight="1">
      <c r="A11" s="15" t="s">
        <v>24</v>
      </c>
      <c r="B11" s="19"/>
      <c r="C11" s="20"/>
      <c r="D11" s="20"/>
      <c r="E11" s="20"/>
      <c r="F11" s="20"/>
      <c r="G11" s="20"/>
      <c r="H11" s="20"/>
      <c r="I11" s="20"/>
      <c r="J11" s="21"/>
    </row>
    <row r="12" ht="14.25" customHeight="1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7">C12*D12</f>
        <v>97.75</v>
      </c>
      <c r="F12" s="6">
        <f t="shared" ref="F12:F19" si="8">ROUNDUP(E12/10,0)</f>
        <v>10</v>
      </c>
      <c r="G12" s="7">
        <v>0.5</v>
      </c>
      <c r="H12" s="8">
        <f t="array" ref="H12">_xlfn.CEILING.MATH(SWITCH(J12, "A", 13.21, "B", 4.86, "C", 10.56, "D", 10.87, "E", 16.75, "F", 22, "G", 13.2, "H", 19.3, "I", 17.5, "J", 12.8, "K", 17.3, "L", 17, -1))</f>
        <v>11</v>
      </c>
      <c r="I12" s="9">
        <f t="shared" ref="I12:I19" si="9">2*F12*(G12+H12+6)</f>
        <v>350</v>
      </c>
      <c r="J12" s="10" t="s">
        <v>26</v>
      </c>
    </row>
    <row r="13" ht="14.25" customHeight="1">
      <c r="A13" s="4" t="s">
        <v>27</v>
      </c>
      <c r="B13" s="4" t="s">
        <v>11</v>
      </c>
      <c r="C13" s="5">
        <v>20.0</v>
      </c>
      <c r="D13" s="5">
        <v>16.5</v>
      </c>
      <c r="E13" s="6">
        <f t="shared" si="7"/>
        <v>330</v>
      </c>
      <c r="F13" s="6">
        <f t="shared" si="8"/>
        <v>33</v>
      </c>
      <c r="G13" s="7">
        <v>5.0</v>
      </c>
      <c r="H13" s="8">
        <f t="array" ref="H13">_xlfn.CEILING.MATH(SWITCH(J13, "A", 13.21, "B", 4.86, "C", 10.56, "D", 10.87, "E", 16.75, "F", 22, "G", 13.2, "H", 19.3, "I", 17.5, "J", 12.8, "K", 17.3, "L", 17, -1))</f>
        <v>22</v>
      </c>
      <c r="I13" s="9">
        <f t="shared" si="9"/>
        <v>2178</v>
      </c>
      <c r="J13" s="10" t="s">
        <v>28</v>
      </c>
    </row>
    <row r="14" ht="14.25" customHeight="1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7"/>
        <v>74.75</v>
      </c>
      <c r="F14" s="6">
        <f t="shared" si="8"/>
        <v>8</v>
      </c>
      <c r="G14" s="7">
        <v>84.64</v>
      </c>
      <c r="H14" s="8">
        <f t="array" ref="H14">_xlfn.CEILING.MATH(SWITCH(J14, "A", 13.21, "B", 4.86, "C", 10.56, "D", 10.87, "E", 16.75, "F", 22, "G", 13.2, "H", 19.3, "I", 17.5, "J", 12.8, "K", 17.3, "L", 17, -1))</f>
        <v>17</v>
      </c>
      <c r="I14" s="9">
        <f t="shared" si="9"/>
        <v>1722.24</v>
      </c>
      <c r="J14" s="10" t="s">
        <v>30</v>
      </c>
    </row>
    <row r="15" ht="14.25" customHeight="1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7"/>
        <v>74.75</v>
      </c>
      <c r="F15" s="6">
        <f t="shared" si="8"/>
        <v>8</v>
      </c>
      <c r="G15" s="7">
        <v>91.78</v>
      </c>
      <c r="H15" s="8">
        <f t="array" ref="H15">_xlfn.CEILING.MATH(SWITCH(J15, "A", 13.21, "B", 4.86, "C", 10.56, "D", 10.87, "E", 16.75, "F", 22, "G", 13.2, "H", 19.3, "I", 17.5, "J", 12.8, "K", 17.3, "L", 17, -1))</f>
        <v>17</v>
      </c>
      <c r="I15" s="9">
        <f t="shared" si="9"/>
        <v>1836.48</v>
      </c>
      <c r="J15" s="10" t="s">
        <v>30</v>
      </c>
    </row>
    <row r="16" ht="14.25" customHeight="1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7"/>
        <v>74.75</v>
      </c>
      <c r="F16" s="6">
        <f t="shared" si="8"/>
        <v>8</v>
      </c>
      <c r="G16" s="7">
        <v>98.78</v>
      </c>
      <c r="H16" s="8">
        <f t="array" ref="H16">_xlfn.CEILING.MATH(SWITCH(J16, "A", 13.21, "B", 4.86, "C", 10.56, "D", 10.87, "E", 16.75, "F", 22, "G", 13.2, "H", 19.3, "I", 17.5, "J", 12.8, "K", 17.3, "L", 17, -1))</f>
        <v>17</v>
      </c>
      <c r="I16" s="9">
        <f t="shared" si="9"/>
        <v>1948.48</v>
      </c>
      <c r="J16" s="10" t="s">
        <v>30</v>
      </c>
    </row>
    <row r="17" ht="14.25" customHeight="1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7"/>
        <v>74.75</v>
      </c>
      <c r="F17" s="6">
        <f t="shared" si="8"/>
        <v>8</v>
      </c>
      <c r="G17" s="7">
        <v>105.92</v>
      </c>
      <c r="H17" s="8">
        <f t="array" ref="H17">_xlfn.CEILING.MATH(SWITCH(J17, "A", 13.21, "B", 4.86, "C", 10.56, "D", 10.87, "E", 16.75, "F", 22, "G", 13.2, "H", 19.3, "I", 17.5, "J", 12.8, "K", 17.3, "L", 17, -1))</f>
        <v>17</v>
      </c>
      <c r="I17" s="9">
        <f t="shared" si="9"/>
        <v>2062.72</v>
      </c>
      <c r="J17" s="10" t="s">
        <v>30</v>
      </c>
    </row>
    <row r="18" ht="14.25" customHeight="1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7"/>
        <v>74.75</v>
      </c>
      <c r="F18" s="6">
        <f t="shared" si="8"/>
        <v>8</v>
      </c>
      <c r="G18" s="7">
        <v>112.92</v>
      </c>
      <c r="H18" s="8">
        <f t="array" ref="H18">_xlfn.CEILING.MATH(SWITCH(J18, "A", 13.21, "B", 4.86, "C", 10.56, "D", 10.87, "E", 16.75, "F", 22, "G", 13.2, "H", 19.3, "I", 17.5, "J", 12.8, "K", 17.3, "L", 17, -1))</f>
        <v>17</v>
      </c>
      <c r="I18" s="9">
        <f t="shared" si="9"/>
        <v>2174.72</v>
      </c>
      <c r="J18" s="10" t="s">
        <v>30</v>
      </c>
    </row>
    <row r="19" ht="14.25" customHeight="1">
      <c r="A19" s="4" t="s">
        <v>35</v>
      </c>
      <c r="B19" s="4" t="s">
        <v>11</v>
      </c>
      <c r="C19" s="5">
        <v>10.0</v>
      </c>
      <c r="D19" s="5">
        <v>20.0</v>
      </c>
      <c r="E19" s="6">
        <f t="shared" si="7"/>
        <v>200</v>
      </c>
      <c r="F19" s="6">
        <f t="shared" si="8"/>
        <v>20</v>
      </c>
      <c r="G19" s="7">
        <v>17.5</v>
      </c>
      <c r="H19" s="8">
        <f t="array" ref="H19">_xlfn.CEILING.MATH(SWITCH(J19, "A", 13.21, "B", 4.86, "C", 10.56, "D", 10.87, "E", 16.75, "F", 22, "G", 13.2, "H", 19.3, "I", 17.5, "J", 12.8, "K", 17.3, "L", 17, -1))</f>
        <v>14</v>
      </c>
      <c r="I19" s="9">
        <f t="shared" si="9"/>
        <v>1500</v>
      </c>
      <c r="J19" s="10" t="s">
        <v>36</v>
      </c>
    </row>
    <row r="20" ht="14.25" customHeight="1">
      <c r="A20" s="22" t="s">
        <v>37</v>
      </c>
      <c r="B20" s="22"/>
      <c r="C20" s="22"/>
      <c r="D20" s="22"/>
      <c r="E20" s="22"/>
      <c r="F20" s="22">
        <f>SUM(F2:F19)</f>
        <v>140</v>
      </c>
      <c r="G20" s="22"/>
      <c r="H20" s="23"/>
      <c r="I20" s="22">
        <f>SUM(I2:I19)</f>
        <v>16980.16</v>
      </c>
      <c r="J20" s="24"/>
    </row>
    <row r="21" ht="14.25" customHeight="1">
      <c r="A21" s="22"/>
      <c r="B21" s="22"/>
      <c r="C21" s="22"/>
      <c r="D21" s="22"/>
      <c r="E21" s="22"/>
      <c r="F21" s="22"/>
      <c r="G21" s="22"/>
      <c r="H21" s="23"/>
      <c r="I21" s="22"/>
      <c r="J21" s="24"/>
    </row>
    <row r="22" ht="14.25" customHeight="1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10">C22*D22</f>
        <v>74.75</v>
      </c>
      <c r="F22" s="6">
        <f t="shared" ref="F22:F23" si="11">ROUNDUP(E22/10,0)</f>
        <v>8</v>
      </c>
      <c r="G22" s="7">
        <v>32.0</v>
      </c>
      <c r="H22" s="25">
        <f t="array" ref="H22">_xlfn.CEILING.MATH(SWITCH(J22, "A", 13.21, "B", 4.86, "C", 10.56, "D", 10.87, "E", 16.75, "F", 22, "G", 13.2, "H", 19.3, "I", 17.5, "J", 12.8, "K", 17.3, "L", 17, -1))</f>
        <v>17</v>
      </c>
      <c r="I22" s="9">
        <f t="shared" ref="I22:I23" si="12">2*F22*(G22+H22+6)</f>
        <v>880</v>
      </c>
      <c r="J22" s="10" t="s">
        <v>30</v>
      </c>
    </row>
    <row r="23" ht="14.25" customHeight="1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10"/>
        <v>74.75</v>
      </c>
      <c r="F23" s="6">
        <f t="shared" si="11"/>
        <v>8</v>
      </c>
      <c r="G23" s="7">
        <v>27.0</v>
      </c>
      <c r="H23" s="25">
        <f t="array" ref="H23">_xlfn.CEILING.MATH(SWITCH(J23, "A", 13.21, "B", 4.86, "C", 10.56, "D", 10.87, "E", 16.75, "F", 22, "G", 13.2, "H", 19.3, "I", 17.5, "J", 12.8, "K", 17.3, "L", 17, -1))</f>
        <v>17</v>
      </c>
      <c r="I23" s="9">
        <f t="shared" si="12"/>
        <v>800</v>
      </c>
      <c r="J23" s="10" t="s">
        <v>30</v>
      </c>
    </row>
    <row r="24" ht="14.25" customHeight="1">
      <c r="A24" s="15" t="s">
        <v>41</v>
      </c>
      <c r="B24" s="16" t="s">
        <v>23</v>
      </c>
      <c r="C24" s="17"/>
      <c r="D24" s="17"/>
      <c r="E24" s="17"/>
      <c r="F24" s="17"/>
      <c r="G24" s="17"/>
      <c r="H24" s="17"/>
      <c r="I24" s="17"/>
      <c r="J24" s="18"/>
    </row>
    <row r="25" ht="14.25" customHeight="1">
      <c r="A25" s="15" t="s">
        <v>42</v>
      </c>
      <c r="B25" s="19"/>
      <c r="C25" s="20"/>
      <c r="D25" s="20"/>
      <c r="E25" s="20"/>
      <c r="F25" s="20"/>
      <c r="G25" s="20"/>
      <c r="H25" s="20"/>
      <c r="I25" s="20"/>
      <c r="J25" s="21"/>
    </row>
    <row r="26" ht="14.25" customHeight="1">
      <c r="A26" s="4" t="s">
        <v>43</v>
      </c>
      <c r="B26" s="4" t="s">
        <v>39</v>
      </c>
      <c r="C26" s="5">
        <v>10.0</v>
      </c>
      <c r="D26" s="5">
        <v>20.0</v>
      </c>
      <c r="E26" s="6">
        <f t="shared" ref="E26:E30" si="13">C26*D26</f>
        <v>200</v>
      </c>
      <c r="F26" s="6">
        <f t="shared" ref="F26:F30" si="14">ROUNDUP(E26/10,0)</f>
        <v>20</v>
      </c>
      <c r="G26" s="7">
        <v>0.5</v>
      </c>
      <c r="H26" s="25">
        <f t="array" ref="H26">_xlfn.CEILING.MATH(SWITCH(J26, "A", 13.21, "B", 4.86, "C", 10.56, "D", 10.87, "E", 16.75, "F", 22, "G", 13.2, "H", 19.3, "I", 17.5, "J", 12.8, "K", 17.3, "L", 17, -1))</f>
        <v>14</v>
      </c>
      <c r="I26" s="9">
        <f t="shared" ref="I26:I30" si="15">2*F26*(G26+H26+6)</f>
        <v>820</v>
      </c>
      <c r="J26" s="10" t="s">
        <v>36</v>
      </c>
    </row>
    <row r="27" ht="14.25" customHeight="1">
      <c r="A27" s="4" t="s">
        <v>44</v>
      </c>
      <c r="B27" s="4" t="s">
        <v>39</v>
      </c>
      <c r="C27" s="7">
        <v>9.0</v>
      </c>
      <c r="D27" s="7">
        <v>10.0</v>
      </c>
      <c r="E27" s="6">
        <f t="shared" si="13"/>
        <v>90</v>
      </c>
      <c r="F27" s="6">
        <f t="shared" si="14"/>
        <v>9</v>
      </c>
      <c r="G27" s="7">
        <v>45.0</v>
      </c>
      <c r="H27" s="25">
        <f t="array" ref="H27">_xlfn.CEILING.MATH(SWITCH(J27, "A", 13.21, "B", 4.86, "C", 10.56, "D", 10.87, "E", 16.75, "F", 22, "G", 13.2, "H", 19.3, "I", 17.5, "J", 12.8, "K", 17.3, "L", 17, -1))</f>
        <v>20</v>
      </c>
      <c r="I27" s="9">
        <f t="shared" si="15"/>
        <v>1278</v>
      </c>
      <c r="J27" s="10" t="s">
        <v>45</v>
      </c>
    </row>
    <row r="28" ht="14.25" customHeight="1">
      <c r="A28" s="4" t="s">
        <v>46</v>
      </c>
      <c r="B28" s="4" t="s">
        <v>39</v>
      </c>
      <c r="C28" s="7">
        <v>9.0</v>
      </c>
      <c r="D28" s="7">
        <v>10.0</v>
      </c>
      <c r="E28" s="6">
        <f t="shared" si="13"/>
        <v>90</v>
      </c>
      <c r="F28" s="6">
        <f t="shared" si="14"/>
        <v>9</v>
      </c>
      <c r="G28" s="7">
        <v>40.0</v>
      </c>
      <c r="H28" s="25">
        <f t="array" ref="H28">_xlfn.CEILING.MATH(SWITCH(J28, "A", 13.21, "B", 4.86, "C", 10.56, "D", 10.87, "E", 16.75, "F", 22, "G", 13.2, "H", 19.3, "I", 17.5, "J", 12.8, "K", 17.3, "L", 17, -1))</f>
        <v>20</v>
      </c>
      <c r="I28" s="9">
        <f t="shared" si="15"/>
        <v>1188</v>
      </c>
      <c r="J28" s="10" t="s">
        <v>45</v>
      </c>
    </row>
    <row r="29" ht="14.25" customHeight="1">
      <c r="A29" s="4" t="s">
        <v>47</v>
      </c>
      <c r="B29" s="4" t="s">
        <v>39</v>
      </c>
      <c r="C29" s="7">
        <v>6.5</v>
      </c>
      <c r="D29" s="7">
        <v>9.0</v>
      </c>
      <c r="E29" s="6">
        <f t="shared" si="13"/>
        <v>58.5</v>
      </c>
      <c r="F29" s="6">
        <f t="shared" si="14"/>
        <v>6</v>
      </c>
      <c r="G29" s="7">
        <v>12.54</v>
      </c>
      <c r="H29" s="25">
        <f t="array" ref="H29">_xlfn.CEILING.MATH(SWITCH(J29, "A", 13.21, "B", 4.86, "C", 10.56, "D", 10.87, "E", 16.75, "F", 22, "G", 13.2, "H", 19.3, "I", 17.5, "J", 12.8, "K", 17.3, "L", 17, -1))</f>
        <v>18</v>
      </c>
      <c r="I29" s="9">
        <f t="shared" si="15"/>
        <v>438.48</v>
      </c>
      <c r="J29" s="10" t="s">
        <v>48</v>
      </c>
    </row>
    <row r="30" ht="14.25" customHeight="1">
      <c r="A30" s="4" t="s">
        <v>49</v>
      </c>
      <c r="B30" s="4" t="s">
        <v>39</v>
      </c>
      <c r="C30" s="7">
        <v>6.5</v>
      </c>
      <c r="D30" s="7">
        <v>9.0</v>
      </c>
      <c r="E30" s="6">
        <f t="shared" si="13"/>
        <v>58.5</v>
      </c>
      <c r="F30" s="6">
        <f t="shared" si="14"/>
        <v>6</v>
      </c>
      <c r="G30" s="7">
        <v>21.88</v>
      </c>
      <c r="H30" s="25">
        <f t="array" ref="H30">_xlfn.CEILING.MATH(SWITCH(J30, "A", 13.21, "B", 4.86, "C", 10.56, "D", 10.87, "E", 16.75, "F", 22, "G", 13.2, "H", 19.3, "I", 17.5, "J", 12.8, "K", 17.3, "L", 17, -1))</f>
        <v>18</v>
      </c>
      <c r="I30" s="9">
        <f t="shared" si="15"/>
        <v>550.56</v>
      </c>
      <c r="J30" s="10" t="s">
        <v>48</v>
      </c>
    </row>
    <row r="31" ht="14.25" customHeight="1">
      <c r="A31" s="11" t="s">
        <v>50</v>
      </c>
      <c r="B31" s="12" t="s">
        <v>39</v>
      </c>
      <c r="C31" s="13"/>
      <c r="D31" s="13"/>
      <c r="E31" s="13"/>
      <c r="F31" s="13"/>
      <c r="G31" s="13"/>
      <c r="H31" s="13"/>
      <c r="I31" s="13"/>
      <c r="J31" s="14"/>
    </row>
    <row r="32" ht="14.25" customHeight="1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6">C32*D32</f>
        <v>42.75</v>
      </c>
      <c r="F32" s="6">
        <f t="shared" ref="F32:F36" si="17">ROUNDUP(E32/10,0)</f>
        <v>5</v>
      </c>
      <c r="G32" s="7">
        <v>11.5</v>
      </c>
      <c r="H32" s="8">
        <f t="array" ref="H32">_xlfn.CEILING.MATH(SWITCH(J32, "A", 13.21, "B", 4.86, "C", 10.56, "D", 10.87, "E", 16.75, "F", 22, "G", 13.2, "H", 19.3, "I", 17.5, "J", 12.8, "K", 17.3, "L", 17, -1))</f>
        <v>13</v>
      </c>
      <c r="I32" s="9">
        <f t="shared" ref="I32:I36" si="18">2*F32*(G32+H32+6)</f>
        <v>305</v>
      </c>
      <c r="J32" s="10" t="s">
        <v>52</v>
      </c>
    </row>
    <row r="33" ht="14.25" customHeight="1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6"/>
        <v>42.75</v>
      </c>
      <c r="F33" s="6">
        <f t="shared" si="17"/>
        <v>5</v>
      </c>
      <c r="G33" s="7">
        <v>17.0</v>
      </c>
      <c r="H33" s="8">
        <f t="array" ref="H33">_xlfn.CEILING.MATH(SWITCH(J33, "A", 13.21, "B", 4.86, "C", 10.56, "D", 10.87, "E", 16.75, "F", 22, "G", 13.2, "H", 19.3, "I", 17.5, "J", 12.8, "K", 17.3, "L", 17, -1))</f>
        <v>13</v>
      </c>
      <c r="I33" s="9">
        <f t="shared" si="18"/>
        <v>360</v>
      </c>
      <c r="J33" s="10" t="s">
        <v>52</v>
      </c>
    </row>
    <row r="34" ht="14.25" customHeight="1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6"/>
        <v>42.75</v>
      </c>
      <c r="F34" s="6">
        <f t="shared" si="17"/>
        <v>5</v>
      </c>
      <c r="G34" s="7">
        <v>22.5</v>
      </c>
      <c r="H34" s="8">
        <f t="array" ref="H34">_xlfn.CEILING.MATH(SWITCH(J34, "A", 13.21, "B", 4.86, "C", 10.56, "D", 10.87, "E", 16.75, "F", 22, "G", 13.2, "H", 19.3, "I", 17.5, "J", 12.8, "K", 17.3, "L", 17, -1))</f>
        <v>13</v>
      </c>
      <c r="I34" s="9">
        <f t="shared" si="18"/>
        <v>415</v>
      </c>
      <c r="J34" s="10" t="s">
        <v>52</v>
      </c>
    </row>
    <row r="35" ht="14.25" customHeight="1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6"/>
        <v>42.75</v>
      </c>
      <c r="F35" s="6">
        <f t="shared" si="17"/>
        <v>5</v>
      </c>
      <c r="G35" s="7">
        <v>28.0</v>
      </c>
      <c r="H35" s="8">
        <f t="array" ref="H35">_xlfn.CEILING.MATH(SWITCH(J35, "A", 13.21, "B", 4.86, "C", 10.56, "D", 10.87, "E", 16.75, "F", 22, "G", 13.2, "H", 19.3, "I", 17.5, "J", 12.8, "K", 17.3, "L", 17, -1))</f>
        <v>13</v>
      </c>
      <c r="I35" s="9">
        <f t="shared" si="18"/>
        <v>470</v>
      </c>
      <c r="J35" s="10" t="s">
        <v>52</v>
      </c>
    </row>
    <row r="36" ht="14.25" customHeight="1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6"/>
        <v>42.75</v>
      </c>
      <c r="F36" s="6">
        <f t="shared" si="17"/>
        <v>5</v>
      </c>
      <c r="G36" s="7">
        <v>33.5</v>
      </c>
      <c r="H36" s="8">
        <f t="array" ref="H36">_xlfn.CEILING.MATH(SWITCH(J36, "A", 13.21, "B", 4.86, "C", 10.56, "D", 10.87, "E", 16.75, "F", 22, "G", 13.2, "H", 19.3, "I", 17.5, "J", 12.8, "K", 17.3, "L", 17, -1))</f>
        <v>13</v>
      </c>
      <c r="I36" s="9">
        <f t="shared" si="18"/>
        <v>525</v>
      </c>
      <c r="J36" s="10" t="s">
        <v>52</v>
      </c>
    </row>
    <row r="37" ht="14.25" customHeight="1">
      <c r="A37" s="15" t="s">
        <v>57</v>
      </c>
      <c r="B37" s="26" t="s">
        <v>23</v>
      </c>
      <c r="C37" s="17"/>
      <c r="D37" s="17"/>
      <c r="E37" s="17"/>
      <c r="F37" s="17"/>
      <c r="G37" s="17"/>
      <c r="H37" s="17"/>
      <c r="I37" s="17"/>
      <c r="J37" s="18"/>
    </row>
    <row r="38" ht="14.25" customHeight="1">
      <c r="A38" s="15" t="s">
        <v>58</v>
      </c>
      <c r="B38" s="19"/>
      <c r="C38" s="20"/>
      <c r="D38" s="20"/>
      <c r="E38" s="20"/>
      <c r="F38" s="20"/>
      <c r="G38" s="20"/>
      <c r="H38" s="20"/>
      <c r="I38" s="20"/>
      <c r="J38" s="21"/>
    </row>
    <row r="39" ht="14.25" customHeight="1">
      <c r="A39" s="4" t="s">
        <v>59</v>
      </c>
      <c r="B39" s="4" t="s">
        <v>39</v>
      </c>
      <c r="C39" s="7">
        <v>6.0</v>
      </c>
      <c r="D39" s="7">
        <v>12.5</v>
      </c>
      <c r="E39" s="6">
        <f t="shared" ref="E39:E44" si="19">C39*D39</f>
        <v>75</v>
      </c>
      <c r="F39" s="6">
        <f t="shared" ref="F39:F44" si="20">ROUNDUP(E39/10,0)</f>
        <v>8</v>
      </c>
      <c r="G39" s="7">
        <v>10.5</v>
      </c>
      <c r="H39" s="8">
        <f t="array" ref="H39">_xlfn.CEILING.MATH(SWITCH(J39, "A", 13.21, "B", 4.86, "C", 10.56, "D", 10.87, "E", 16.75, "F", 22, "G", 13.2, "H", 19.3, "I", 17.5, "J", 12.8, "K", 17.3, "L", 17, -1))</f>
        <v>18</v>
      </c>
      <c r="I39" s="9">
        <f t="shared" ref="I39:I44" si="21">2*F39*(G39+H39+6)</f>
        <v>552</v>
      </c>
      <c r="J39" s="10" t="s">
        <v>60</v>
      </c>
    </row>
    <row r="40" ht="14.25" customHeight="1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9"/>
        <v>68.75</v>
      </c>
      <c r="F40" s="6">
        <f t="shared" si="20"/>
        <v>7</v>
      </c>
      <c r="G40" s="7">
        <v>17.5</v>
      </c>
      <c r="H40" s="8">
        <f t="array" ref="H40">_xlfn.CEILING.MATH(SWITCH(J40, "A", 13.21, "B", 4.86, "C", 10.56, "D", 10.87, "E", 16.75, "F", 22, "G", 13.2, "H", 19.3, "I", 17.5, "J", 12.8, "K", 17.3, "L", 17, -1))</f>
        <v>18</v>
      </c>
      <c r="I40" s="9">
        <f t="shared" si="21"/>
        <v>581</v>
      </c>
      <c r="J40" s="10" t="s">
        <v>60</v>
      </c>
    </row>
    <row r="41" ht="14.25" customHeight="1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9"/>
        <v>68.75</v>
      </c>
      <c r="F41" s="6">
        <f t="shared" si="20"/>
        <v>7</v>
      </c>
      <c r="G41" s="7">
        <v>23.5</v>
      </c>
      <c r="H41" s="8">
        <f t="array" ref="H41">_xlfn.CEILING.MATH(SWITCH(J41, "A", 13.21, "B", 4.86, "C", 10.56, "D", 10.87, "E", 16.75, "F", 22, "G", 13.2, "H", 19.3, "I", 17.5, "J", 12.8, "K", 17.3, "L", 17, -1))</f>
        <v>18</v>
      </c>
      <c r="I41" s="9">
        <f t="shared" si="21"/>
        <v>665</v>
      </c>
      <c r="J41" s="10" t="s">
        <v>60</v>
      </c>
    </row>
    <row r="42" ht="14.25" customHeight="1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9"/>
        <v>68.75</v>
      </c>
      <c r="F42" s="6">
        <f t="shared" si="20"/>
        <v>7</v>
      </c>
      <c r="G42" s="7">
        <v>29.5</v>
      </c>
      <c r="H42" s="8">
        <f t="array" ref="H42">_xlfn.CEILING.MATH(SWITCH(J42, "A", 13.21, "B", 4.86, "C", 10.56, "D", 10.87, "E", 16.75, "F", 22, "G", 13.2, "H", 19.3, "I", 17.5, "J", 12.8, "K", 17.3, "L", 17, -1))</f>
        <v>18</v>
      </c>
      <c r="I42" s="9">
        <f t="shared" si="21"/>
        <v>749</v>
      </c>
      <c r="J42" s="10" t="s">
        <v>60</v>
      </c>
    </row>
    <row r="43" ht="14.25" customHeight="1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9"/>
        <v>68.75</v>
      </c>
      <c r="F43" s="6">
        <f t="shared" si="20"/>
        <v>7</v>
      </c>
      <c r="G43" s="7">
        <v>35.5</v>
      </c>
      <c r="H43" s="8">
        <f t="array" ref="H43">_xlfn.CEILING.MATH(SWITCH(J43, "A", 13.21, "B", 4.86, "C", 10.56, "D", 10.87, "E", 16.75, "F", 22, "G", 13.2, "H", 19.3, "I", 17.5, "J", 12.8, "K", 17.3, "L", 17, -1))</f>
        <v>18</v>
      </c>
      <c r="I43" s="9">
        <f t="shared" si="21"/>
        <v>833</v>
      </c>
      <c r="J43" s="10" t="s">
        <v>60</v>
      </c>
    </row>
    <row r="44" ht="14.25" customHeight="1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9"/>
        <v>68.75</v>
      </c>
      <c r="F44" s="6">
        <f t="shared" si="20"/>
        <v>7</v>
      </c>
      <c r="G44" s="7">
        <v>41.5</v>
      </c>
      <c r="H44" s="8">
        <f t="array" ref="H44">_xlfn.CEILING.MATH(SWITCH(J44, "A", 13.21, "B", 4.86, "C", 10.56, "D", 10.87, "E", 16.75, "F", 22, "G", 13.2, "H", 19.3, "I", 17.5, "J", 12.8, "K", 17.3, "L", 17, -1))</f>
        <v>18</v>
      </c>
      <c r="I44" s="9">
        <f t="shared" si="21"/>
        <v>917</v>
      </c>
      <c r="J44" s="10" t="s">
        <v>60</v>
      </c>
    </row>
    <row r="45" ht="14.25" customHeight="1">
      <c r="A45" s="22" t="s">
        <v>66</v>
      </c>
      <c r="B45" s="22"/>
      <c r="C45" s="22"/>
      <c r="D45" s="22"/>
      <c r="E45" s="22"/>
      <c r="F45" s="22">
        <f>SUM(F22:F44)</f>
        <v>134</v>
      </c>
      <c r="G45" s="22"/>
      <c r="H45" s="23"/>
      <c r="I45" s="22">
        <f>SUM(I22:I44)</f>
        <v>12327.04</v>
      </c>
      <c r="J45" s="24"/>
    </row>
    <row r="46" ht="14.25" customHeight="1">
      <c r="A46" s="22"/>
      <c r="B46" s="22"/>
      <c r="C46" s="22"/>
      <c r="D46" s="22"/>
      <c r="E46" s="22"/>
      <c r="F46" s="22"/>
      <c r="G46" s="22"/>
      <c r="H46" s="23"/>
      <c r="I46" s="22"/>
      <c r="J46" s="24"/>
    </row>
    <row r="47" ht="14.25" customHeight="1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2">C47*D47</f>
        <v>55.25</v>
      </c>
      <c r="F47" s="6">
        <f t="shared" ref="F47:F48" si="23">ROUNDUP(E47/10,0)</f>
        <v>6</v>
      </c>
      <c r="G47" s="7">
        <v>9.4</v>
      </c>
      <c r="H47" s="25">
        <f t="array" ref="H47">_xlfn.CEILING.MATH(SWITCH(J47, "A", 13.21, "B", 4.86, "C", 10.56, "D", 10.87, "E", 16.75, "F", 22, "G", 13.2, "H", 19.3, "I", 17.5, "J", 12.8, "K", 17.3, "L", 17, -1))</f>
        <v>14</v>
      </c>
      <c r="I47" s="9">
        <f t="shared" ref="I47:I48" si="24">2*F47*(G47+H47+6)</f>
        <v>352.8</v>
      </c>
      <c r="J47" s="10" t="s">
        <v>12</v>
      </c>
    </row>
    <row r="48" ht="14.25" customHeight="1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2"/>
        <v>55.25</v>
      </c>
      <c r="F48" s="6">
        <f t="shared" si="23"/>
        <v>6</v>
      </c>
      <c r="G48" s="7">
        <v>16.11</v>
      </c>
      <c r="H48" s="25">
        <f t="array" ref="H48">_xlfn.CEILING.MATH(SWITCH(J48, "A", 13.21, "B", 4.86, "C", 10.56, "D", 10.87, "E", 16.75, "F", 22, "G", 13.2, "H", 19.3, "I", 17.5, "J", 12.8, "K", 17.3, "L", 17, -1))</f>
        <v>5</v>
      </c>
      <c r="I48" s="9">
        <f t="shared" si="24"/>
        <v>325.32</v>
      </c>
      <c r="J48" s="10" t="s">
        <v>14</v>
      </c>
    </row>
    <row r="49" ht="14.25" customHeight="1">
      <c r="A49" s="11" t="s">
        <v>70</v>
      </c>
      <c r="B49" s="27" t="s">
        <v>68</v>
      </c>
      <c r="C49" s="13"/>
      <c r="D49" s="13"/>
      <c r="E49" s="13"/>
      <c r="F49" s="13"/>
      <c r="G49" s="13"/>
      <c r="H49" s="13"/>
      <c r="I49" s="13"/>
      <c r="J49" s="14"/>
    </row>
    <row r="50" ht="14.25" customHeight="1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5">C50*D50</f>
        <v>46.75</v>
      </c>
      <c r="F50" s="6">
        <f t="shared" ref="F50:F54" si="26">ROUNDUP(E50/10,0)</f>
        <v>5</v>
      </c>
      <c r="G50" s="7">
        <v>21.82</v>
      </c>
      <c r="H50" s="25">
        <f t="array" ref="H50">_xlfn.CEILING.MATH(SWITCH(J50, "A", 13.21, "B", 4.86, "C", 10.56, "D", 10.87, "E", 16.75, "F", 22, "G", 13.2, "H", 19.3, "I", 17.5, "J", 12.8, "K", 17.3, "L", 17, -1))</f>
        <v>11</v>
      </c>
      <c r="I50" s="9">
        <f t="shared" ref="I50:I54" si="27">2*F50*(G50+H50+6)</f>
        <v>388.2</v>
      </c>
      <c r="J50" s="10" t="s">
        <v>17</v>
      </c>
    </row>
    <row r="51" ht="14.25" customHeight="1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5"/>
        <v>46.75</v>
      </c>
      <c r="F51" s="6">
        <f t="shared" si="26"/>
        <v>5</v>
      </c>
      <c r="G51" s="7">
        <v>27.82</v>
      </c>
      <c r="H51" s="25">
        <f t="array" ref="H51">_xlfn.CEILING.MATH(SWITCH(J51, "A", 13.21, "B", 4.86, "C", 10.56, "D", 10.87, "E", 16.75, "F", 22, "G", 13.2, "H", 19.3, "I", 17.5, "J", 12.8, "K", 17.3, "L", 17, -1))</f>
        <v>11</v>
      </c>
      <c r="I51" s="9">
        <f t="shared" si="27"/>
        <v>448.2</v>
      </c>
      <c r="J51" s="10" t="s">
        <v>17</v>
      </c>
    </row>
    <row r="52" ht="14.25" customHeight="1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5"/>
        <v>46.75</v>
      </c>
      <c r="F52" s="6">
        <f t="shared" si="26"/>
        <v>5</v>
      </c>
      <c r="G52" s="7">
        <v>33.53</v>
      </c>
      <c r="H52" s="25">
        <f t="array" ref="H52">_xlfn.CEILING.MATH(SWITCH(J52, "A", 13.21, "B", 4.86, "C", 10.56, "D", 10.87, "E", 16.75, "F", 22, "G", 13.2, "H", 19.3, "I", 17.5, "J", 12.8, "K", 17.3, "L", 17, -1))</f>
        <v>11</v>
      </c>
      <c r="I52" s="9">
        <f t="shared" si="27"/>
        <v>505.3</v>
      </c>
      <c r="J52" s="10" t="s">
        <v>17</v>
      </c>
    </row>
    <row r="53" ht="14.25" customHeight="1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5"/>
        <v>46.75</v>
      </c>
      <c r="F53" s="6">
        <f t="shared" si="26"/>
        <v>5</v>
      </c>
      <c r="G53" s="7">
        <v>39.53</v>
      </c>
      <c r="H53" s="25">
        <f t="array" ref="H53">_xlfn.CEILING.MATH(SWITCH(J53, "A", 13.21, "B", 4.86, "C", 10.56, "D", 10.87, "E", 16.75, "F", 22, "G", 13.2, "H", 19.3, "I", 17.5, "J", 12.8, "K", 17.3, "L", 17, -1))</f>
        <v>11</v>
      </c>
      <c r="I53" s="9">
        <f t="shared" si="27"/>
        <v>565.3</v>
      </c>
      <c r="J53" s="10" t="s">
        <v>17</v>
      </c>
    </row>
    <row r="54" ht="14.25" customHeight="1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5"/>
        <v>46.75</v>
      </c>
      <c r="F54" s="6">
        <f t="shared" si="26"/>
        <v>5</v>
      </c>
      <c r="G54" s="7">
        <v>45.24</v>
      </c>
      <c r="H54" s="25">
        <f t="array" ref="H54">_xlfn.CEILING.MATH(SWITCH(J54, "A", 13.21, "B", 4.86, "C", 10.56, "D", 10.87, "E", 16.75, "F", 22, "G", 13.2, "H", 19.3, "I", 17.5, "J", 12.8, "K", 17.3, "L", 17, -1))</f>
        <v>11</v>
      </c>
      <c r="I54" s="9">
        <f t="shared" si="27"/>
        <v>622.4</v>
      </c>
      <c r="J54" s="10" t="s">
        <v>17</v>
      </c>
    </row>
    <row r="55" ht="14.25" customHeight="1">
      <c r="A55" s="15" t="s">
        <v>76</v>
      </c>
      <c r="B55" s="16" t="s">
        <v>23</v>
      </c>
      <c r="C55" s="17"/>
      <c r="D55" s="17"/>
      <c r="E55" s="17"/>
      <c r="F55" s="17"/>
      <c r="G55" s="17"/>
      <c r="H55" s="17"/>
      <c r="I55" s="17"/>
      <c r="J55" s="18"/>
    </row>
    <row r="56" ht="14.25" customHeight="1">
      <c r="A56" s="15" t="s">
        <v>77</v>
      </c>
      <c r="B56" s="19"/>
      <c r="C56" s="20"/>
      <c r="D56" s="20"/>
      <c r="E56" s="20"/>
      <c r="F56" s="20"/>
      <c r="G56" s="20"/>
      <c r="H56" s="20"/>
      <c r="I56" s="20"/>
      <c r="J56" s="21"/>
    </row>
    <row r="57" ht="14.25" customHeight="1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8">C57*D57</f>
        <v>97.75</v>
      </c>
      <c r="F57" s="6">
        <f t="shared" ref="F57:F64" si="29">ROUNDUP(E57/10,0)</f>
        <v>10</v>
      </c>
      <c r="G57" s="7">
        <v>0.5</v>
      </c>
      <c r="H57" s="25">
        <f t="array" ref="H57">_xlfn.CEILING.MATH(SWITCH(J57, "A", 13.21, "B", 4.86, "C", 10.56, "D", 10.87, "E", 16.75, "F", 22, "G", 13.2, "H", 19.3, "I", 17.5, "J", 12.8, "K", 17.3, "L", 17, -1))</f>
        <v>11</v>
      </c>
      <c r="I57" s="9">
        <f t="shared" ref="I57:I64" si="30">2*F57*(G57+H57+6)</f>
        <v>350</v>
      </c>
      <c r="J57" s="10" t="s">
        <v>26</v>
      </c>
    </row>
    <row r="58" ht="14.25" customHeight="1">
      <c r="A58" s="4" t="s">
        <v>79</v>
      </c>
      <c r="B58" s="7" t="s">
        <v>68</v>
      </c>
      <c r="C58" s="5">
        <v>20.0</v>
      </c>
      <c r="D58" s="5">
        <v>16.5</v>
      </c>
      <c r="E58" s="6">
        <f t="shared" si="28"/>
        <v>330</v>
      </c>
      <c r="F58" s="6">
        <f t="shared" si="29"/>
        <v>33</v>
      </c>
      <c r="G58" s="7">
        <v>5.0</v>
      </c>
      <c r="H58" s="25">
        <f t="array" ref="H58">_xlfn.CEILING.MATH(SWITCH(J58, "A", 13.21, "B", 4.86, "C", 10.56, "D", 10.87, "E", 16.75, "F", 22, "G", 13.2, "H", 19.3, "I", 17.5, "J", 12.8, "K", 17.3, "L", 17, -1))</f>
        <v>22</v>
      </c>
      <c r="I58" s="9">
        <f t="shared" si="30"/>
        <v>2178</v>
      </c>
      <c r="J58" s="10" t="s">
        <v>28</v>
      </c>
    </row>
    <row r="59" ht="14.25" customHeight="1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8"/>
        <v>74.75</v>
      </c>
      <c r="F59" s="6">
        <f t="shared" si="29"/>
        <v>8</v>
      </c>
      <c r="G59" s="7">
        <v>84.64</v>
      </c>
      <c r="H59" s="25">
        <f t="array" ref="H59">_xlfn.CEILING.MATH(SWITCH(J59, "A", 13.21, "B", 4.86, "C", 10.56, "D", 10.87, "E", 16.75, "F", 22, "G", 13.2, "H", 19.3, "I", 17.5, "J", 12.8, "K", 17.3, "L", 17, -1))</f>
        <v>17</v>
      </c>
      <c r="I59" s="9">
        <f t="shared" si="30"/>
        <v>1722.24</v>
      </c>
      <c r="J59" s="10" t="s">
        <v>30</v>
      </c>
    </row>
    <row r="60" ht="14.25" customHeight="1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8"/>
        <v>74.75</v>
      </c>
      <c r="F60" s="6">
        <f t="shared" si="29"/>
        <v>8</v>
      </c>
      <c r="G60" s="7">
        <v>91.78</v>
      </c>
      <c r="H60" s="25">
        <f t="array" ref="H60">_xlfn.CEILING.MATH(SWITCH(J60, "A", 13.21, "B", 4.86, "C", 10.56, "D", 10.87, "E", 16.75, "F", 22, "G", 13.2, "H", 19.3, "I", 17.5, "J", 12.8, "K", 17.3, "L", 17, -1))</f>
        <v>17</v>
      </c>
      <c r="I60" s="9">
        <f t="shared" si="30"/>
        <v>1836.48</v>
      </c>
      <c r="J60" s="10" t="s">
        <v>30</v>
      </c>
    </row>
    <row r="61" ht="14.25" customHeight="1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8"/>
        <v>74.75</v>
      </c>
      <c r="F61" s="6">
        <f t="shared" si="29"/>
        <v>8</v>
      </c>
      <c r="G61" s="7">
        <v>98.78</v>
      </c>
      <c r="H61" s="25">
        <f t="array" ref="H61">_xlfn.CEILING.MATH(SWITCH(J61, "A", 13.21, "B", 4.86, "C", 10.56, "D", 10.87, "E", 16.75, "F", 22, "G", 13.2, "H", 19.3, "I", 17.5, "J", 12.8, "K", 17.3, "L", 17, -1))</f>
        <v>17</v>
      </c>
      <c r="I61" s="9">
        <f t="shared" si="30"/>
        <v>1948.48</v>
      </c>
      <c r="J61" s="10" t="s">
        <v>30</v>
      </c>
    </row>
    <row r="62" ht="14.25" customHeight="1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8"/>
        <v>74.75</v>
      </c>
      <c r="F62" s="6">
        <f t="shared" si="29"/>
        <v>8</v>
      </c>
      <c r="G62" s="7">
        <v>105.92</v>
      </c>
      <c r="H62" s="25">
        <f t="array" ref="H62">_xlfn.CEILING.MATH(SWITCH(J62, "A", 13.21, "B", 4.86, "C", 10.56, "D", 10.87, "E", 16.75, "F", 22, "G", 13.2, "H", 19.3, "I", 17.5, "J", 12.8, "K", 17.3, "L", 17, -1))</f>
        <v>17</v>
      </c>
      <c r="I62" s="9">
        <f t="shared" si="30"/>
        <v>2062.72</v>
      </c>
      <c r="J62" s="10" t="s">
        <v>30</v>
      </c>
    </row>
    <row r="63" ht="14.25" customHeight="1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8"/>
        <v>74.75</v>
      </c>
      <c r="F63" s="6">
        <f t="shared" si="29"/>
        <v>8</v>
      </c>
      <c r="G63" s="7">
        <v>112.92</v>
      </c>
      <c r="H63" s="25">
        <f t="array" ref="H63">_xlfn.CEILING.MATH(SWITCH(J63, "A", 13.21, "B", 4.86, "C", 10.56, "D", 10.87, "E", 16.75, "F", 22, "G", 13.2, "H", 19.3, "I", 17.5, "J", 12.8, "K", 17.3, "L", 17, -1))</f>
        <v>17</v>
      </c>
      <c r="I63" s="9">
        <f t="shared" si="30"/>
        <v>2174.72</v>
      </c>
      <c r="J63" s="10" t="s">
        <v>30</v>
      </c>
    </row>
    <row r="64" ht="14.25" customHeight="1">
      <c r="A64" s="4" t="s">
        <v>85</v>
      </c>
      <c r="B64" s="7" t="s">
        <v>68</v>
      </c>
      <c r="C64" s="5">
        <v>10.0</v>
      </c>
      <c r="D64" s="5">
        <v>20.0</v>
      </c>
      <c r="E64" s="6">
        <f t="shared" si="28"/>
        <v>200</v>
      </c>
      <c r="F64" s="6">
        <f t="shared" si="29"/>
        <v>20</v>
      </c>
      <c r="G64" s="7">
        <v>17.5</v>
      </c>
      <c r="H64" s="25">
        <f t="array" ref="H64">_xlfn.CEILING.MATH(SWITCH(J64, "A", 13.21, "B", 4.86, "C", 10.56, "D", 10.87, "E", 16.75, "F", 22, "G", 13.2, "H", 19.3, "I", 17.5, "J", 12.8, "K", 17.3, "L", 17, -1))</f>
        <v>14</v>
      </c>
      <c r="I64" s="9">
        <f t="shared" si="30"/>
        <v>1500</v>
      </c>
      <c r="J64" s="10" t="s">
        <v>36</v>
      </c>
    </row>
    <row r="65" ht="14.25" customHeight="1">
      <c r="A65" s="22" t="s">
        <v>86</v>
      </c>
      <c r="B65" s="22"/>
      <c r="C65" s="22"/>
      <c r="D65" s="22"/>
      <c r="E65" s="22"/>
      <c r="F65" s="22">
        <f>SUM(F47:F64)</f>
        <v>140</v>
      </c>
      <c r="G65" s="22"/>
      <c r="H65" s="23"/>
      <c r="I65" s="22">
        <f>SUM(I47:I64)</f>
        <v>16980.16</v>
      </c>
      <c r="J65" s="24"/>
    </row>
    <row r="66" ht="14.25" customHeight="1">
      <c r="A66" s="22"/>
      <c r="B66" s="22"/>
      <c r="C66" s="22"/>
      <c r="D66" s="22"/>
      <c r="E66" s="22"/>
      <c r="F66" s="22"/>
      <c r="G66" s="22"/>
      <c r="H66" s="23"/>
      <c r="I66" s="22"/>
      <c r="J66" s="24"/>
    </row>
    <row r="67" ht="14.25" customHeight="1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1">C67*D67</f>
        <v>74.75</v>
      </c>
      <c r="F67" s="6">
        <f t="shared" ref="F67:F68" si="32">ROUNDUP(E67/10,0)</f>
        <v>8</v>
      </c>
      <c r="G67" s="7">
        <v>32.0</v>
      </c>
      <c r="H67" s="25">
        <f t="array" ref="H67">_xlfn.CEILING.MATH(SWITCH(J67, "A", 13.21, "B", 4.86, "C", 10.56, "D", 10.87, "E", 16.75, "F", 22, "G", 13.2, "H", 19.3, "I", 17.5, "J", 12.8, "K", 17.3, "L", 17, -1))</f>
        <v>17</v>
      </c>
      <c r="I67" s="9">
        <f t="shared" ref="I67:I68" si="33">2*F67*(G67+H67+6)</f>
        <v>880</v>
      </c>
      <c r="J67" s="10" t="s">
        <v>30</v>
      </c>
    </row>
    <row r="68" ht="14.25" customHeight="1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1"/>
        <v>74.75</v>
      </c>
      <c r="F68" s="6">
        <f t="shared" si="32"/>
        <v>8</v>
      </c>
      <c r="G68" s="7">
        <v>27.0</v>
      </c>
      <c r="H68" s="25">
        <f t="array" ref="H68">_xlfn.CEILING.MATH(SWITCH(J68, "A", 13.21, "B", 4.86, "C", 10.56, "D", 10.87, "E", 16.75, "F", 22, "G", 13.2, "H", 19.3, "I", 17.5, "J", 12.8, "K", 17.3, "L", 17, -1))</f>
        <v>17</v>
      </c>
      <c r="I68" s="9">
        <f t="shared" si="33"/>
        <v>800</v>
      </c>
      <c r="J68" s="10" t="s">
        <v>30</v>
      </c>
    </row>
    <row r="69" ht="14.25" customHeight="1">
      <c r="A69" s="15" t="s">
        <v>90</v>
      </c>
      <c r="B69" s="16" t="s">
        <v>23</v>
      </c>
      <c r="C69" s="17"/>
      <c r="D69" s="17"/>
      <c r="E69" s="17"/>
      <c r="F69" s="17"/>
      <c r="G69" s="17"/>
      <c r="H69" s="17"/>
      <c r="I69" s="17"/>
      <c r="J69" s="18"/>
    </row>
    <row r="70" ht="14.25" customHeight="1">
      <c r="A70" s="15" t="s">
        <v>91</v>
      </c>
      <c r="B70" s="19"/>
      <c r="C70" s="20"/>
      <c r="D70" s="20"/>
      <c r="E70" s="20"/>
      <c r="F70" s="20"/>
      <c r="G70" s="20"/>
      <c r="H70" s="20"/>
      <c r="I70" s="20"/>
      <c r="J70" s="21"/>
    </row>
    <row r="71" ht="14.25" customHeight="1">
      <c r="A71" s="4" t="s">
        <v>92</v>
      </c>
      <c r="B71" s="4" t="s">
        <v>88</v>
      </c>
      <c r="C71" s="5">
        <v>10.0</v>
      </c>
      <c r="D71" s="5">
        <v>20.0</v>
      </c>
      <c r="E71" s="6">
        <f t="shared" ref="E71:E74" si="34">C71*D71</f>
        <v>200</v>
      </c>
      <c r="F71" s="6">
        <f t="shared" ref="F71:F74" si="35">ROUNDUP(E71/10,0)</f>
        <v>20</v>
      </c>
      <c r="G71" s="7">
        <v>0.5</v>
      </c>
      <c r="H71" s="25">
        <f t="array" ref="H71">_xlfn.CEILING.MATH(SWITCH(J71, "A", 13.21, "B", 4.86, "C", 10.56, "D", 10.87, "E", 16.75, "F", 22, "G", 13.2, "H", 19.3, "I", 17.5, "J", 12.8, "K", 17.3, "L", 17, -1))</f>
        <v>14</v>
      </c>
      <c r="I71" s="9">
        <f t="shared" ref="I71:I74" si="36">2*F71*(G71+H71+6)</f>
        <v>820</v>
      </c>
      <c r="J71" s="10" t="s">
        <v>36</v>
      </c>
    </row>
    <row r="72" ht="14.25" customHeight="1">
      <c r="A72" s="4" t="s">
        <v>93</v>
      </c>
      <c r="B72" s="4" t="s">
        <v>88</v>
      </c>
      <c r="C72" s="7">
        <v>5.0</v>
      </c>
      <c r="D72" s="7">
        <v>14.0</v>
      </c>
      <c r="E72" s="6">
        <f t="shared" si="34"/>
        <v>70</v>
      </c>
      <c r="F72" s="6">
        <f t="shared" si="35"/>
        <v>7</v>
      </c>
      <c r="G72" s="7">
        <v>56.07</v>
      </c>
      <c r="H72" s="25">
        <f t="array" ref="H72">_xlfn.CEILING.MATH(SWITCH(J72, "A", 13.21, "B", 4.86, "C", 10.56, "D", 10.87, "E", 16.75, "F", 22, "G", 13.2, "H", 19.3, "I", 17.5, "J", 12.8, "K", 17.3, "L", 17, -1))</f>
        <v>17</v>
      </c>
      <c r="I72" s="9">
        <f t="shared" si="36"/>
        <v>1106.98</v>
      </c>
      <c r="J72" s="10" t="s">
        <v>94</v>
      </c>
    </row>
    <row r="73" ht="14.25" customHeight="1">
      <c r="A73" s="4" t="s">
        <v>95</v>
      </c>
      <c r="B73" s="4" t="s">
        <v>88</v>
      </c>
      <c r="C73" s="7">
        <v>9.0</v>
      </c>
      <c r="D73" s="7">
        <v>6.5</v>
      </c>
      <c r="E73" s="6">
        <f t="shared" si="34"/>
        <v>58.5</v>
      </c>
      <c r="F73" s="6">
        <f t="shared" si="35"/>
        <v>6</v>
      </c>
      <c r="G73" s="7">
        <v>12.54</v>
      </c>
      <c r="H73" s="25">
        <f t="array" ref="H73">_xlfn.CEILING.MATH(SWITCH(J73, "A", 13.21, "B", 4.86, "C", 10.56, "D", 10.87, "E", 16.75, "F", 22, "G", 13.2, "H", 19.3, "I", 17.5, "J", 12.8, "K", 17.3, "L", 17, -1))</f>
        <v>18</v>
      </c>
      <c r="I73" s="9">
        <f t="shared" si="36"/>
        <v>438.48</v>
      </c>
      <c r="J73" s="10" t="s">
        <v>48</v>
      </c>
    </row>
    <row r="74" ht="14.25" customHeight="1">
      <c r="A74" s="4" t="s">
        <v>96</v>
      </c>
      <c r="B74" s="4" t="s">
        <v>88</v>
      </c>
      <c r="C74" s="7">
        <v>6.5</v>
      </c>
      <c r="D74" s="7">
        <v>9.0</v>
      </c>
      <c r="E74" s="6">
        <f t="shared" si="34"/>
        <v>58.5</v>
      </c>
      <c r="F74" s="6">
        <f t="shared" si="35"/>
        <v>6</v>
      </c>
      <c r="G74" s="7">
        <v>21.88</v>
      </c>
      <c r="H74" s="25">
        <f t="array" ref="H74">_xlfn.CEILING.MATH(SWITCH(J74, "A", 13.21, "B", 4.86, "C", 10.56, "D", 10.87, "E", 16.75, "F", 22, "G", 13.2, "H", 19.3, "I", 17.5, "J", 12.8, "K", 17.3, "L", 17, -1))</f>
        <v>18</v>
      </c>
      <c r="I74" s="9">
        <f t="shared" si="36"/>
        <v>550.56</v>
      </c>
      <c r="J74" s="10" t="s">
        <v>48</v>
      </c>
    </row>
    <row r="75" ht="14.25" customHeight="1">
      <c r="A75" s="11" t="s">
        <v>97</v>
      </c>
      <c r="B75" s="12" t="s">
        <v>88</v>
      </c>
      <c r="C75" s="13"/>
      <c r="D75" s="13"/>
      <c r="E75" s="13"/>
      <c r="F75" s="13"/>
      <c r="G75" s="13"/>
      <c r="H75" s="13"/>
      <c r="I75" s="13"/>
      <c r="J75" s="14"/>
    </row>
    <row r="76" ht="14.25" customHeight="1">
      <c r="A76" s="4" t="s">
        <v>98</v>
      </c>
      <c r="B76" s="4" t="s">
        <v>88</v>
      </c>
      <c r="C76" s="7">
        <v>4.0</v>
      </c>
      <c r="D76" s="7">
        <v>4.0</v>
      </c>
      <c r="E76" s="6">
        <f t="shared" ref="E76:E80" si="37">C76*D76</f>
        <v>16</v>
      </c>
      <c r="F76" s="6">
        <f t="shared" ref="F76:F80" si="38">ROUNDUP(E76/10,0)</f>
        <v>2</v>
      </c>
      <c r="G76" s="7">
        <v>11.5</v>
      </c>
      <c r="H76" s="25">
        <f t="array" ref="H76">_xlfn.CEILING.MATH(SWITCH(J76, "A", 13.21, "B", 4.86, "C", 10.56, "D", 10.87, "E", 16.75, "F", 22, "G", 13.2, "H", 19.3, "I", 17.5, "J", 12.8, "K", 17.3, "L", 17, -1))</f>
        <v>13</v>
      </c>
      <c r="I76" s="9">
        <f t="shared" ref="I76:I80" si="39">2*F76*(G76+H76+6)</f>
        <v>122</v>
      </c>
      <c r="J76" s="10" t="s">
        <v>52</v>
      </c>
    </row>
    <row r="77" ht="14.25" customHeight="1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7"/>
        <v>42.75</v>
      </c>
      <c r="F77" s="6">
        <f t="shared" si="38"/>
        <v>5</v>
      </c>
      <c r="G77" s="7">
        <v>17.0</v>
      </c>
      <c r="H77" s="25">
        <f t="array" ref="H77">_xlfn.CEILING.MATH(SWITCH(J77, "A", 13.21, "B", 4.86, "C", 10.56, "D", 10.87, "E", 16.75, "F", 22, "G", 13.2, "H", 19.3, "I", 17.5, "J", 12.8, "K", 17.3, "L", 17, -1))</f>
        <v>13</v>
      </c>
      <c r="I77" s="9">
        <f t="shared" si="39"/>
        <v>360</v>
      </c>
      <c r="J77" s="10" t="s">
        <v>52</v>
      </c>
    </row>
    <row r="78" ht="14.25" customHeight="1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7"/>
        <v>42.75</v>
      </c>
      <c r="F78" s="6">
        <f t="shared" si="38"/>
        <v>5</v>
      </c>
      <c r="G78" s="7">
        <v>22.5</v>
      </c>
      <c r="H78" s="25">
        <f t="array" ref="H78">_xlfn.CEILING.MATH(SWITCH(J78, "A", 13.21, "B", 4.86, "C", 10.56, "D", 10.87, "E", 16.75, "F", 22, "G", 13.2, "H", 19.3, "I", 17.5, "J", 12.8, "K", 17.3, "L", 17, -1))</f>
        <v>13</v>
      </c>
      <c r="I78" s="9">
        <f t="shared" si="39"/>
        <v>415</v>
      </c>
      <c r="J78" s="10" t="s">
        <v>52</v>
      </c>
    </row>
    <row r="79" ht="14.25" customHeight="1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7"/>
        <v>42.75</v>
      </c>
      <c r="F79" s="6">
        <f t="shared" si="38"/>
        <v>5</v>
      </c>
      <c r="G79" s="7">
        <v>28.0</v>
      </c>
      <c r="H79" s="25">
        <f t="array" ref="H79">_xlfn.CEILING.MATH(SWITCH(J79, "A", 13.21, "B", 4.86, "C", 10.56, "D", 10.87, "E", 16.75, "F", 22, "G", 13.2, "H", 19.3, "I", 17.5, "J", 12.8, "K", 17.3, "L", 17, -1))</f>
        <v>13</v>
      </c>
      <c r="I79" s="9">
        <f t="shared" si="39"/>
        <v>470</v>
      </c>
      <c r="J79" s="10" t="s">
        <v>52</v>
      </c>
    </row>
    <row r="80" ht="14.25" customHeight="1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7"/>
        <v>42.75</v>
      </c>
      <c r="F80" s="6">
        <f t="shared" si="38"/>
        <v>5</v>
      </c>
      <c r="G80" s="7">
        <v>33.5</v>
      </c>
      <c r="H80" s="25">
        <f t="array" ref="H80">_xlfn.CEILING.MATH(SWITCH(J80, "A", 13.21, "B", 4.86, "C", 10.56, "D", 10.87, "E", 16.75, "F", 22, "G", 13.2, "H", 19.3, "I", 17.5, "J", 12.8, "K", 17.3, "L", 17, -1))</f>
        <v>13</v>
      </c>
      <c r="I80" s="9">
        <f t="shared" si="39"/>
        <v>525</v>
      </c>
      <c r="J80" s="10" t="s">
        <v>52</v>
      </c>
    </row>
    <row r="81" ht="14.25" customHeight="1">
      <c r="A81" s="15" t="s">
        <v>103</v>
      </c>
      <c r="B81" s="26" t="s">
        <v>23</v>
      </c>
      <c r="C81" s="17"/>
      <c r="D81" s="17"/>
      <c r="E81" s="17"/>
      <c r="F81" s="17"/>
      <c r="G81" s="17"/>
      <c r="H81" s="17"/>
      <c r="I81" s="17"/>
      <c r="J81" s="18"/>
    </row>
    <row r="82" ht="14.25" customHeight="1">
      <c r="A82" s="15" t="s">
        <v>104</v>
      </c>
      <c r="B82" s="19"/>
      <c r="C82" s="20"/>
      <c r="D82" s="20"/>
      <c r="E82" s="20"/>
      <c r="F82" s="20"/>
      <c r="G82" s="20"/>
      <c r="H82" s="20"/>
      <c r="I82" s="20"/>
      <c r="J82" s="21"/>
    </row>
    <row r="83" ht="14.25" customHeight="1">
      <c r="A83" s="4" t="s">
        <v>105</v>
      </c>
      <c r="B83" s="4" t="s">
        <v>88</v>
      </c>
      <c r="C83" s="7">
        <v>6.5</v>
      </c>
      <c r="D83" s="7">
        <v>12.5</v>
      </c>
      <c r="E83" s="6">
        <f t="shared" ref="E83:E88" si="40">C83*D83</f>
        <v>81.25</v>
      </c>
      <c r="F83" s="6">
        <f t="shared" ref="F83:F88" si="41">ROUNDUP(E83/10,0)</f>
        <v>9</v>
      </c>
      <c r="G83" s="7">
        <v>10.5</v>
      </c>
      <c r="H83" s="25">
        <f t="array" ref="H83">_xlfn.CEILING.MATH(SWITCH(J83, "A", 13.21, "B", 4.86, "C", 10.56, "D", 10.87, "E", 16.75, "F", 22, "G", 13.2, "H", 19.3, "I", 17.5, "J", 12.8, "K", 17.3, "L", 17, -1))</f>
        <v>18</v>
      </c>
      <c r="I83" s="9">
        <f t="shared" ref="I83:I88" si="42">2*F83*(G83+H83+6)</f>
        <v>621</v>
      </c>
      <c r="J83" s="10" t="s">
        <v>60</v>
      </c>
    </row>
    <row r="84" ht="14.25" customHeight="1">
      <c r="A84" s="4" t="s">
        <v>106</v>
      </c>
      <c r="B84" s="4" t="s">
        <v>88</v>
      </c>
      <c r="C84" s="7">
        <v>6.5</v>
      </c>
      <c r="D84" s="7">
        <v>12.5</v>
      </c>
      <c r="E84" s="6">
        <f t="shared" si="40"/>
        <v>81.25</v>
      </c>
      <c r="F84" s="6">
        <f t="shared" si="41"/>
        <v>9</v>
      </c>
      <c r="G84" s="7">
        <v>17.5</v>
      </c>
      <c r="H84" s="25">
        <f t="array" ref="H84">_xlfn.CEILING.MATH(SWITCH(J84, "A", 13.21, "B", 4.86, "C", 10.56, "D", 10.87, "E", 16.75, "F", 22, "G", 13.2, "H", 19.3, "I", 17.5, "J", 12.8, "K", 17.3, "L", 17, -1))</f>
        <v>18</v>
      </c>
      <c r="I84" s="9">
        <f t="shared" si="42"/>
        <v>747</v>
      </c>
      <c r="J84" s="10" t="s">
        <v>60</v>
      </c>
    </row>
    <row r="85" ht="14.25" customHeight="1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40"/>
        <v>68.75</v>
      </c>
      <c r="F85" s="6">
        <f t="shared" si="41"/>
        <v>7</v>
      </c>
      <c r="G85" s="7">
        <v>23.5</v>
      </c>
      <c r="H85" s="25">
        <f t="array" ref="H85">_xlfn.CEILING.MATH(SWITCH(J85, "A", 13.21, "B", 4.86, "C", 10.56, "D", 10.87, "E", 16.75, "F", 22, "G", 13.2, "H", 19.3, "I", 17.5, "J", 12.8, "K", 17.3, "L", 17, -1))</f>
        <v>18</v>
      </c>
      <c r="I85" s="9">
        <f t="shared" si="42"/>
        <v>665</v>
      </c>
      <c r="J85" s="10" t="s">
        <v>60</v>
      </c>
    </row>
    <row r="86" ht="14.25" customHeight="1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40"/>
        <v>68.75</v>
      </c>
      <c r="F86" s="6">
        <f t="shared" si="41"/>
        <v>7</v>
      </c>
      <c r="G86" s="7">
        <v>29.5</v>
      </c>
      <c r="H86" s="25">
        <f t="array" ref="H86">_xlfn.CEILING.MATH(SWITCH(J86, "A", 13.21, "B", 4.86, "C", 10.56, "D", 10.87, "E", 16.75, "F", 22, "G", 13.2, "H", 19.3, "I", 17.5, "J", 12.8, "K", 17.3, "L", 17, -1))</f>
        <v>18</v>
      </c>
      <c r="I86" s="9">
        <f t="shared" si="42"/>
        <v>749</v>
      </c>
      <c r="J86" s="10" t="s">
        <v>60</v>
      </c>
    </row>
    <row r="87" ht="14.25" customHeight="1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40"/>
        <v>68.75</v>
      </c>
      <c r="F87" s="6">
        <f t="shared" si="41"/>
        <v>7</v>
      </c>
      <c r="G87" s="7">
        <v>35.5</v>
      </c>
      <c r="H87" s="25">
        <f t="array" ref="H87">_xlfn.CEILING.MATH(SWITCH(J87, "A", 13.21, "B", 4.86, "C", 10.56, "D", 10.87, "E", 16.75, "F", 22, "G", 13.2, "H", 19.3, "I", 17.5, "J", 12.8, "K", 17.3, "L", 17, -1))</f>
        <v>18</v>
      </c>
      <c r="I87" s="9">
        <f t="shared" si="42"/>
        <v>833</v>
      </c>
      <c r="J87" s="10" t="s">
        <v>60</v>
      </c>
    </row>
    <row r="88" ht="14.25" customHeight="1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40"/>
        <v>68.75</v>
      </c>
      <c r="F88" s="6">
        <f t="shared" si="41"/>
        <v>7</v>
      </c>
      <c r="G88" s="7">
        <v>41.5</v>
      </c>
      <c r="H88" s="25">
        <f t="array" ref="H88">_xlfn.CEILING.MATH(SWITCH(J88, "A", 13.21, "B", 4.86, "C", 10.56, "D", 10.87, "E", 16.75, "F", 22, "G", 13.2, "H", 19.3, "I", 17.5, "J", 12.8, "K", 17.3, "L", 17, -1))</f>
        <v>18</v>
      </c>
      <c r="I88" s="9">
        <f t="shared" si="42"/>
        <v>917</v>
      </c>
      <c r="J88" s="10" t="s">
        <v>60</v>
      </c>
    </row>
    <row r="89" ht="14.25" customHeight="1">
      <c r="A89" s="22" t="s">
        <v>111</v>
      </c>
      <c r="B89" s="22"/>
      <c r="C89" s="22"/>
      <c r="D89" s="22"/>
      <c r="E89" s="22"/>
      <c r="F89" s="22">
        <f>SUM(F67:F88)</f>
        <v>123</v>
      </c>
      <c r="G89" s="22"/>
      <c r="H89" s="23"/>
      <c r="I89" s="22">
        <f>SUM(I67:I88)</f>
        <v>11020.02</v>
      </c>
      <c r="J89" s="24"/>
    </row>
    <row r="90" ht="14.25" customHeight="1">
      <c r="H90" s="28"/>
      <c r="J90" s="24"/>
    </row>
    <row r="91" ht="14.25" customHeight="1">
      <c r="A91" s="29" t="s">
        <v>112</v>
      </c>
      <c r="B91" s="29"/>
      <c r="C91" s="29"/>
      <c r="D91" s="29"/>
      <c r="E91" s="29"/>
      <c r="F91" s="29">
        <f>F89+F65+F45+F20</f>
        <v>537</v>
      </c>
      <c r="G91" s="29"/>
      <c r="H91" s="30"/>
      <c r="I91" s="29">
        <f>I89+I65+I45+I20</f>
        <v>57307.38</v>
      </c>
      <c r="J91" s="24"/>
    </row>
    <row r="92" ht="14.25" customHeight="1">
      <c r="H92" s="28"/>
      <c r="J92" s="24"/>
    </row>
    <row r="93" ht="14.25" customHeight="1">
      <c r="H93" s="23" t="s">
        <v>113</v>
      </c>
      <c r="I93" s="22">
        <f>ROUNDUP(ROUNDUP($I$91/305,0)*1.1,0)</f>
        <v>207</v>
      </c>
      <c r="J93" s="24"/>
    </row>
    <row r="94" ht="14.25" customHeight="1">
      <c r="H94" s="23" t="s">
        <v>114</v>
      </c>
      <c r="I94" s="22">
        <f>ROUNDUP($I$91/2000,0)</f>
        <v>29</v>
      </c>
      <c r="J94" s="24"/>
    </row>
    <row r="95" ht="14.25" customHeight="1">
      <c r="H95" s="28"/>
      <c r="J95" s="24"/>
    </row>
    <row r="96" ht="14.25" customHeight="1">
      <c r="A96" s="31" t="s">
        <v>115</v>
      </c>
      <c r="B96" s="32"/>
      <c r="C96" s="32"/>
      <c r="D96" s="32"/>
      <c r="E96" s="32"/>
      <c r="F96" s="32"/>
      <c r="G96" s="32"/>
      <c r="H96" s="33"/>
      <c r="I96" s="32"/>
      <c r="J96" s="34"/>
    </row>
    <row r="97" ht="14.25" customHeight="1">
      <c r="A97" s="35" t="s">
        <v>116</v>
      </c>
      <c r="B97" s="32"/>
      <c r="C97" s="35" t="s">
        <v>117</v>
      </c>
      <c r="D97" s="32"/>
      <c r="E97" s="32"/>
      <c r="F97" s="32"/>
      <c r="G97" s="32"/>
      <c r="H97" s="33"/>
      <c r="I97" s="32"/>
      <c r="J97" s="34"/>
    </row>
    <row r="98" ht="14.25" customHeight="1">
      <c r="A98" s="35" t="s">
        <v>118</v>
      </c>
      <c r="B98" s="35" t="s">
        <v>119</v>
      </c>
      <c r="C98" s="35">
        <v>35.0</v>
      </c>
      <c r="D98" s="32"/>
      <c r="E98" s="32"/>
      <c r="F98" s="32"/>
      <c r="G98" s="32"/>
      <c r="H98" s="33"/>
      <c r="I98" s="32"/>
      <c r="J98" s="34"/>
    </row>
    <row r="99" ht="14.25" customHeight="1">
      <c r="A99" s="35" t="s">
        <v>120</v>
      </c>
      <c r="B99" s="35" t="s">
        <v>121</v>
      </c>
      <c r="C99" s="35">
        <v>85.0</v>
      </c>
      <c r="D99" s="32"/>
      <c r="E99" s="32"/>
      <c r="F99" s="32"/>
      <c r="G99" s="32"/>
      <c r="H99" s="33"/>
      <c r="I99" s="32"/>
      <c r="J99" s="34"/>
    </row>
    <row r="100" ht="14.25" customHeight="1">
      <c r="A100" s="35" t="s">
        <v>122</v>
      </c>
      <c r="B100" s="35" t="s">
        <v>123</v>
      </c>
      <c r="C100" s="35">
        <v>35.0</v>
      </c>
      <c r="D100" s="32"/>
      <c r="E100" s="32"/>
      <c r="F100" s="32"/>
      <c r="G100" s="32"/>
      <c r="H100" s="33"/>
      <c r="I100" s="32"/>
      <c r="J100" s="34"/>
    </row>
    <row r="101" ht="14.25" customHeight="1">
      <c r="A101" s="35" t="s">
        <v>124</v>
      </c>
      <c r="B101" s="35" t="s">
        <v>125</v>
      </c>
      <c r="C101" s="35">
        <v>85.0</v>
      </c>
      <c r="D101" s="32"/>
      <c r="E101" s="32"/>
      <c r="F101" s="32"/>
      <c r="G101" s="32"/>
      <c r="H101" s="33"/>
      <c r="I101" s="32"/>
      <c r="J101" s="34"/>
    </row>
    <row r="102" ht="14.25" customHeight="1">
      <c r="A102" s="32"/>
      <c r="B102" s="32"/>
      <c r="C102" s="32"/>
      <c r="D102" s="32"/>
      <c r="E102" s="35" t="s">
        <v>126</v>
      </c>
      <c r="F102" s="32"/>
      <c r="G102" s="32"/>
      <c r="H102" s="33"/>
      <c r="I102" s="32"/>
      <c r="J102" s="34"/>
    </row>
    <row r="103" ht="14.25" customHeight="1">
      <c r="A103" s="32"/>
      <c r="B103" s="32"/>
      <c r="C103" s="32"/>
      <c r="D103" s="32"/>
      <c r="E103" s="32"/>
      <c r="F103" s="35">
        <v>240.0</v>
      </c>
      <c r="G103" s="32"/>
      <c r="H103" s="33"/>
      <c r="I103" s="32"/>
      <c r="J103" s="34"/>
    </row>
    <row r="104" ht="14.25" customHeight="1">
      <c r="A104" s="32"/>
      <c r="B104" s="32"/>
      <c r="C104" s="32"/>
      <c r="D104" s="32"/>
      <c r="E104" s="32"/>
      <c r="F104" s="32"/>
      <c r="G104" s="32"/>
      <c r="H104" s="33"/>
      <c r="I104" s="32"/>
      <c r="J104" s="34"/>
    </row>
    <row r="105" ht="14.25" customHeight="1">
      <c r="H105" s="28"/>
      <c r="J105" s="24"/>
    </row>
    <row r="106" ht="14.25" customHeight="1">
      <c r="H106" s="28"/>
      <c r="J106" s="24"/>
    </row>
    <row r="107" ht="14.25" customHeight="1">
      <c r="A107" s="36" t="s">
        <v>127</v>
      </c>
      <c r="C107" s="29">
        <f>I91/(F91*2)</f>
        <v>53.35882682</v>
      </c>
      <c r="H107" s="28"/>
      <c r="J107" s="24"/>
    </row>
    <row r="108" ht="14.25" customHeight="1">
      <c r="H108" s="28"/>
      <c r="J108" s="24"/>
    </row>
    <row r="109" ht="14.25" customHeight="1">
      <c r="A109" s="37" t="s">
        <v>128</v>
      </c>
      <c r="B109" s="38"/>
      <c r="C109" s="38"/>
      <c r="D109" s="38"/>
      <c r="E109" s="38"/>
      <c r="F109" s="38"/>
      <c r="G109" s="38"/>
      <c r="H109" s="39"/>
      <c r="J109" s="24"/>
    </row>
    <row r="110" ht="14.25" customHeight="1">
      <c r="A110" s="40" t="s">
        <v>129</v>
      </c>
      <c r="B110" s="39"/>
      <c r="H110" s="28"/>
      <c r="J110" s="24"/>
    </row>
    <row r="111" ht="14.25" customHeight="1">
      <c r="A111" s="41" t="s">
        <v>130</v>
      </c>
      <c r="B111" s="39"/>
      <c r="H111" s="28"/>
      <c r="J111" s="24"/>
    </row>
    <row r="112" ht="14.25" customHeight="1">
      <c r="A112" s="42" t="s">
        <v>131</v>
      </c>
      <c r="B112" s="38"/>
      <c r="C112" s="38"/>
      <c r="D112" s="38"/>
      <c r="E112" s="39"/>
      <c r="H112" s="28"/>
      <c r="J112" s="24"/>
    </row>
    <row r="113" ht="14.25" customHeight="1">
      <c r="H113" s="28"/>
      <c r="J113" s="24"/>
    </row>
    <row r="114" ht="14.25" customHeight="1">
      <c r="H114" s="28"/>
      <c r="J114" s="24"/>
    </row>
    <row r="115" ht="14.25" customHeight="1">
      <c r="H115" s="28"/>
      <c r="J115" s="24"/>
    </row>
    <row r="116" ht="14.25" customHeight="1">
      <c r="H116" s="28"/>
      <c r="J116" s="24"/>
    </row>
    <row r="117" ht="14.25" customHeight="1">
      <c r="H117" s="28"/>
      <c r="J117" s="24"/>
    </row>
    <row r="118" ht="14.25" customHeight="1">
      <c r="H118" s="28"/>
      <c r="J118" s="24"/>
    </row>
    <row r="119" ht="14.25" customHeight="1">
      <c r="H119" s="28"/>
      <c r="J119" s="24"/>
    </row>
    <row r="120" ht="14.25" customHeight="1">
      <c r="H120" s="28"/>
      <c r="J120" s="24"/>
    </row>
    <row r="121" ht="14.25" customHeight="1">
      <c r="H121" s="28"/>
      <c r="J121" s="24"/>
    </row>
    <row r="122" ht="14.25" customHeight="1">
      <c r="H122" s="28"/>
      <c r="J122" s="24"/>
    </row>
    <row r="123" ht="14.25" customHeight="1">
      <c r="H123" s="28"/>
      <c r="J123" s="24"/>
    </row>
    <row r="124" ht="14.25" customHeight="1">
      <c r="H124" s="28"/>
      <c r="J124" s="24"/>
    </row>
    <row r="125" ht="14.25" customHeight="1">
      <c r="H125" s="28"/>
      <c r="J125" s="24"/>
    </row>
    <row r="126" ht="14.25" customHeight="1">
      <c r="H126" s="28"/>
      <c r="J126" s="24"/>
    </row>
    <row r="127" ht="14.25" customHeight="1">
      <c r="H127" s="28"/>
      <c r="J127" s="24"/>
    </row>
    <row r="128" ht="14.25" customHeight="1">
      <c r="H128" s="28"/>
      <c r="J128" s="24"/>
    </row>
    <row r="129" ht="14.25" customHeight="1">
      <c r="H129" s="28"/>
      <c r="J129" s="24"/>
    </row>
    <row r="130" ht="14.25" customHeight="1">
      <c r="H130" s="28"/>
      <c r="J130" s="24"/>
    </row>
    <row r="131" ht="14.25" customHeight="1">
      <c r="H131" s="28"/>
      <c r="J131" s="24"/>
    </row>
    <row r="132" ht="14.25" customHeight="1">
      <c r="H132" s="28"/>
      <c r="J132" s="24"/>
    </row>
    <row r="133" ht="14.25" customHeight="1">
      <c r="H133" s="28"/>
      <c r="J133" s="24"/>
    </row>
    <row r="134" ht="14.25" customHeight="1">
      <c r="H134" s="28"/>
      <c r="J134" s="24"/>
    </row>
    <row r="135" ht="14.25" customHeight="1">
      <c r="H135" s="28"/>
      <c r="J135" s="24"/>
    </row>
    <row r="136" ht="14.25" customHeight="1">
      <c r="H136" s="28"/>
      <c r="J136" s="24"/>
    </row>
    <row r="137" ht="14.25" customHeight="1">
      <c r="H137" s="28"/>
      <c r="J137" s="24"/>
    </row>
    <row r="138" ht="14.25" customHeight="1">
      <c r="H138" s="28"/>
      <c r="J138" s="24"/>
    </row>
    <row r="139" ht="14.25" customHeight="1">
      <c r="H139" s="28"/>
      <c r="J139" s="24"/>
    </row>
    <row r="140" ht="14.25" customHeight="1">
      <c r="H140" s="28"/>
      <c r="J140" s="24"/>
    </row>
    <row r="141" ht="14.25" customHeight="1">
      <c r="H141" s="28"/>
      <c r="J141" s="24"/>
    </row>
    <row r="142" ht="14.25" customHeight="1">
      <c r="H142" s="28"/>
      <c r="J142" s="24"/>
    </row>
    <row r="143" ht="14.25" customHeight="1">
      <c r="H143" s="28"/>
      <c r="J143" s="24"/>
    </row>
    <row r="144" ht="14.25" customHeight="1">
      <c r="H144" s="28"/>
      <c r="J144" s="24"/>
    </row>
    <row r="145" ht="14.25" customHeight="1">
      <c r="H145" s="28"/>
      <c r="J145" s="24"/>
    </row>
    <row r="146" ht="14.25" customHeight="1">
      <c r="H146" s="28"/>
      <c r="J146" s="24"/>
    </row>
    <row r="147" ht="14.25" customHeight="1">
      <c r="H147" s="28"/>
      <c r="J147" s="24"/>
    </row>
    <row r="148" ht="14.25" customHeight="1">
      <c r="H148" s="28"/>
      <c r="J148" s="24"/>
    </row>
    <row r="149" ht="14.25" customHeight="1">
      <c r="H149" s="28"/>
      <c r="J149" s="24"/>
    </row>
    <row r="150" ht="14.25" customHeight="1">
      <c r="H150" s="28"/>
      <c r="J150" s="24"/>
    </row>
    <row r="151" ht="14.25" customHeight="1">
      <c r="H151" s="28"/>
      <c r="J151" s="24"/>
    </row>
    <row r="152" ht="14.25" customHeight="1">
      <c r="H152" s="28"/>
      <c r="J152" s="24"/>
    </row>
    <row r="153" ht="14.25" customHeight="1">
      <c r="H153" s="28"/>
      <c r="J153" s="24"/>
    </row>
    <row r="154" ht="14.25" customHeight="1">
      <c r="H154" s="28"/>
      <c r="J154" s="24"/>
    </row>
    <row r="155" ht="14.25" customHeight="1">
      <c r="H155" s="28"/>
      <c r="J155" s="24"/>
    </row>
    <row r="156" ht="14.25" customHeight="1">
      <c r="H156" s="28"/>
      <c r="J156" s="24"/>
    </row>
    <row r="157" ht="14.25" customHeight="1">
      <c r="H157" s="28"/>
      <c r="J157" s="24"/>
    </row>
    <row r="158" ht="14.25" customHeight="1">
      <c r="H158" s="28"/>
      <c r="J158" s="24"/>
    </row>
    <row r="159" ht="14.25" customHeight="1">
      <c r="H159" s="28"/>
      <c r="J159" s="24"/>
    </row>
    <row r="160" ht="14.25" customHeight="1">
      <c r="H160" s="28"/>
      <c r="J160" s="24"/>
    </row>
    <row r="161" ht="14.25" customHeight="1">
      <c r="H161" s="28"/>
      <c r="J161" s="24"/>
    </row>
    <row r="162" ht="14.25" customHeight="1">
      <c r="H162" s="28"/>
      <c r="J162" s="24"/>
    </row>
    <row r="163" ht="14.25" customHeight="1">
      <c r="H163" s="28"/>
      <c r="J163" s="24"/>
    </row>
    <row r="164" ht="14.25" customHeight="1">
      <c r="H164" s="28"/>
      <c r="J164" s="24"/>
    </row>
    <row r="165" ht="14.25" customHeight="1">
      <c r="H165" s="28"/>
      <c r="J165" s="24"/>
    </row>
    <row r="166" ht="14.25" customHeight="1">
      <c r="H166" s="28"/>
      <c r="J166" s="24"/>
    </row>
    <row r="167" ht="14.25" customHeight="1">
      <c r="H167" s="28"/>
      <c r="J167" s="24"/>
    </row>
    <row r="168" ht="14.25" customHeight="1">
      <c r="H168" s="28"/>
      <c r="J168" s="24"/>
    </row>
    <row r="169" ht="14.25" customHeight="1">
      <c r="H169" s="28"/>
      <c r="J169" s="24"/>
    </row>
    <row r="170" ht="14.25" customHeight="1">
      <c r="H170" s="28"/>
      <c r="J170" s="24"/>
    </row>
    <row r="171" ht="14.25" customHeight="1">
      <c r="H171" s="28"/>
      <c r="J171" s="24"/>
    </row>
    <row r="172" ht="14.25" customHeight="1">
      <c r="H172" s="28"/>
      <c r="J172" s="24"/>
    </row>
    <row r="173" ht="14.25" customHeight="1">
      <c r="H173" s="28"/>
      <c r="J173" s="24"/>
    </row>
    <row r="174" ht="14.25" customHeight="1">
      <c r="H174" s="28"/>
      <c r="J174" s="24"/>
    </row>
    <row r="175" ht="14.25" customHeight="1">
      <c r="H175" s="28"/>
      <c r="J175" s="24"/>
    </row>
    <row r="176" ht="14.25" customHeight="1">
      <c r="H176" s="28"/>
      <c r="J176" s="24"/>
    </row>
    <row r="177" ht="14.25" customHeight="1">
      <c r="H177" s="28"/>
      <c r="J177" s="24"/>
    </row>
    <row r="178" ht="14.25" customHeight="1">
      <c r="H178" s="28"/>
      <c r="J178" s="24"/>
    </row>
    <row r="179" ht="14.25" customHeight="1">
      <c r="H179" s="28"/>
      <c r="J179" s="24"/>
    </row>
    <row r="180" ht="14.25" customHeight="1">
      <c r="H180" s="28"/>
      <c r="J180" s="24"/>
    </row>
    <row r="181" ht="14.25" customHeight="1">
      <c r="H181" s="28"/>
      <c r="J181" s="24"/>
    </row>
    <row r="182" ht="14.25" customHeight="1">
      <c r="H182" s="28"/>
      <c r="J182" s="24"/>
    </row>
    <row r="183" ht="14.25" customHeight="1">
      <c r="H183" s="28"/>
      <c r="J183" s="24"/>
    </row>
    <row r="184" ht="14.25" customHeight="1">
      <c r="H184" s="28"/>
      <c r="J184" s="24"/>
    </row>
    <row r="185" ht="14.25" customHeight="1">
      <c r="H185" s="28"/>
      <c r="J185" s="24"/>
    </row>
    <row r="186" ht="14.25" customHeight="1">
      <c r="H186" s="28"/>
      <c r="J186" s="24"/>
    </row>
    <row r="187" ht="14.25" customHeight="1">
      <c r="H187" s="28"/>
      <c r="J187" s="24"/>
    </row>
    <row r="188" ht="14.25" customHeight="1">
      <c r="H188" s="28"/>
      <c r="J188" s="24"/>
    </row>
    <row r="189" ht="14.25" customHeight="1">
      <c r="H189" s="28"/>
      <c r="J189" s="24"/>
    </row>
    <row r="190" ht="14.25" customHeight="1">
      <c r="H190" s="28"/>
      <c r="J190" s="24"/>
    </row>
    <row r="191" ht="14.25" customHeight="1">
      <c r="H191" s="28"/>
      <c r="J191" s="24"/>
    </row>
    <row r="192" ht="14.25" customHeight="1">
      <c r="H192" s="28"/>
      <c r="J192" s="24"/>
    </row>
    <row r="193" ht="14.25" customHeight="1">
      <c r="H193" s="28"/>
      <c r="J193" s="24"/>
    </row>
    <row r="194" ht="14.25" customHeight="1">
      <c r="H194" s="28"/>
      <c r="J194" s="24"/>
    </row>
    <row r="195" ht="14.25" customHeight="1">
      <c r="H195" s="28"/>
      <c r="J195" s="24"/>
    </row>
    <row r="196" ht="14.25" customHeight="1">
      <c r="H196" s="28"/>
      <c r="J196" s="24"/>
    </row>
    <row r="197" ht="14.25" customHeight="1">
      <c r="H197" s="28"/>
      <c r="J197" s="24"/>
    </row>
    <row r="198" ht="14.25" customHeight="1">
      <c r="H198" s="28"/>
      <c r="J198" s="24"/>
    </row>
    <row r="199" ht="14.25" customHeight="1">
      <c r="H199" s="28"/>
      <c r="J199" s="24"/>
    </row>
    <row r="200" ht="14.25" customHeight="1">
      <c r="H200" s="28"/>
      <c r="J200" s="24"/>
    </row>
    <row r="201" ht="14.25" customHeight="1">
      <c r="H201" s="28"/>
      <c r="J201" s="24"/>
    </row>
    <row r="202" ht="14.25" customHeight="1">
      <c r="H202" s="28"/>
      <c r="J202" s="24"/>
    </row>
    <row r="203" ht="14.25" customHeight="1">
      <c r="H203" s="28"/>
      <c r="J203" s="24"/>
    </row>
    <row r="204" ht="14.25" customHeight="1">
      <c r="H204" s="28"/>
      <c r="J204" s="24"/>
    </row>
    <row r="205" ht="14.25" customHeight="1">
      <c r="H205" s="28"/>
      <c r="J205" s="24"/>
    </row>
    <row r="206" ht="14.25" customHeight="1">
      <c r="H206" s="28"/>
      <c r="J206" s="24"/>
    </row>
    <row r="207" ht="14.25" customHeight="1">
      <c r="H207" s="28"/>
      <c r="J207" s="24"/>
    </row>
    <row r="208" ht="14.25" customHeight="1">
      <c r="H208" s="28"/>
      <c r="J208" s="24"/>
    </row>
    <row r="209" ht="14.25" customHeight="1">
      <c r="H209" s="28"/>
      <c r="J209" s="24"/>
    </row>
    <row r="210" ht="14.25" customHeight="1">
      <c r="H210" s="28"/>
      <c r="J210" s="24"/>
    </row>
    <row r="211" ht="14.25" customHeight="1">
      <c r="H211" s="28"/>
      <c r="J211" s="24"/>
    </row>
    <row r="212" ht="14.25" customHeight="1">
      <c r="H212" s="28"/>
      <c r="J212" s="24"/>
    </row>
    <row r="213" ht="14.25" customHeight="1">
      <c r="H213" s="28"/>
      <c r="J213" s="24"/>
    </row>
    <row r="214" ht="14.25" customHeight="1">
      <c r="H214" s="28"/>
      <c r="J214" s="24"/>
    </row>
    <row r="215" ht="14.25" customHeight="1">
      <c r="H215" s="28"/>
      <c r="J215" s="24"/>
    </row>
    <row r="216" ht="14.25" customHeight="1">
      <c r="H216" s="28"/>
      <c r="J216" s="24"/>
    </row>
    <row r="217" ht="14.25" customHeight="1">
      <c r="H217" s="28"/>
      <c r="J217" s="24"/>
    </row>
    <row r="218" ht="14.25" customHeight="1">
      <c r="H218" s="28"/>
      <c r="J218" s="24"/>
    </row>
    <row r="219" ht="14.25" customHeight="1">
      <c r="H219" s="28"/>
      <c r="J219" s="24"/>
    </row>
    <row r="220" ht="14.25" customHeight="1">
      <c r="H220" s="28"/>
      <c r="J220" s="24"/>
    </row>
    <row r="221" ht="14.25" customHeight="1">
      <c r="H221" s="28"/>
      <c r="J221" s="24"/>
    </row>
    <row r="222" ht="14.25" customHeight="1">
      <c r="H222" s="28"/>
      <c r="J222" s="24"/>
    </row>
    <row r="223" ht="14.25" customHeight="1">
      <c r="H223" s="28"/>
      <c r="J223" s="24"/>
    </row>
    <row r="224" ht="14.25" customHeight="1">
      <c r="H224" s="28"/>
      <c r="J224" s="24"/>
    </row>
    <row r="225" ht="14.25" customHeight="1">
      <c r="H225" s="28"/>
      <c r="J225" s="24"/>
    </row>
    <row r="226" ht="14.25" customHeight="1">
      <c r="H226" s="28"/>
      <c r="J226" s="24"/>
    </row>
    <row r="227" ht="14.25" customHeight="1">
      <c r="H227" s="28"/>
      <c r="J227" s="24"/>
    </row>
    <row r="228" ht="14.25" customHeight="1">
      <c r="H228" s="28"/>
      <c r="J228" s="24"/>
    </row>
    <row r="229" ht="14.25" customHeight="1">
      <c r="H229" s="28"/>
      <c r="J229" s="24"/>
    </row>
    <row r="230" ht="14.25" customHeight="1">
      <c r="H230" s="28"/>
      <c r="J230" s="24"/>
    </row>
    <row r="231" ht="14.25" customHeight="1">
      <c r="H231" s="28"/>
      <c r="J231" s="24"/>
    </row>
    <row r="232" ht="14.25" customHeight="1">
      <c r="H232" s="28"/>
      <c r="J232" s="24"/>
    </row>
    <row r="233" ht="14.25" customHeight="1">
      <c r="H233" s="28"/>
      <c r="J233" s="24"/>
    </row>
    <row r="234" ht="14.25" customHeight="1">
      <c r="H234" s="28"/>
      <c r="J234" s="24"/>
    </row>
    <row r="235" ht="14.25" customHeight="1">
      <c r="H235" s="28"/>
      <c r="J235" s="24"/>
    </row>
    <row r="236" ht="14.25" customHeight="1">
      <c r="H236" s="28"/>
      <c r="J236" s="24"/>
    </row>
    <row r="237" ht="14.25" customHeight="1">
      <c r="H237" s="28"/>
      <c r="J237" s="24"/>
    </row>
    <row r="238" ht="14.25" customHeight="1">
      <c r="H238" s="28"/>
      <c r="J238" s="24"/>
    </row>
    <row r="239" ht="14.25" customHeight="1">
      <c r="H239" s="28"/>
      <c r="J239" s="24"/>
    </row>
    <row r="240" ht="14.25" customHeight="1">
      <c r="H240" s="28"/>
      <c r="J240" s="24"/>
    </row>
    <row r="241" ht="14.25" customHeight="1">
      <c r="H241" s="28"/>
      <c r="J241" s="24"/>
    </row>
    <row r="242" ht="14.25" customHeight="1">
      <c r="H242" s="28"/>
      <c r="J242" s="24"/>
    </row>
    <row r="243" ht="14.25" customHeight="1">
      <c r="H243" s="28"/>
      <c r="J243" s="24"/>
    </row>
    <row r="244" ht="14.25" customHeight="1">
      <c r="H244" s="28"/>
      <c r="J244" s="24"/>
    </row>
    <row r="245" ht="14.25" customHeight="1">
      <c r="H245" s="28"/>
      <c r="J245" s="24"/>
    </row>
    <row r="246" ht="14.25" customHeight="1">
      <c r="H246" s="28"/>
      <c r="J246" s="24"/>
    </row>
    <row r="247" ht="14.25" customHeight="1">
      <c r="H247" s="28"/>
      <c r="J247" s="24"/>
    </row>
    <row r="248" ht="14.25" customHeight="1">
      <c r="H248" s="28"/>
      <c r="J248" s="24"/>
    </row>
    <row r="249" ht="14.25" customHeight="1">
      <c r="H249" s="28"/>
      <c r="J249" s="24"/>
    </row>
    <row r="250" ht="14.25" customHeight="1">
      <c r="H250" s="28"/>
      <c r="J250" s="24"/>
    </row>
    <row r="251" ht="14.25" customHeight="1">
      <c r="H251" s="28"/>
      <c r="J251" s="24"/>
    </row>
    <row r="252" ht="14.25" customHeight="1">
      <c r="H252" s="28"/>
      <c r="J252" s="24"/>
    </row>
    <row r="253" ht="14.25" customHeight="1">
      <c r="H253" s="28"/>
      <c r="J253" s="24"/>
    </row>
    <row r="254" ht="14.25" customHeight="1">
      <c r="H254" s="28"/>
      <c r="J254" s="24"/>
    </row>
    <row r="255" ht="14.25" customHeight="1">
      <c r="H255" s="28"/>
      <c r="J255" s="24"/>
    </row>
    <row r="256" ht="14.25" customHeight="1">
      <c r="H256" s="28"/>
      <c r="J256" s="24"/>
    </row>
    <row r="257" ht="14.25" customHeight="1">
      <c r="H257" s="28"/>
      <c r="J257" s="24"/>
    </row>
    <row r="258" ht="14.25" customHeight="1">
      <c r="H258" s="28"/>
      <c r="J258" s="24"/>
    </row>
    <row r="259" ht="14.25" customHeight="1">
      <c r="H259" s="28"/>
      <c r="J259" s="24"/>
    </row>
    <row r="260" ht="14.25" customHeight="1">
      <c r="H260" s="28"/>
      <c r="J260" s="24"/>
    </row>
    <row r="261" ht="14.25" customHeight="1">
      <c r="H261" s="28"/>
      <c r="J261" s="24"/>
    </row>
    <row r="262" ht="14.25" customHeight="1">
      <c r="H262" s="28"/>
      <c r="J262" s="24"/>
    </row>
    <row r="263" ht="14.25" customHeight="1">
      <c r="H263" s="28"/>
      <c r="J263" s="24"/>
    </row>
    <row r="264" ht="14.25" customHeight="1">
      <c r="H264" s="28"/>
      <c r="J264" s="24"/>
    </row>
    <row r="265" ht="14.25" customHeight="1">
      <c r="H265" s="28"/>
      <c r="J265" s="24"/>
    </row>
    <row r="266" ht="14.25" customHeight="1">
      <c r="H266" s="28"/>
      <c r="J266" s="24"/>
    </row>
    <row r="267" ht="14.25" customHeight="1">
      <c r="H267" s="28"/>
      <c r="J267" s="24"/>
    </row>
    <row r="268" ht="14.25" customHeight="1">
      <c r="H268" s="28"/>
      <c r="J268" s="24"/>
    </row>
    <row r="269" ht="14.25" customHeight="1">
      <c r="H269" s="28"/>
      <c r="J269" s="24"/>
    </row>
    <row r="270" ht="14.25" customHeight="1">
      <c r="H270" s="28"/>
      <c r="J270" s="24"/>
    </row>
    <row r="271" ht="14.25" customHeight="1">
      <c r="H271" s="28"/>
      <c r="J271" s="24"/>
    </row>
    <row r="272" ht="14.25" customHeight="1">
      <c r="H272" s="28"/>
      <c r="J272" s="24"/>
    </row>
    <row r="273" ht="14.25" customHeight="1">
      <c r="H273" s="28"/>
      <c r="J273" s="24"/>
    </row>
    <row r="274" ht="14.25" customHeight="1">
      <c r="H274" s="28"/>
      <c r="J274" s="24"/>
    </row>
    <row r="275" ht="14.25" customHeight="1">
      <c r="H275" s="28"/>
      <c r="J275" s="24"/>
    </row>
    <row r="276" ht="14.25" customHeight="1">
      <c r="H276" s="28"/>
      <c r="J276" s="24"/>
    </row>
    <row r="277" ht="14.25" customHeight="1">
      <c r="H277" s="28"/>
      <c r="J277" s="24"/>
    </row>
    <row r="278" ht="14.25" customHeight="1">
      <c r="H278" s="28"/>
      <c r="J278" s="24"/>
    </row>
    <row r="279" ht="14.25" customHeight="1">
      <c r="H279" s="28"/>
      <c r="J279" s="24"/>
    </row>
    <row r="280" ht="14.25" customHeight="1">
      <c r="H280" s="28"/>
      <c r="J280" s="24"/>
    </row>
    <row r="281" ht="14.25" customHeight="1">
      <c r="H281" s="28"/>
      <c r="J281" s="24"/>
    </row>
    <row r="282" ht="14.25" customHeight="1">
      <c r="H282" s="28"/>
      <c r="J282" s="24"/>
    </row>
    <row r="283" ht="14.25" customHeight="1">
      <c r="H283" s="28"/>
      <c r="J283" s="24"/>
    </row>
    <row r="284" ht="14.25" customHeight="1">
      <c r="H284" s="28"/>
      <c r="J284" s="24"/>
    </row>
    <row r="285" ht="14.25" customHeight="1">
      <c r="H285" s="28"/>
      <c r="J285" s="24"/>
    </row>
    <row r="286" ht="14.25" customHeight="1">
      <c r="H286" s="28"/>
      <c r="J286" s="24"/>
    </row>
    <row r="287" ht="14.25" customHeight="1">
      <c r="H287" s="28"/>
      <c r="J287" s="24"/>
    </row>
    <row r="288" ht="14.25" customHeight="1">
      <c r="H288" s="28"/>
      <c r="J288" s="24"/>
    </row>
    <row r="289" ht="14.25" customHeight="1">
      <c r="H289" s="28"/>
      <c r="J289" s="24"/>
    </row>
    <row r="290" ht="14.25" customHeight="1">
      <c r="H290" s="28"/>
      <c r="J290" s="24"/>
    </row>
    <row r="291" ht="14.25" customHeight="1">
      <c r="H291" s="28"/>
      <c r="J291" s="24"/>
    </row>
    <row r="292" ht="14.25" customHeight="1">
      <c r="H292" s="28"/>
      <c r="J292" s="24"/>
    </row>
    <row r="293" ht="14.25" customHeight="1">
      <c r="H293" s="28"/>
      <c r="J293" s="24"/>
    </row>
    <row r="294" ht="14.25" customHeight="1">
      <c r="H294" s="28"/>
      <c r="J294" s="24"/>
    </row>
    <row r="295" ht="14.25" customHeight="1">
      <c r="H295" s="28"/>
      <c r="J295" s="24"/>
    </row>
    <row r="296" ht="14.25" customHeight="1">
      <c r="H296" s="28"/>
      <c r="J296" s="24"/>
    </row>
    <row r="297" ht="14.25" customHeight="1">
      <c r="H297" s="28"/>
      <c r="J297" s="24"/>
    </row>
    <row r="298" ht="14.25" customHeight="1">
      <c r="H298" s="28"/>
      <c r="J298" s="24"/>
    </row>
    <row r="299" ht="14.25" customHeight="1">
      <c r="H299" s="28"/>
      <c r="J299" s="24"/>
    </row>
    <row r="300" ht="14.25" customHeight="1">
      <c r="H300" s="28"/>
      <c r="J300" s="24"/>
    </row>
    <row r="301" ht="14.25" customHeight="1">
      <c r="H301" s="28"/>
      <c r="J301" s="24"/>
    </row>
    <row r="302" ht="14.25" customHeight="1">
      <c r="H302" s="28"/>
      <c r="J302" s="24"/>
    </row>
    <row r="303" ht="14.25" customHeight="1">
      <c r="H303" s="28"/>
      <c r="J303" s="24"/>
    </row>
    <row r="304" ht="14.25" customHeight="1">
      <c r="H304" s="28"/>
      <c r="J304" s="24"/>
    </row>
    <row r="305" ht="14.25" customHeight="1">
      <c r="H305" s="28"/>
      <c r="J305" s="24"/>
    </row>
    <row r="306" ht="14.25" customHeight="1">
      <c r="H306" s="28"/>
      <c r="J306" s="24"/>
    </row>
    <row r="307" ht="14.25" customHeight="1">
      <c r="H307" s="28"/>
      <c r="J307" s="24"/>
    </row>
    <row r="308" ht="14.25" customHeight="1">
      <c r="H308" s="28"/>
      <c r="J308" s="24"/>
    </row>
    <row r="309" ht="14.25" customHeight="1">
      <c r="H309" s="28"/>
      <c r="J309" s="24"/>
    </row>
    <row r="310" ht="14.25" customHeight="1">
      <c r="H310" s="28"/>
      <c r="J310" s="24"/>
    </row>
    <row r="311" ht="14.25" customHeight="1">
      <c r="H311" s="28"/>
      <c r="J311" s="24"/>
    </row>
    <row r="312" ht="14.25" customHeight="1">
      <c r="H312" s="28"/>
      <c r="J312" s="24"/>
    </row>
    <row r="313" ht="14.25" customHeight="1">
      <c r="H313" s="28"/>
      <c r="J313" s="24"/>
    </row>
    <row r="314" ht="14.25" customHeight="1">
      <c r="H314" s="28"/>
      <c r="J314" s="24"/>
    </row>
    <row r="315" ht="14.25" customHeight="1">
      <c r="H315" s="28"/>
      <c r="J315" s="24"/>
    </row>
    <row r="316" ht="14.25" customHeight="1">
      <c r="H316" s="28"/>
      <c r="J316" s="24"/>
    </row>
    <row r="317" ht="14.25" customHeight="1">
      <c r="H317" s="28"/>
      <c r="J317" s="24"/>
    </row>
    <row r="318" ht="14.25" customHeight="1">
      <c r="H318" s="28"/>
      <c r="J318" s="24"/>
    </row>
    <row r="319" ht="14.25" customHeight="1">
      <c r="H319" s="28"/>
      <c r="J319" s="24"/>
    </row>
    <row r="320" ht="14.25" customHeight="1">
      <c r="H320" s="28"/>
      <c r="J320" s="24"/>
    </row>
    <row r="321" ht="14.25" customHeight="1">
      <c r="H321" s="28"/>
      <c r="J321" s="24"/>
    </row>
    <row r="322" ht="14.25" customHeight="1">
      <c r="H322" s="28"/>
      <c r="J322" s="24"/>
    </row>
    <row r="323" ht="14.25" customHeight="1">
      <c r="H323" s="28"/>
      <c r="J323" s="24"/>
    </row>
    <row r="324" ht="14.25" customHeight="1">
      <c r="H324" s="28"/>
      <c r="J324" s="24"/>
    </row>
    <row r="325" ht="14.25" customHeight="1">
      <c r="H325" s="28"/>
      <c r="J325" s="24"/>
    </row>
    <row r="326" ht="14.25" customHeight="1">
      <c r="H326" s="28"/>
      <c r="J326" s="24"/>
    </row>
    <row r="327" ht="14.25" customHeight="1">
      <c r="H327" s="28"/>
      <c r="J327" s="24"/>
    </row>
    <row r="328" ht="14.25" customHeight="1">
      <c r="H328" s="28"/>
      <c r="J328" s="24"/>
    </row>
    <row r="329" ht="14.25" customHeight="1">
      <c r="H329" s="28"/>
      <c r="J329" s="24"/>
    </row>
    <row r="330" ht="14.25" customHeight="1">
      <c r="H330" s="28"/>
      <c r="J330" s="24"/>
    </row>
    <row r="331" ht="14.25" customHeight="1">
      <c r="H331" s="28"/>
      <c r="J331" s="24"/>
    </row>
    <row r="332" ht="14.25" customHeight="1">
      <c r="H332" s="28"/>
      <c r="J332" s="24"/>
    </row>
    <row r="333" ht="14.25" customHeight="1">
      <c r="H333" s="28"/>
      <c r="J333" s="24"/>
    </row>
    <row r="334" ht="14.25" customHeight="1">
      <c r="H334" s="28"/>
      <c r="J334" s="24"/>
    </row>
    <row r="335" ht="14.25" customHeight="1">
      <c r="H335" s="28"/>
      <c r="J335" s="24"/>
    </row>
    <row r="336" ht="14.25" customHeight="1">
      <c r="H336" s="28"/>
      <c r="J336" s="24"/>
    </row>
    <row r="337" ht="14.25" customHeight="1">
      <c r="H337" s="28"/>
      <c r="J337" s="24"/>
    </row>
    <row r="338" ht="14.25" customHeight="1">
      <c r="H338" s="28"/>
      <c r="J338" s="24"/>
    </row>
    <row r="339" ht="14.25" customHeight="1">
      <c r="H339" s="28"/>
      <c r="J339" s="24"/>
    </row>
    <row r="340" ht="14.25" customHeight="1">
      <c r="H340" s="28"/>
      <c r="J340" s="24"/>
    </row>
    <row r="341" ht="14.25" customHeight="1">
      <c r="H341" s="28"/>
      <c r="J341" s="24"/>
    </row>
    <row r="342" ht="14.25" customHeight="1">
      <c r="H342" s="28"/>
      <c r="J342" s="24"/>
    </row>
    <row r="343" ht="14.25" customHeight="1">
      <c r="H343" s="28"/>
      <c r="J343" s="24"/>
    </row>
    <row r="344" ht="14.25" customHeight="1">
      <c r="H344" s="28"/>
      <c r="J344" s="24"/>
    </row>
    <row r="345" ht="14.25" customHeight="1">
      <c r="H345" s="28"/>
      <c r="J345" s="24"/>
    </row>
    <row r="346" ht="14.25" customHeight="1">
      <c r="H346" s="28"/>
      <c r="J346" s="24"/>
    </row>
    <row r="347" ht="14.25" customHeight="1">
      <c r="H347" s="28"/>
      <c r="J347" s="24"/>
    </row>
    <row r="348" ht="14.25" customHeight="1">
      <c r="H348" s="28"/>
      <c r="J348" s="24"/>
    </row>
    <row r="349" ht="14.25" customHeight="1">
      <c r="H349" s="28"/>
      <c r="J349" s="24"/>
    </row>
    <row r="350" ht="14.25" customHeight="1">
      <c r="H350" s="28"/>
      <c r="J350" s="24"/>
    </row>
    <row r="351" ht="14.25" customHeight="1">
      <c r="H351" s="28"/>
      <c r="J351" s="24"/>
    </row>
    <row r="352" ht="14.25" customHeight="1">
      <c r="H352" s="28"/>
      <c r="J352" s="24"/>
    </row>
    <row r="353" ht="14.25" customHeight="1">
      <c r="H353" s="28"/>
      <c r="J353" s="24"/>
    </row>
    <row r="354" ht="14.25" customHeight="1">
      <c r="H354" s="28"/>
      <c r="J354" s="24"/>
    </row>
    <row r="355" ht="14.25" customHeight="1">
      <c r="H355" s="28"/>
      <c r="J355" s="24"/>
    </row>
    <row r="356" ht="14.25" customHeight="1">
      <c r="H356" s="28"/>
      <c r="J356" s="24"/>
    </row>
    <row r="357" ht="14.25" customHeight="1">
      <c r="H357" s="28"/>
      <c r="J357" s="24"/>
    </row>
    <row r="358" ht="14.25" customHeight="1">
      <c r="H358" s="28"/>
      <c r="J358" s="24"/>
    </row>
    <row r="359" ht="14.25" customHeight="1">
      <c r="H359" s="28"/>
      <c r="J359" s="24"/>
    </row>
    <row r="360" ht="14.25" customHeight="1">
      <c r="H360" s="28"/>
      <c r="J360" s="24"/>
    </row>
    <row r="361" ht="14.25" customHeight="1">
      <c r="H361" s="28"/>
      <c r="J361" s="24"/>
    </row>
    <row r="362" ht="14.25" customHeight="1">
      <c r="H362" s="28"/>
      <c r="J362" s="24"/>
    </row>
    <row r="363" ht="14.25" customHeight="1">
      <c r="H363" s="28"/>
      <c r="J363" s="24"/>
    </row>
    <row r="364" ht="14.25" customHeight="1">
      <c r="H364" s="28"/>
      <c r="J364" s="24"/>
    </row>
    <row r="365" ht="14.25" customHeight="1">
      <c r="H365" s="28"/>
      <c r="J365" s="24"/>
    </row>
    <row r="366" ht="14.25" customHeight="1">
      <c r="H366" s="28"/>
      <c r="J366" s="24"/>
    </row>
    <row r="367" ht="14.25" customHeight="1">
      <c r="H367" s="28"/>
      <c r="J367" s="24"/>
    </row>
    <row r="368" ht="14.25" customHeight="1">
      <c r="H368" s="28"/>
      <c r="J368" s="24"/>
    </row>
    <row r="369" ht="14.25" customHeight="1">
      <c r="H369" s="28"/>
      <c r="J369" s="24"/>
    </row>
    <row r="370" ht="14.25" customHeight="1">
      <c r="H370" s="28"/>
      <c r="J370" s="24"/>
    </row>
    <row r="371" ht="14.25" customHeight="1">
      <c r="H371" s="28"/>
      <c r="J371" s="24"/>
    </row>
    <row r="372" ht="14.25" customHeight="1">
      <c r="H372" s="28"/>
      <c r="J372" s="24"/>
    </row>
    <row r="373" ht="14.25" customHeight="1">
      <c r="H373" s="28"/>
      <c r="J373" s="24"/>
    </row>
    <row r="374" ht="14.25" customHeight="1">
      <c r="H374" s="28"/>
      <c r="J374" s="24"/>
    </row>
    <row r="375" ht="14.25" customHeight="1">
      <c r="H375" s="28"/>
      <c r="J375" s="24"/>
    </row>
    <row r="376" ht="14.25" customHeight="1">
      <c r="H376" s="28"/>
      <c r="J376" s="24"/>
    </row>
    <row r="377" ht="14.25" customHeight="1">
      <c r="H377" s="28"/>
      <c r="J377" s="24"/>
    </row>
    <row r="378" ht="14.25" customHeight="1">
      <c r="H378" s="28"/>
      <c r="J378" s="24"/>
    </row>
    <row r="379" ht="14.25" customHeight="1">
      <c r="H379" s="28"/>
      <c r="J379" s="24"/>
    </row>
    <row r="380" ht="14.25" customHeight="1">
      <c r="H380" s="28"/>
      <c r="J380" s="24"/>
    </row>
    <row r="381" ht="14.25" customHeight="1">
      <c r="H381" s="28"/>
      <c r="J381" s="24"/>
    </row>
    <row r="382" ht="14.25" customHeight="1">
      <c r="H382" s="28"/>
      <c r="J382" s="24"/>
    </row>
    <row r="383" ht="14.25" customHeight="1">
      <c r="H383" s="28"/>
      <c r="J383" s="24"/>
    </row>
    <row r="384" ht="14.25" customHeight="1">
      <c r="H384" s="28"/>
      <c r="J384" s="24"/>
    </row>
    <row r="385" ht="14.25" customHeight="1">
      <c r="H385" s="28"/>
      <c r="J385" s="24"/>
    </row>
    <row r="386" ht="14.25" customHeight="1">
      <c r="H386" s="28"/>
      <c r="J386" s="24"/>
    </row>
    <row r="387" ht="14.25" customHeight="1">
      <c r="H387" s="28"/>
      <c r="J387" s="24"/>
    </row>
    <row r="388" ht="14.25" customHeight="1">
      <c r="H388" s="28"/>
      <c r="J388" s="24"/>
    </row>
    <row r="389" ht="14.25" customHeight="1">
      <c r="H389" s="28"/>
      <c r="J389" s="24"/>
    </row>
    <row r="390" ht="14.25" customHeight="1">
      <c r="H390" s="28"/>
      <c r="J390" s="24"/>
    </row>
    <row r="391" ht="14.25" customHeight="1">
      <c r="H391" s="28"/>
      <c r="J391" s="24"/>
    </row>
    <row r="392" ht="14.25" customHeight="1">
      <c r="H392" s="28"/>
      <c r="J392" s="24"/>
    </row>
    <row r="393" ht="14.25" customHeight="1">
      <c r="H393" s="28"/>
      <c r="J393" s="24"/>
    </row>
    <row r="394" ht="14.25" customHeight="1">
      <c r="H394" s="28"/>
      <c r="J394" s="24"/>
    </row>
    <row r="395" ht="14.25" customHeight="1">
      <c r="H395" s="28"/>
      <c r="J395" s="24"/>
    </row>
    <row r="396" ht="14.25" customHeight="1">
      <c r="H396" s="28"/>
      <c r="J396" s="24"/>
    </row>
    <row r="397" ht="14.25" customHeight="1">
      <c r="H397" s="28"/>
      <c r="J397" s="24"/>
    </row>
    <row r="398" ht="14.25" customHeight="1">
      <c r="H398" s="28"/>
      <c r="J398" s="24"/>
    </row>
    <row r="399" ht="14.25" customHeight="1">
      <c r="H399" s="28"/>
      <c r="J399" s="24"/>
    </row>
    <row r="400" ht="14.25" customHeight="1">
      <c r="H400" s="28"/>
      <c r="J400" s="24"/>
    </row>
    <row r="401" ht="14.25" customHeight="1">
      <c r="H401" s="28"/>
      <c r="J401" s="24"/>
    </row>
    <row r="402" ht="14.25" customHeight="1">
      <c r="H402" s="28"/>
      <c r="J402" s="24"/>
    </row>
    <row r="403" ht="14.25" customHeight="1">
      <c r="H403" s="28"/>
      <c r="J403" s="24"/>
    </row>
    <row r="404" ht="14.25" customHeight="1">
      <c r="H404" s="28"/>
      <c r="J404" s="24"/>
    </row>
    <row r="405" ht="14.25" customHeight="1">
      <c r="H405" s="28"/>
      <c r="J405" s="24"/>
    </row>
    <row r="406" ht="14.25" customHeight="1">
      <c r="H406" s="28"/>
      <c r="J406" s="24"/>
    </row>
    <row r="407" ht="14.25" customHeight="1">
      <c r="H407" s="28"/>
      <c r="J407" s="24"/>
    </row>
    <row r="408" ht="14.25" customHeight="1">
      <c r="H408" s="28"/>
      <c r="J408" s="24"/>
    </row>
    <row r="409" ht="14.25" customHeight="1">
      <c r="H409" s="28"/>
      <c r="J409" s="24"/>
    </row>
    <row r="410" ht="14.25" customHeight="1">
      <c r="H410" s="28"/>
      <c r="J410" s="24"/>
    </row>
    <row r="411" ht="14.25" customHeight="1">
      <c r="H411" s="28"/>
      <c r="J411" s="24"/>
    </row>
    <row r="412" ht="14.25" customHeight="1">
      <c r="H412" s="28"/>
      <c r="J412" s="24"/>
    </row>
    <row r="413" ht="14.25" customHeight="1">
      <c r="H413" s="28"/>
      <c r="J413" s="24"/>
    </row>
    <row r="414" ht="14.25" customHeight="1">
      <c r="H414" s="28"/>
      <c r="J414" s="24"/>
    </row>
    <row r="415" ht="14.25" customHeight="1">
      <c r="H415" s="28"/>
      <c r="J415" s="24"/>
    </row>
    <row r="416" ht="14.25" customHeight="1">
      <c r="H416" s="28"/>
      <c r="J416" s="24"/>
    </row>
    <row r="417" ht="14.25" customHeight="1">
      <c r="H417" s="28"/>
      <c r="J417" s="24"/>
    </row>
    <row r="418" ht="14.25" customHeight="1">
      <c r="H418" s="28"/>
      <c r="J418" s="24"/>
    </row>
    <row r="419" ht="14.25" customHeight="1">
      <c r="H419" s="28"/>
      <c r="J419" s="24"/>
    </row>
    <row r="420" ht="14.25" customHeight="1">
      <c r="H420" s="28"/>
      <c r="J420" s="24"/>
    </row>
    <row r="421" ht="14.25" customHeight="1">
      <c r="H421" s="28"/>
      <c r="J421" s="24"/>
    </row>
    <row r="422" ht="14.25" customHeight="1">
      <c r="H422" s="28"/>
      <c r="J422" s="24"/>
    </row>
    <row r="423" ht="14.25" customHeight="1">
      <c r="H423" s="28"/>
      <c r="J423" s="24"/>
    </row>
    <row r="424" ht="14.25" customHeight="1">
      <c r="H424" s="28"/>
      <c r="J424" s="24"/>
    </row>
    <row r="425" ht="14.25" customHeight="1">
      <c r="H425" s="28"/>
      <c r="J425" s="24"/>
    </row>
    <row r="426" ht="14.25" customHeight="1">
      <c r="H426" s="28"/>
      <c r="J426" s="24"/>
    </row>
    <row r="427" ht="14.25" customHeight="1">
      <c r="H427" s="28"/>
      <c r="J427" s="24"/>
    </row>
    <row r="428" ht="14.25" customHeight="1">
      <c r="H428" s="28"/>
      <c r="J428" s="24"/>
    </row>
    <row r="429" ht="14.25" customHeight="1">
      <c r="H429" s="28"/>
      <c r="J429" s="24"/>
    </row>
    <row r="430" ht="14.25" customHeight="1">
      <c r="H430" s="28"/>
      <c r="J430" s="24"/>
    </row>
    <row r="431" ht="14.25" customHeight="1">
      <c r="H431" s="28"/>
      <c r="J431" s="24"/>
    </row>
    <row r="432" ht="14.25" customHeight="1">
      <c r="H432" s="28"/>
      <c r="J432" s="24"/>
    </row>
    <row r="433" ht="14.25" customHeight="1">
      <c r="H433" s="28"/>
      <c r="J433" s="24"/>
    </row>
    <row r="434" ht="14.25" customHeight="1">
      <c r="H434" s="28"/>
      <c r="J434" s="24"/>
    </row>
    <row r="435" ht="14.25" customHeight="1">
      <c r="H435" s="28"/>
      <c r="J435" s="24"/>
    </row>
    <row r="436" ht="14.25" customHeight="1">
      <c r="H436" s="28"/>
      <c r="J436" s="24"/>
    </row>
    <row r="437" ht="14.25" customHeight="1">
      <c r="H437" s="28"/>
      <c r="J437" s="24"/>
    </row>
    <row r="438" ht="14.25" customHeight="1">
      <c r="H438" s="28"/>
      <c r="J438" s="24"/>
    </row>
    <row r="439" ht="14.25" customHeight="1">
      <c r="H439" s="28"/>
      <c r="J439" s="24"/>
    </row>
    <row r="440" ht="14.25" customHeight="1">
      <c r="H440" s="28"/>
      <c r="J440" s="24"/>
    </row>
    <row r="441" ht="14.25" customHeight="1">
      <c r="H441" s="28"/>
      <c r="J441" s="24"/>
    </row>
    <row r="442" ht="14.25" customHeight="1">
      <c r="H442" s="28"/>
      <c r="J442" s="24"/>
    </row>
    <row r="443" ht="14.25" customHeight="1">
      <c r="H443" s="28"/>
      <c r="J443" s="24"/>
    </row>
    <row r="444" ht="14.25" customHeight="1">
      <c r="H444" s="28"/>
      <c r="J444" s="24"/>
    </row>
    <row r="445" ht="14.25" customHeight="1">
      <c r="H445" s="28"/>
      <c r="J445" s="24"/>
    </row>
    <row r="446" ht="14.25" customHeight="1">
      <c r="H446" s="28"/>
      <c r="J446" s="24"/>
    </row>
    <row r="447" ht="14.25" customHeight="1">
      <c r="H447" s="28"/>
      <c r="J447" s="24"/>
    </row>
    <row r="448" ht="14.25" customHeight="1">
      <c r="H448" s="28"/>
      <c r="J448" s="24"/>
    </row>
    <row r="449" ht="14.25" customHeight="1">
      <c r="H449" s="28"/>
      <c r="J449" s="24"/>
    </row>
    <row r="450" ht="14.25" customHeight="1">
      <c r="H450" s="28"/>
      <c r="J450" s="24"/>
    </row>
    <row r="451" ht="14.25" customHeight="1">
      <c r="H451" s="28"/>
      <c r="J451" s="24"/>
    </row>
    <row r="452" ht="14.25" customHeight="1">
      <c r="H452" s="28"/>
      <c r="J452" s="24"/>
    </row>
    <row r="453" ht="14.25" customHeight="1">
      <c r="H453" s="28"/>
      <c r="J453" s="24"/>
    </row>
    <row r="454" ht="14.25" customHeight="1">
      <c r="H454" s="28"/>
      <c r="J454" s="24"/>
    </row>
    <row r="455" ht="14.25" customHeight="1">
      <c r="H455" s="28"/>
      <c r="J455" s="24"/>
    </row>
    <row r="456" ht="14.25" customHeight="1">
      <c r="H456" s="28"/>
      <c r="J456" s="24"/>
    </row>
    <row r="457" ht="14.25" customHeight="1">
      <c r="H457" s="28"/>
      <c r="J457" s="24"/>
    </row>
    <row r="458" ht="14.25" customHeight="1">
      <c r="H458" s="28"/>
      <c r="J458" s="24"/>
    </row>
    <row r="459" ht="14.25" customHeight="1">
      <c r="H459" s="28"/>
      <c r="J459" s="24"/>
    </row>
    <row r="460" ht="14.25" customHeight="1">
      <c r="H460" s="28"/>
      <c r="J460" s="24"/>
    </row>
    <row r="461" ht="14.25" customHeight="1">
      <c r="H461" s="28"/>
      <c r="J461" s="24"/>
    </row>
    <row r="462" ht="14.25" customHeight="1">
      <c r="H462" s="28"/>
      <c r="J462" s="24"/>
    </row>
    <row r="463" ht="14.25" customHeight="1">
      <c r="H463" s="28"/>
      <c r="J463" s="24"/>
    </row>
    <row r="464" ht="14.25" customHeight="1">
      <c r="H464" s="28"/>
      <c r="J464" s="24"/>
    </row>
    <row r="465" ht="14.25" customHeight="1">
      <c r="H465" s="28"/>
      <c r="J465" s="24"/>
    </row>
    <row r="466" ht="14.25" customHeight="1">
      <c r="H466" s="28"/>
      <c r="J466" s="24"/>
    </row>
    <row r="467" ht="14.25" customHeight="1">
      <c r="H467" s="28"/>
      <c r="J467" s="24"/>
    </row>
    <row r="468" ht="14.25" customHeight="1">
      <c r="H468" s="28"/>
      <c r="J468" s="24"/>
    </row>
    <row r="469" ht="14.25" customHeight="1">
      <c r="H469" s="28"/>
      <c r="J469" s="24"/>
    </row>
    <row r="470" ht="14.25" customHeight="1">
      <c r="H470" s="28"/>
      <c r="J470" s="24"/>
    </row>
    <row r="471" ht="14.25" customHeight="1">
      <c r="H471" s="28"/>
      <c r="J471" s="24"/>
    </row>
    <row r="472" ht="14.25" customHeight="1">
      <c r="H472" s="28"/>
      <c r="J472" s="24"/>
    </row>
    <row r="473" ht="14.25" customHeight="1">
      <c r="H473" s="28"/>
      <c r="J473" s="24"/>
    </row>
    <row r="474" ht="14.25" customHeight="1">
      <c r="H474" s="28"/>
      <c r="J474" s="24"/>
    </row>
    <row r="475" ht="14.25" customHeight="1">
      <c r="H475" s="28"/>
      <c r="J475" s="24"/>
    </row>
    <row r="476" ht="14.25" customHeight="1">
      <c r="H476" s="28"/>
      <c r="J476" s="24"/>
    </row>
    <row r="477" ht="14.25" customHeight="1">
      <c r="H477" s="28"/>
      <c r="J477" s="24"/>
    </row>
    <row r="478" ht="14.25" customHeight="1">
      <c r="H478" s="28"/>
      <c r="J478" s="24"/>
    </row>
    <row r="479" ht="14.25" customHeight="1">
      <c r="H479" s="28"/>
      <c r="J479" s="24"/>
    </row>
    <row r="480" ht="14.25" customHeight="1">
      <c r="H480" s="28"/>
      <c r="J480" s="24"/>
    </row>
    <row r="481" ht="14.25" customHeight="1">
      <c r="H481" s="28"/>
      <c r="J481" s="24"/>
    </row>
    <row r="482" ht="14.25" customHeight="1">
      <c r="H482" s="28"/>
      <c r="J482" s="24"/>
    </row>
    <row r="483" ht="14.25" customHeight="1">
      <c r="H483" s="28"/>
      <c r="J483" s="24"/>
    </row>
    <row r="484" ht="14.25" customHeight="1">
      <c r="H484" s="28"/>
      <c r="J484" s="24"/>
    </row>
    <row r="485" ht="14.25" customHeight="1">
      <c r="H485" s="28"/>
      <c r="J485" s="24"/>
    </row>
    <row r="486" ht="14.25" customHeight="1">
      <c r="H486" s="28"/>
      <c r="J486" s="24"/>
    </row>
    <row r="487" ht="14.25" customHeight="1">
      <c r="H487" s="28"/>
      <c r="J487" s="24"/>
    </row>
    <row r="488" ht="14.25" customHeight="1">
      <c r="H488" s="28"/>
      <c r="J488" s="24"/>
    </row>
    <row r="489" ht="14.25" customHeight="1">
      <c r="H489" s="28"/>
      <c r="J489" s="24"/>
    </row>
    <row r="490" ht="14.25" customHeight="1">
      <c r="H490" s="28"/>
      <c r="J490" s="24"/>
    </row>
    <row r="491" ht="14.25" customHeight="1">
      <c r="H491" s="28"/>
      <c r="J491" s="24"/>
    </row>
    <row r="492" ht="14.25" customHeight="1">
      <c r="H492" s="28"/>
      <c r="J492" s="24"/>
    </row>
    <row r="493" ht="14.25" customHeight="1">
      <c r="H493" s="28"/>
      <c r="J493" s="24"/>
    </row>
    <row r="494" ht="14.25" customHeight="1">
      <c r="H494" s="28"/>
      <c r="J494" s="24"/>
    </row>
    <row r="495" ht="14.25" customHeight="1">
      <c r="H495" s="28"/>
      <c r="J495" s="24"/>
    </row>
    <row r="496" ht="14.25" customHeight="1">
      <c r="H496" s="28"/>
      <c r="J496" s="24"/>
    </row>
    <row r="497" ht="14.25" customHeight="1">
      <c r="H497" s="28"/>
      <c r="J497" s="24"/>
    </row>
    <row r="498" ht="14.25" customHeight="1">
      <c r="H498" s="28"/>
      <c r="J498" s="24"/>
    </row>
    <row r="499" ht="14.25" customHeight="1">
      <c r="H499" s="28"/>
      <c r="J499" s="24"/>
    </row>
    <row r="500" ht="14.25" customHeight="1">
      <c r="H500" s="28"/>
      <c r="J500" s="24"/>
    </row>
    <row r="501" ht="14.25" customHeight="1">
      <c r="H501" s="28"/>
      <c r="J501" s="24"/>
    </row>
    <row r="502" ht="14.25" customHeight="1">
      <c r="H502" s="28"/>
      <c r="J502" s="24"/>
    </row>
    <row r="503" ht="14.25" customHeight="1">
      <c r="H503" s="28"/>
      <c r="J503" s="24"/>
    </row>
    <row r="504" ht="14.25" customHeight="1">
      <c r="H504" s="28"/>
      <c r="J504" s="24"/>
    </row>
    <row r="505" ht="14.25" customHeight="1">
      <c r="H505" s="28"/>
      <c r="J505" s="24"/>
    </row>
    <row r="506" ht="14.25" customHeight="1">
      <c r="H506" s="28"/>
      <c r="J506" s="24"/>
    </row>
    <row r="507" ht="14.25" customHeight="1">
      <c r="H507" s="28"/>
      <c r="J507" s="24"/>
    </row>
    <row r="508" ht="14.25" customHeight="1">
      <c r="H508" s="28"/>
      <c r="J508" s="24"/>
    </row>
    <row r="509" ht="14.25" customHeight="1">
      <c r="H509" s="28"/>
      <c r="J509" s="24"/>
    </row>
    <row r="510" ht="14.25" customHeight="1">
      <c r="H510" s="28"/>
      <c r="J510" s="24"/>
    </row>
    <row r="511" ht="14.25" customHeight="1">
      <c r="H511" s="28"/>
      <c r="J511" s="24"/>
    </row>
    <row r="512" ht="14.25" customHeight="1">
      <c r="H512" s="28"/>
      <c r="J512" s="24"/>
    </row>
    <row r="513" ht="14.25" customHeight="1">
      <c r="H513" s="28"/>
      <c r="J513" s="24"/>
    </row>
    <row r="514" ht="14.25" customHeight="1">
      <c r="H514" s="28"/>
      <c r="J514" s="24"/>
    </row>
    <row r="515" ht="14.25" customHeight="1">
      <c r="H515" s="28"/>
      <c r="J515" s="24"/>
    </row>
    <row r="516" ht="14.25" customHeight="1">
      <c r="H516" s="28"/>
      <c r="J516" s="24"/>
    </row>
    <row r="517" ht="14.25" customHeight="1">
      <c r="H517" s="28"/>
      <c r="J517" s="24"/>
    </row>
    <row r="518" ht="14.25" customHeight="1">
      <c r="H518" s="28"/>
      <c r="J518" s="24"/>
    </row>
    <row r="519" ht="14.25" customHeight="1">
      <c r="H519" s="28"/>
      <c r="J519" s="24"/>
    </row>
    <row r="520" ht="14.25" customHeight="1">
      <c r="H520" s="28"/>
      <c r="J520" s="24"/>
    </row>
    <row r="521" ht="14.25" customHeight="1">
      <c r="H521" s="28"/>
      <c r="J521" s="24"/>
    </row>
    <row r="522" ht="14.25" customHeight="1">
      <c r="H522" s="28"/>
      <c r="J522" s="24"/>
    </row>
    <row r="523" ht="14.25" customHeight="1">
      <c r="H523" s="28"/>
      <c r="J523" s="24"/>
    </row>
    <row r="524" ht="14.25" customHeight="1">
      <c r="H524" s="28"/>
      <c r="J524" s="24"/>
    </row>
    <row r="525" ht="14.25" customHeight="1">
      <c r="H525" s="28"/>
      <c r="J525" s="24"/>
    </row>
    <row r="526" ht="14.25" customHeight="1">
      <c r="H526" s="28"/>
      <c r="J526" s="24"/>
    </row>
    <row r="527" ht="14.25" customHeight="1">
      <c r="H527" s="28"/>
      <c r="J527" s="24"/>
    </row>
    <row r="528" ht="14.25" customHeight="1">
      <c r="H528" s="28"/>
      <c r="J528" s="24"/>
    </row>
    <row r="529" ht="14.25" customHeight="1">
      <c r="H529" s="28"/>
      <c r="J529" s="24"/>
    </row>
    <row r="530" ht="14.25" customHeight="1">
      <c r="H530" s="28"/>
      <c r="J530" s="24"/>
    </row>
    <row r="531" ht="14.25" customHeight="1">
      <c r="H531" s="28"/>
      <c r="J531" s="24"/>
    </row>
    <row r="532" ht="14.25" customHeight="1">
      <c r="H532" s="28"/>
      <c r="J532" s="24"/>
    </row>
    <row r="533" ht="14.25" customHeight="1">
      <c r="H533" s="28"/>
      <c r="J533" s="24"/>
    </row>
    <row r="534" ht="14.25" customHeight="1">
      <c r="H534" s="28"/>
      <c r="J534" s="24"/>
    </row>
    <row r="535" ht="14.25" customHeight="1">
      <c r="H535" s="28"/>
      <c r="J535" s="24"/>
    </row>
    <row r="536" ht="14.25" customHeight="1">
      <c r="H536" s="28"/>
      <c r="J536" s="24"/>
    </row>
    <row r="537" ht="14.25" customHeight="1">
      <c r="H537" s="28"/>
      <c r="J537" s="24"/>
    </row>
    <row r="538" ht="14.25" customHeight="1">
      <c r="H538" s="28"/>
      <c r="J538" s="24"/>
    </row>
    <row r="539" ht="14.25" customHeight="1">
      <c r="H539" s="28"/>
      <c r="J539" s="24"/>
    </row>
    <row r="540" ht="14.25" customHeight="1">
      <c r="H540" s="28"/>
      <c r="J540" s="24"/>
    </row>
    <row r="541" ht="14.25" customHeight="1">
      <c r="H541" s="28"/>
      <c r="J541" s="24"/>
    </row>
    <row r="542" ht="14.25" customHeight="1">
      <c r="H542" s="28"/>
      <c r="J542" s="24"/>
    </row>
    <row r="543" ht="14.25" customHeight="1">
      <c r="H543" s="28"/>
      <c r="J543" s="24"/>
    </row>
    <row r="544" ht="14.25" customHeight="1">
      <c r="H544" s="28"/>
      <c r="J544" s="24"/>
    </row>
    <row r="545" ht="14.25" customHeight="1">
      <c r="H545" s="28"/>
      <c r="J545" s="24"/>
    </row>
    <row r="546" ht="14.25" customHeight="1">
      <c r="H546" s="28"/>
      <c r="J546" s="24"/>
    </row>
    <row r="547" ht="14.25" customHeight="1">
      <c r="H547" s="28"/>
      <c r="J547" s="24"/>
    </row>
    <row r="548" ht="14.25" customHeight="1">
      <c r="H548" s="28"/>
      <c r="J548" s="24"/>
    </row>
    <row r="549" ht="14.25" customHeight="1">
      <c r="H549" s="28"/>
      <c r="J549" s="24"/>
    </row>
    <row r="550" ht="14.25" customHeight="1">
      <c r="H550" s="28"/>
      <c r="J550" s="24"/>
    </row>
    <row r="551" ht="14.25" customHeight="1">
      <c r="H551" s="28"/>
      <c r="J551" s="24"/>
    </row>
    <row r="552" ht="14.25" customHeight="1">
      <c r="H552" s="28"/>
      <c r="J552" s="24"/>
    </row>
    <row r="553" ht="14.25" customHeight="1">
      <c r="H553" s="28"/>
      <c r="J553" s="24"/>
    </row>
    <row r="554" ht="14.25" customHeight="1">
      <c r="H554" s="28"/>
      <c r="J554" s="24"/>
    </row>
    <row r="555" ht="14.25" customHeight="1">
      <c r="H555" s="28"/>
      <c r="J555" s="24"/>
    </row>
    <row r="556" ht="14.25" customHeight="1">
      <c r="H556" s="28"/>
      <c r="J556" s="24"/>
    </row>
    <row r="557" ht="14.25" customHeight="1">
      <c r="H557" s="28"/>
      <c r="J557" s="24"/>
    </row>
    <row r="558" ht="14.25" customHeight="1">
      <c r="H558" s="28"/>
      <c r="J558" s="24"/>
    </row>
    <row r="559" ht="14.25" customHeight="1">
      <c r="H559" s="28"/>
      <c r="J559" s="24"/>
    </row>
    <row r="560" ht="14.25" customHeight="1">
      <c r="H560" s="28"/>
      <c r="J560" s="24"/>
    </row>
    <row r="561" ht="14.25" customHeight="1">
      <c r="H561" s="28"/>
      <c r="J561" s="24"/>
    </row>
    <row r="562" ht="14.25" customHeight="1">
      <c r="H562" s="28"/>
      <c r="J562" s="24"/>
    </row>
    <row r="563" ht="14.25" customHeight="1">
      <c r="H563" s="28"/>
      <c r="J563" s="24"/>
    </row>
    <row r="564" ht="14.25" customHeight="1">
      <c r="H564" s="28"/>
      <c r="J564" s="24"/>
    </row>
    <row r="565" ht="14.25" customHeight="1">
      <c r="H565" s="28"/>
      <c r="J565" s="24"/>
    </row>
    <row r="566" ht="14.25" customHeight="1">
      <c r="H566" s="28"/>
      <c r="J566" s="24"/>
    </row>
    <row r="567" ht="14.25" customHeight="1">
      <c r="H567" s="28"/>
      <c r="J567" s="24"/>
    </row>
    <row r="568" ht="14.25" customHeight="1">
      <c r="H568" s="28"/>
      <c r="J568" s="24"/>
    </row>
    <row r="569" ht="14.25" customHeight="1">
      <c r="H569" s="28"/>
      <c r="J569" s="24"/>
    </row>
    <row r="570" ht="14.25" customHeight="1">
      <c r="H570" s="28"/>
      <c r="J570" s="24"/>
    </row>
    <row r="571" ht="14.25" customHeight="1">
      <c r="H571" s="28"/>
      <c r="J571" s="24"/>
    </row>
    <row r="572" ht="14.25" customHeight="1">
      <c r="H572" s="28"/>
      <c r="J572" s="24"/>
    </row>
    <row r="573" ht="14.25" customHeight="1">
      <c r="H573" s="28"/>
      <c r="J573" s="24"/>
    </row>
    <row r="574" ht="14.25" customHeight="1">
      <c r="H574" s="28"/>
      <c r="J574" s="24"/>
    </row>
    <row r="575" ht="14.25" customHeight="1">
      <c r="H575" s="28"/>
      <c r="J575" s="24"/>
    </row>
    <row r="576" ht="14.25" customHeight="1">
      <c r="H576" s="28"/>
      <c r="J576" s="24"/>
    </row>
    <row r="577" ht="14.25" customHeight="1">
      <c r="H577" s="28"/>
      <c r="J577" s="24"/>
    </row>
    <row r="578" ht="14.25" customHeight="1">
      <c r="H578" s="28"/>
      <c r="J578" s="24"/>
    </row>
    <row r="579" ht="14.25" customHeight="1">
      <c r="H579" s="28"/>
      <c r="J579" s="24"/>
    </row>
    <row r="580" ht="14.25" customHeight="1">
      <c r="H580" s="28"/>
      <c r="J580" s="24"/>
    </row>
    <row r="581" ht="14.25" customHeight="1">
      <c r="H581" s="28"/>
      <c r="J581" s="24"/>
    </row>
    <row r="582" ht="14.25" customHeight="1">
      <c r="H582" s="28"/>
      <c r="J582" s="24"/>
    </row>
    <row r="583" ht="14.25" customHeight="1">
      <c r="H583" s="28"/>
      <c r="J583" s="24"/>
    </row>
    <row r="584" ht="14.25" customHeight="1">
      <c r="H584" s="28"/>
      <c r="J584" s="24"/>
    </row>
    <row r="585" ht="14.25" customHeight="1">
      <c r="H585" s="28"/>
      <c r="J585" s="24"/>
    </row>
    <row r="586" ht="14.25" customHeight="1">
      <c r="H586" s="28"/>
      <c r="J586" s="24"/>
    </row>
    <row r="587" ht="14.25" customHeight="1">
      <c r="H587" s="28"/>
      <c r="J587" s="24"/>
    </row>
    <row r="588" ht="14.25" customHeight="1">
      <c r="H588" s="28"/>
      <c r="J588" s="24"/>
    </row>
    <row r="589" ht="14.25" customHeight="1">
      <c r="H589" s="28"/>
      <c r="J589" s="24"/>
    </row>
    <row r="590" ht="14.25" customHeight="1">
      <c r="H590" s="28"/>
      <c r="J590" s="24"/>
    </row>
    <row r="591" ht="14.25" customHeight="1">
      <c r="H591" s="28"/>
      <c r="J591" s="24"/>
    </row>
    <row r="592" ht="14.25" customHeight="1">
      <c r="H592" s="28"/>
      <c r="J592" s="24"/>
    </row>
    <row r="593" ht="14.25" customHeight="1">
      <c r="H593" s="28"/>
      <c r="J593" s="24"/>
    </row>
    <row r="594" ht="14.25" customHeight="1">
      <c r="H594" s="28"/>
      <c r="J594" s="24"/>
    </row>
    <row r="595" ht="14.25" customHeight="1">
      <c r="H595" s="28"/>
      <c r="J595" s="24"/>
    </row>
    <row r="596" ht="14.25" customHeight="1">
      <c r="H596" s="28"/>
      <c r="J596" s="24"/>
    </row>
    <row r="597" ht="14.25" customHeight="1">
      <c r="H597" s="28"/>
      <c r="J597" s="24"/>
    </row>
    <row r="598" ht="14.25" customHeight="1">
      <c r="H598" s="28"/>
      <c r="J598" s="24"/>
    </row>
    <row r="599" ht="14.25" customHeight="1">
      <c r="H599" s="28"/>
      <c r="J599" s="24"/>
    </row>
    <row r="600" ht="14.25" customHeight="1">
      <c r="H600" s="28"/>
      <c r="J600" s="24"/>
    </row>
    <row r="601" ht="14.25" customHeight="1">
      <c r="H601" s="28"/>
      <c r="J601" s="24"/>
    </row>
    <row r="602" ht="14.25" customHeight="1">
      <c r="H602" s="28"/>
      <c r="J602" s="24"/>
    </row>
    <row r="603" ht="14.25" customHeight="1">
      <c r="H603" s="28"/>
      <c r="J603" s="24"/>
    </row>
    <row r="604" ht="14.25" customHeight="1">
      <c r="H604" s="28"/>
      <c r="J604" s="24"/>
    </row>
    <row r="605" ht="14.25" customHeight="1">
      <c r="H605" s="28"/>
      <c r="J605" s="24"/>
    </row>
    <row r="606" ht="14.25" customHeight="1">
      <c r="H606" s="28"/>
      <c r="J606" s="24"/>
    </row>
    <row r="607" ht="14.25" customHeight="1">
      <c r="H607" s="28"/>
      <c r="J607" s="24"/>
    </row>
    <row r="608" ht="14.25" customHeight="1">
      <c r="H608" s="28"/>
      <c r="J608" s="24"/>
    </row>
    <row r="609" ht="14.25" customHeight="1">
      <c r="H609" s="28"/>
      <c r="J609" s="24"/>
    </row>
    <row r="610" ht="14.25" customHeight="1">
      <c r="H610" s="28"/>
      <c r="J610" s="24"/>
    </row>
    <row r="611" ht="14.25" customHeight="1">
      <c r="H611" s="28"/>
      <c r="J611" s="24"/>
    </row>
    <row r="612" ht="14.25" customHeight="1">
      <c r="H612" s="28"/>
      <c r="J612" s="24"/>
    </row>
    <row r="613" ht="14.25" customHeight="1">
      <c r="H613" s="28"/>
      <c r="J613" s="24"/>
    </row>
    <row r="614" ht="14.25" customHeight="1">
      <c r="H614" s="28"/>
      <c r="J614" s="24"/>
    </row>
    <row r="615" ht="14.25" customHeight="1">
      <c r="H615" s="28"/>
      <c r="J615" s="24"/>
    </row>
    <row r="616" ht="14.25" customHeight="1">
      <c r="H616" s="28"/>
      <c r="J616" s="24"/>
    </row>
    <row r="617" ht="14.25" customHeight="1">
      <c r="H617" s="28"/>
      <c r="J617" s="24"/>
    </row>
    <row r="618" ht="14.25" customHeight="1">
      <c r="H618" s="28"/>
      <c r="J618" s="24"/>
    </row>
    <row r="619" ht="14.25" customHeight="1">
      <c r="H619" s="28"/>
      <c r="J619" s="24"/>
    </row>
    <row r="620" ht="14.25" customHeight="1">
      <c r="H620" s="28"/>
      <c r="J620" s="24"/>
    </row>
    <row r="621" ht="14.25" customHeight="1">
      <c r="H621" s="28"/>
      <c r="J621" s="24"/>
    </row>
    <row r="622" ht="14.25" customHeight="1">
      <c r="H622" s="28"/>
      <c r="J622" s="24"/>
    </row>
    <row r="623" ht="14.25" customHeight="1">
      <c r="H623" s="28"/>
      <c r="J623" s="24"/>
    </row>
    <row r="624" ht="14.25" customHeight="1">
      <c r="H624" s="28"/>
      <c r="J624" s="24"/>
    </row>
    <row r="625" ht="14.25" customHeight="1">
      <c r="H625" s="28"/>
      <c r="J625" s="24"/>
    </row>
    <row r="626" ht="14.25" customHeight="1">
      <c r="H626" s="28"/>
      <c r="J626" s="24"/>
    </row>
    <row r="627" ht="14.25" customHeight="1">
      <c r="H627" s="28"/>
      <c r="J627" s="24"/>
    </row>
    <row r="628" ht="14.25" customHeight="1">
      <c r="H628" s="28"/>
      <c r="J628" s="24"/>
    </row>
    <row r="629" ht="14.25" customHeight="1">
      <c r="H629" s="28"/>
      <c r="J629" s="24"/>
    </row>
    <row r="630" ht="14.25" customHeight="1">
      <c r="H630" s="28"/>
      <c r="J630" s="24"/>
    </row>
    <row r="631" ht="14.25" customHeight="1">
      <c r="H631" s="28"/>
      <c r="J631" s="24"/>
    </row>
    <row r="632" ht="14.25" customHeight="1">
      <c r="H632" s="28"/>
      <c r="J632" s="24"/>
    </row>
    <row r="633" ht="14.25" customHeight="1">
      <c r="H633" s="28"/>
      <c r="J633" s="24"/>
    </row>
    <row r="634" ht="14.25" customHeight="1">
      <c r="H634" s="28"/>
      <c r="J634" s="24"/>
    </row>
    <row r="635" ht="14.25" customHeight="1">
      <c r="H635" s="28"/>
      <c r="J635" s="24"/>
    </row>
    <row r="636" ht="14.25" customHeight="1">
      <c r="H636" s="28"/>
      <c r="J636" s="24"/>
    </row>
    <row r="637" ht="14.25" customHeight="1">
      <c r="H637" s="28"/>
      <c r="J637" s="24"/>
    </row>
    <row r="638" ht="14.25" customHeight="1">
      <c r="H638" s="28"/>
      <c r="J638" s="24"/>
    </row>
    <row r="639" ht="14.25" customHeight="1">
      <c r="H639" s="28"/>
      <c r="J639" s="24"/>
    </row>
    <row r="640" ht="14.25" customHeight="1">
      <c r="H640" s="28"/>
      <c r="J640" s="24"/>
    </row>
    <row r="641" ht="14.25" customHeight="1">
      <c r="H641" s="28"/>
      <c r="J641" s="24"/>
    </row>
    <row r="642" ht="14.25" customHeight="1">
      <c r="H642" s="28"/>
      <c r="J642" s="24"/>
    </row>
    <row r="643" ht="14.25" customHeight="1">
      <c r="H643" s="28"/>
      <c r="J643" s="24"/>
    </row>
    <row r="644" ht="14.25" customHeight="1">
      <c r="H644" s="28"/>
      <c r="J644" s="24"/>
    </row>
    <row r="645" ht="14.25" customHeight="1">
      <c r="H645" s="28"/>
      <c r="J645" s="24"/>
    </row>
    <row r="646" ht="14.25" customHeight="1">
      <c r="H646" s="28"/>
      <c r="J646" s="24"/>
    </row>
    <row r="647" ht="14.25" customHeight="1">
      <c r="H647" s="28"/>
      <c r="J647" s="24"/>
    </row>
    <row r="648" ht="14.25" customHeight="1">
      <c r="H648" s="28"/>
      <c r="J648" s="24"/>
    </row>
    <row r="649" ht="14.25" customHeight="1">
      <c r="H649" s="28"/>
      <c r="J649" s="24"/>
    </row>
    <row r="650" ht="14.25" customHeight="1">
      <c r="H650" s="28"/>
      <c r="J650" s="24"/>
    </row>
    <row r="651" ht="14.25" customHeight="1">
      <c r="H651" s="28"/>
      <c r="J651" s="24"/>
    </row>
    <row r="652" ht="14.25" customHeight="1">
      <c r="H652" s="28"/>
      <c r="J652" s="24"/>
    </row>
    <row r="653" ht="14.25" customHeight="1">
      <c r="H653" s="28"/>
      <c r="J653" s="24"/>
    </row>
    <row r="654" ht="14.25" customHeight="1">
      <c r="H654" s="28"/>
      <c r="J654" s="24"/>
    </row>
    <row r="655" ht="14.25" customHeight="1">
      <c r="H655" s="28"/>
      <c r="J655" s="24"/>
    </row>
    <row r="656" ht="14.25" customHeight="1">
      <c r="H656" s="28"/>
      <c r="J656" s="24"/>
    </row>
    <row r="657" ht="14.25" customHeight="1">
      <c r="H657" s="28"/>
      <c r="J657" s="24"/>
    </row>
    <row r="658" ht="14.25" customHeight="1">
      <c r="H658" s="28"/>
      <c r="J658" s="24"/>
    </row>
    <row r="659" ht="14.25" customHeight="1">
      <c r="H659" s="28"/>
      <c r="J659" s="24"/>
    </row>
    <row r="660" ht="14.25" customHeight="1">
      <c r="H660" s="28"/>
      <c r="J660" s="24"/>
    </row>
    <row r="661" ht="14.25" customHeight="1">
      <c r="H661" s="28"/>
      <c r="J661" s="24"/>
    </row>
    <row r="662" ht="14.25" customHeight="1">
      <c r="H662" s="28"/>
      <c r="J662" s="24"/>
    </row>
    <row r="663" ht="14.25" customHeight="1">
      <c r="H663" s="28"/>
      <c r="J663" s="24"/>
    </row>
    <row r="664" ht="14.25" customHeight="1">
      <c r="H664" s="28"/>
      <c r="J664" s="24"/>
    </row>
    <row r="665" ht="14.25" customHeight="1">
      <c r="H665" s="28"/>
      <c r="J665" s="24"/>
    </row>
    <row r="666" ht="14.25" customHeight="1">
      <c r="H666" s="28"/>
      <c r="J666" s="24"/>
    </row>
    <row r="667" ht="14.25" customHeight="1">
      <c r="H667" s="28"/>
      <c r="J667" s="24"/>
    </row>
    <row r="668" ht="14.25" customHeight="1">
      <c r="H668" s="28"/>
      <c r="J668" s="24"/>
    </row>
    <row r="669" ht="14.25" customHeight="1">
      <c r="H669" s="28"/>
      <c r="J669" s="24"/>
    </row>
    <row r="670" ht="14.25" customHeight="1">
      <c r="H670" s="28"/>
      <c r="J670" s="24"/>
    </row>
    <row r="671" ht="14.25" customHeight="1">
      <c r="H671" s="28"/>
      <c r="J671" s="24"/>
    </row>
    <row r="672" ht="14.25" customHeight="1">
      <c r="H672" s="28"/>
      <c r="J672" s="24"/>
    </row>
    <row r="673" ht="14.25" customHeight="1">
      <c r="H673" s="28"/>
      <c r="J673" s="24"/>
    </row>
    <row r="674" ht="14.25" customHeight="1">
      <c r="H674" s="28"/>
      <c r="J674" s="24"/>
    </row>
    <row r="675" ht="14.25" customHeight="1">
      <c r="H675" s="28"/>
      <c r="J675" s="24"/>
    </row>
    <row r="676" ht="14.25" customHeight="1">
      <c r="H676" s="28"/>
      <c r="J676" s="24"/>
    </row>
    <row r="677" ht="14.25" customHeight="1">
      <c r="H677" s="28"/>
      <c r="J677" s="24"/>
    </row>
    <row r="678" ht="14.25" customHeight="1">
      <c r="H678" s="28"/>
      <c r="J678" s="24"/>
    </row>
    <row r="679" ht="14.25" customHeight="1">
      <c r="H679" s="28"/>
      <c r="J679" s="24"/>
    </row>
    <row r="680" ht="14.25" customHeight="1">
      <c r="H680" s="28"/>
      <c r="J680" s="24"/>
    </row>
    <row r="681" ht="14.25" customHeight="1">
      <c r="H681" s="28"/>
      <c r="J681" s="24"/>
    </row>
    <row r="682" ht="14.25" customHeight="1">
      <c r="H682" s="28"/>
      <c r="J682" s="24"/>
    </row>
    <row r="683" ht="14.25" customHeight="1">
      <c r="H683" s="28"/>
      <c r="J683" s="24"/>
    </row>
    <row r="684" ht="14.25" customHeight="1">
      <c r="H684" s="28"/>
      <c r="J684" s="24"/>
    </row>
    <row r="685" ht="14.25" customHeight="1">
      <c r="H685" s="28"/>
      <c r="J685" s="24"/>
    </row>
    <row r="686" ht="14.25" customHeight="1">
      <c r="H686" s="28"/>
      <c r="J686" s="24"/>
    </row>
    <row r="687" ht="14.25" customHeight="1">
      <c r="H687" s="28"/>
      <c r="J687" s="24"/>
    </row>
    <row r="688" ht="14.25" customHeight="1">
      <c r="H688" s="28"/>
      <c r="J688" s="24"/>
    </row>
    <row r="689" ht="14.25" customHeight="1">
      <c r="H689" s="28"/>
      <c r="J689" s="24"/>
    </row>
    <row r="690" ht="14.25" customHeight="1">
      <c r="H690" s="28"/>
      <c r="J690" s="24"/>
    </row>
    <row r="691" ht="14.25" customHeight="1">
      <c r="H691" s="28"/>
      <c r="J691" s="24"/>
    </row>
    <row r="692" ht="14.25" customHeight="1">
      <c r="H692" s="28"/>
      <c r="J692" s="24"/>
    </row>
    <row r="693" ht="14.25" customHeight="1">
      <c r="H693" s="28"/>
      <c r="J693" s="24"/>
    </row>
    <row r="694" ht="14.25" customHeight="1">
      <c r="H694" s="28"/>
      <c r="J694" s="24"/>
    </row>
    <row r="695" ht="14.25" customHeight="1">
      <c r="H695" s="28"/>
      <c r="J695" s="24"/>
    </row>
    <row r="696" ht="14.25" customHeight="1">
      <c r="H696" s="28"/>
      <c r="J696" s="24"/>
    </row>
    <row r="697" ht="14.25" customHeight="1">
      <c r="H697" s="28"/>
      <c r="J697" s="24"/>
    </row>
    <row r="698" ht="14.25" customHeight="1">
      <c r="H698" s="28"/>
      <c r="J698" s="24"/>
    </row>
    <row r="699" ht="14.25" customHeight="1">
      <c r="H699" s="28"/>
      <c r="J699" s="24"/>
    </row>
    <row r="700" ht="14.25" customHeight="1">
      <c r="H700" s="28"/>
      <c r="J700" s="24"/>
    </row>
    <row r="701" ht="14.25" customHeight="1">
      <c r="H701" s="28"/>
      <c r="J701" s="24"/>
    </row>
    <row r="702" ht="14.25" customHeight="1">
      <c r="H702" s="28"/>
      <c r="J702" s="24"/>
    </row>
    <row r="703" ht="14.25" customHeight="1">
      <c r="H703" s="28"/>
      <c r="J703" s="24"/>
    </row>
    <row r="704" ht="14.25" customHeight="1">
      <c r="H704" s="28"/>
      <c r="J704" s="24"/>
    </row>
    <row r="705" ht="14.25" customHeight="1">
      <c r="H705" s="28"/>
      <c r="J705" s="24"/>
    </row>
    <row r="706" ht="14.25" customHeight="1">
      <c r="H706" s="28"/>
      <c r="J706" s="24"/>
    </row>
    <row r="707" ht="14.25" customHeight="1">
      <c r="H707" s="28"/>
      <c r="J707" s="24"/>
    </row>
    <row r="708" ht="14.25" customHeight="1">
      <c r="H708" s="28"/>
      <c r="J708" s="24"/>
    </row>
    <row r="709" ht="14.25" customHeight="1">
      <c r="H709" s="28"/>
      <c r="J709" s="24"/>
    </row>
    <row r="710" ht="14.25" customHeight="1">
      <c r="H710" s="28"/>
      <c r="J710" s="24"/>
    </row>
    <row r="711" ht="14.25" customHeight="1">
      <c r="H711" s="28"/>
      <c r="J711" s="24"/>
    </row>
    <row r="712" ht="14.25" customHeight="1">
      <c r="H712" s="28"/>
      <c r="J712" s="24"/>
    </row>
    <row r="713" ht="14.25" customHeight="1">
      <c r="H713" s="28"/>
      <c r="J713" s="24"/>
    </row>
    <row r="714" ht="14.25" customHeight="1">
      <c r="H714" s="28"/>
      <c r="J714" s="24"/>
    </row>
    <row r="715" ht="14.25" customHeight="1">
      <c r="H715" s="28"/>
      <c r="J715" s="24"/>
    </row>
    <row r="716" ht="14.25" customHeight="1">
      <c r="H716" s="28"/>
      <c r="J716" s="24"/>
    </row>
    <row r="717" ht="14.25" customHeight="1">
      <c r="H717" s="28"/>
      <c r="J717" s="24"/>
    </row>
    <row r="718" ht="14.25" customHeight="1">
      <c r="H718" s="28"/>
      <c r="J718" s="24"/>
    </row>
    <row r="719" ht="14.25" customHeight="1">
      <c r="H719" s="28"/>
      <c r="J719" s="24"/>
    </row>
    <row r="720" ht="14.25" customHeight="1">
      <c r="H720" s="28"/>
      <c r="J720" s="24"/>
    </row>
    <row r="721" ht="14.25" customHeight="1">
      <c r="H721" s="28"/>
      <c r="J721" s="24"/>
    </row>
    <row r="722" ht="14.25" customHeight="1">
      <c r="H722" s="28"/>
      <c r="J722" s="24"/>
    </row>
    <row r="723" ht="14.25" customHeight="1">
      <c r="H723" s="28"/>
      <c r="J723" s="24"/>
    </row>
    <row r="724" ht="14.25" customHeight="1">
      <c r="H724" s="28"/>
      <c r="J724" s="24"/>
    </row>
    <row r="725" ht="14.25" customHeight="1">
      <c r="H725" s="28"/>
      <c r="J725" s="24"/>
    </row>
    <row r="726" ht="14.25" customHeight="1">
      <c r="H726" s="28"/>
      <c r="J726" s="24"/>
    </row>
    <row r="727" ht="14.25" customHeight="1">
      <c r="H727" s="28"/>
      <c r="J727" s="24"/>
    </row>
    <row r="728" ht="14.25" customHeight="1">
      <c r="H728" s="28"/>
      <c r="J728" s="24"/>
    </row>
    <row r="729" ht="14.25" customHeight="1">
      <c r="H729" s="28"/>
      <c r="J729" s="24"/>
    </row>
    <row r="730" ht="14.25" customHeight="1">
      <c r="H730" s="28"/>
      <c r="J730" s="24"/>
    </row>
    <row r="731" ht="14.25" customHeight="1">
      <c r="H731" s="28"/>
      <c r="J731" s="24"/>
    </row>
    <row r="732" ht="14.25" customHeight="1">
      <c r="H732" s="28"/>
      <c r="J732" s="24"/>
    </row>
    <row r="733" ht="14.25" customHeight="1">
      <c r="H733" s="28"/>
      <c r="J733" s="24"/>
    </row>
    <row r="734" ht="14.25" customHeight="1">
      <c r="H734" s="28"/>
      <c r="J734" s="24"/>
    </row>
    <row r="735" ht="14.25" customHeight="1">
      <c r="H735" s="28"/>
      <c r="J735" s="24"/>
    </row>
    <row r="736" ht="14.25" customHeight="1">
      <c r="H736" s="28"/>
      <c r="J736" s="24"/>
    </row>
    <row r="737" ht="14.25" customHeight="1">
      <c r="H737" s="28"/>
      <c r="J737" s="24"/>
    </row>
    <row r="738" ht="14.25" customHeight="1">
      <c r="H738" s="28"/>
      <c r="J738" s="24"/>
    </row>
    <row r="739" ht="14.25" customHeight="1">
      <c r="H739" s="28"/>
      <c r="J739" s="24"/>
    </row>
    <row r="740" ht="14.25" customHeight="1">
      <c r="H740" s="28"/>
      <c r="J740" s="24"/>
    </row>
    <row r="741" ht="14.25" customHeight="1">
      <c r="H741" s="28"/>
      <c r="J741" s="24"/>
    </row>
    <row r="742" ht="14.25" customHeight="1">
      <c r="H742" s="28"/>
      <c r="J742" s="24"/>
    </row>
    <row r="743" ht="14.25" customHeight="1">
      <c r="H743" s="28"/>
      <c r="J743" s="24"/>
    </row>
    <row r="744" ht="14.25" customHeight="1">
      <c r="H744" s="28"/>
      <c r="J744" s="24"/>
    </row>
    <row r="745" ht="14.25" customHeight="1">
      <c r="H745" s="28"/>
      <c r="J745" s="24"/>
    </row>
    <row r="746" ht="14.25" customHeight="1">
      <c r="H746" s="28"/>
      <c r="J746" s="24"/>
    </row>
    <row r="747" ht="14.25" customHeight="1">
      <c r="H747" s="28"/>
      <c r="J747" s="24"/>
    </row>
    <row r="748" ht="14.25" customHeight="1">
      <c r="H748" s="28"/>
      <c r="J748" s="24"/>
    </row>
    <row r="749" ht="14.25" customHeight="1">
      <c r="H749" s="28"/>
      <c r="J749" s="24"/>
    </row>
    <row r="750" ht="14.25" customHeight="1">
      <c r="H750" s="28"/>
      <c r="J750" s="24"/>
    </row>
    <row r="751" ht="14.25" customHeight="1">
      <c r="H751" s="28"/>
      <c r="J751" s="24"/>
    </row>
    <row r="752" ht="14.25" customHeight="1">
      <c r="H752" s="28"/>
      <c r="J752" s="24"/>
    </row>
    <row r="753" ht="14.25" customHeight="1">
      <c r="H753" s="28"/>
      <c r="J753" s="24"/>
    </row>
    <row r="754" ht="14.25" customHeight="1">
      <c r="H754" s="28"/>
      <c r="J754" s="24"/>
    </row>
    <row r="755" ht="14.25" customHeight="1">
      <c r="H755" s="28"/>
      <c r="J755" s="24"/>
    </row>
    <row r="756" ht="14.25" customHeight="1">
      <c r="H756" s="28"/>
      <c r="J756" s="24"/>
    </row>
    <row r="757" ht="14.25" customHeight="1">
      <c r="H757" s="28"/>
      <c r="J757" s="24"/>
    </row>
    <row r="758" ht="14.25" customHeight="1">
      <c r="H758" s="28"/>
      <c r="J758" s="24"/>
    </row>
    <row r="759" ht="14.25" customHeight="1">
      <c r="H759" s="28"/>
      <c r="J759" s="24"/>
    </row>
    <row r="760" ht="14.25" customHeight="1">
      <c r="H760" s="28"/>
      <c r="J760" s="24"/>
    </row>
    <row r="761" ht="14.25" customHeight="1">
      <c r="H761" s="28"/>
      <c r="J761" s="24"/>
    </row>
    <row r="762" ht="14.25" customHeight="1">
      <c r="H762" s="28"/>
      <c r="J762" s="24"/>
    </row>
    <row r="763" ht="14.25" customHeight="1">
      <c r="H763" s="28"/>
      <c r="J763" s="24"/>
    </row>
    <row r="764" ht="14.25" customHeight="1">
      <c r="H764" s="28"/>
      <c r="J764" s="24"/>
    </row>
    <row r="765" ht="14.25" customHeight="1">
      <c r="H765" s="28"/>
      <c r="J765" s="24"/>
    </row>
    <row r="766" ht="14.25" customHeight="1">
      <c r="H766" s="28"/>
      <c r="J766" s="24"/>
    </row>
    <row r="767" ht="14.25" customHeight="1">
      <c r="H767" s="28"/>
      <c r="J767" s="24"/>
    </row>
    <row r="768" ht="14.25" customHeight="1">
      <c r="H768" s="28"/>
      <c r="J768" s="24"/>
    </row>
    <row r="769" ht="14.25" customHeight="1">
      <c r="H769" s="28"/>
      <c r="J769" s="24"/>
    </row>
    <row r="770" ht="14.25" customHeight="1">
      <c r="H770" s="28"/>
      <c r="J770" s="24"/>
    </row>
    <row r="771" ht="14.25" customHeight="1">
      <c r="H771" s="28"/>
      <c r="J771" s="24"/>
    </row>
    <row r="772" ht="14.25" customHeight="1">
      <c r="H772" s="28"/>
      <c r="J772" s="24"/>
    </row>
    <row r="773" ht="14.25" customHeight="1">
      <c r="H773" s="28"/>
      <c r="J773" s="24"/>
    </row>
    <row r="774" ht="14.25" customHeight="1">
      <c r="H774" s="28"/>
      <c r="J774" s="24"/>
    </row>
    <row r="775" ht="14.25" customHeight="1">
      <c r="H775" s="28"/>
      <c r="J775" s="24"/>
    </row>
    <row r="776" ht="14.25" customHeight="1">
      <c r="H776" s="28"/>
      <c r="J776" s="24"/>
    </row>
    <row r="777" ht="14.25" customHeight="1">
      <c r="H777" s="28"/>
      <c r="J777" s="24"/>
    </row>
    <row r="778" ht="14.25" customHeight="1">
      <c r="H778" s="28"/>
      <c r="J778" s="24"/>
    </row>
    <row r="779" ht="14.25" customHeight="1">
      <c r="H779" s="28"/>
      <c r="J779" s="24"/>
    </row>
    <row r="780" ht="14.25" customHeight="1">
      <c r="H780" s="28"/>
      <c r="J780" s="24"/>
    </row>
    <row r="781" ht="14.25" customHeight="1">
      <c r="H781" s="28"/>
      <c r="J781" s="24"/>
    </row>
    <row r="782" ht="14.25" customHeight="1">
      <c r="H782" s="28"/>
      <c r="J782" s="24"/>
    </row>
    <row r="783" ht="14.25" customHeight="1">
      <c r="H783" s="28"/>
      <c r="J783" s="24"/>
    </row>
    <row r="784" ht="14.25" customHeight="1">
      <c r="H784" s="28"/>
      <c r="J784" s="24"/>
    </row>
    <row r="785" ht="14.25" customHeight="1">
      <c r="H785" s="28"/>
      <c r="J785" s="24"/>
    </row>
    <row r="786" ht="14.25" customHeight="1">
      <c r="H786" s="28"/>
      <c r="J786" s="24"/>
    </row>
    <row r="787" ht="14.25" customHeight="1">
      <c r="H787" s="28"/>
      <c r="J787" s="24"/>
    </row>
    <row r="788" ht="14.25" customHeight="1">
      <c r="H788" s="28"/>
      <c r="J788" s="24"/>
    </row>
    <row r="789" ht="14.25" customHeight="1">
      <c r="H789" s="28"/>
      <c r="J789" s="24"/>
    </row>
    <row r="790" ht="14.25" customHeight="1">
      <c r="H790" s="28"/>
      <c r="J790" s="24"/>
    </row>
    <row r="791" ht="14.25" customHeight="1">
      <c r="H791" s="28"/>
      <c r="J791" s="24"/>
    </row>
    <row r="792" ht="14.25" customHeight="1">
      <c r="H792" s="28"/>
      <c r="J792" s="24"/>
    </row>
    <row r="793" ht="14.25" customHeight="1">
      <c r="H793" s="28"/>
      <c r="J793" s="24"/>
    </row>
    <row r="794" ht="14.25" customHeight="1">
      <c r="H794" s="28"/>
      <c r="J794" s="24"/>
    </row>
    <row r="795" ht="14.25" customHeight="1">
      <c r="H795" s="28"/>
      <c r="J795" s="24"/>
    </row>
    <row r="796" ht="14.25" customHeight="1">
      <c r="H796" s="28"/>
      <c r="J796" s="24"/>
    </row>
    <row r="797" ht="14.25" customHeight="1">
      <c r="H797" s="28"/>
      <c r="J797" s="24"/>
    </row>
    <row r="798" ht="14.25" customHeight="1">
      <c r="H798" s="28"/>
      <c r="J798" s="24"/>
    </row>
    <row r="799" ht="14.25" customHeight="1">
      <c r="H799" s="28"/>
      <c r="J799" s="24"/>
    </row>
    <row r="800" ht="14.25" customHeight="1">
      <c r="H800" s="28"/>
      <c r="J800" s="24"/>
    </row>
    <row r="801" ht="14.25" customHeight="1">
      <c r="H801" s="28"/>
      <c r="J801" s="24"/>
    </row>
    <row r="802" ht="14.25" customHeight="1">
      <c r="H802" s="28"/>
      <c r="J802" s="24"/>
    </row>
    <row r="803" ht="14.25" customHeight="1">
      <c r="H803" s="28"/>
      <c r="J803" s="24"/>
    </row>
    <row r="804" ht="14.25" customHeight="1">
      <c r="H804" s="28"/>
      <c r="J804" s="24"/>
    </row>
    <row r="805" ht="14.25" customHeight="1">
      <c r="H805" s="28"/>
      <c r="J805" s="24"/>
    </row>
    <row r="806" ht="14.25" customHeight="1">
      <c r="H806" s="28"/>
      <c r="J806" s="24"/>
    </row>
    <row r="807" ht="14.25" customHeight="1">
      <c r="H807" s="28"/>
      <c r="J807" s="24"/>
    </row>
    <row r="808" ht="14.25" customHeight="1">
      <c r="H808" s="28"/>
      <c r="J808" s="24"/>
    </row>
    <row r="809" ht="14.25" customHeight="1">
      <c r="H809" s="28"/>
      <c r="J809" s="24"/>
    </row>
    <row r="810" ht="14.25" customHeight="1">
      <c r="H810" s="28"/>
      <c r="J810" s="24"/>
    </row>
    <row r="811" ht="14.25" customHeight="1">
      <c r="H811" s="28"/>
      <c r="J811" s="24"/>
    </row>
    <row r="812" ht="14.25" customHeight="1">
      <c r="H812" s="28"/>
      <c r="J812" s="24"/>
    </row>
    <row r="813" ht="14.25" customHeight="1">
      <c r="H813" s="28"/>
      <c r="J813" s="24"/>
    </row>
    <row r="814" ht="14.25" customHeight="1">
      <c r="H814" s="28"/>
      <c r="J814" s="24"/>
    </row>
    <row r="815" ht="14.25" customHeight="1">
      <c r="H815" s="28"/>
      <c r="J815" s="24"/>
    </row>
    <row r="816" ht="14.25" customHeight="1">
      <c r="H816" s="28"/>
      <c r="J816" s="24"/>
    </row>
    <row r="817" ht="14.25" customHeight="1">
      <c r="H817" s="28"/>
      <c r="J817" s="24"/>
    </row>
    <row r="818" ht="14.25" customHeight="1">
      <c r="H818" s="28"/>
      <c r="J818" s="24"/>
    </row>
    <row r="819" ht="14.25" customHeight="1">
      <c r="H819" s="28"/>
      <c r="J819" s="24"/>
    </row>
    <row r="820" ht="14.25" customHeight="1">
      <c r="H820" s="28"/>
      <c r="J820" s="24"/>
    </row>
    <row r="821" ht="14.25" customHeight="1">
      <c r="H821" s="28"/>
      <c r="J821" s="24"/>
    </row>
    <row r="822" ht="14.25" customHeight="1">
      <c r="H822" s="28"/>
      <c r="J822" s="24"/>
    </row>
    <row r="823" ht="14.25" customHeight="1">
      <c r="H823" s="28"/>
      <c r="J823" s="24"/>
    </row>
    <row r="824" ht="14.25" customHeight="1">
      <c r="H824" s="28"/>
      <c r="J824" s="24"/>
    </row>
    <row r="825" ht="14.25" customHeight="1">
      <c r="H825" s="28"/>
      <c r="J825" s="24"/>
    </row>
    <row r="826" ht="14.25" customHeight="1">
      <c r="H826" s="28"/>
      <c r="J826" s="24"/>
    </row>
    <row r="827" ht="14.25" customHeight="1">
      <c r="H827" s="28"/>
      <c r="J827" s="24"/>
    </row>
    <row r="828" ht="14.25" customHeight="1">
      <c r="H828" s="28"/>
      <c r="J828" s="24"/>
    </row>
    <row r="829" ht="14.25" customHeight="1">
      <c r="H829" s="28"/>
      <c r="J829" s="24"/>
    </row>
    <row r="830" ht="14.25" customHeight="1">
      <c r="H830" s="28"/>
      <c r="J830" s="24"/>
    </row>
    <row r="831" ht="14.25" customHeight="1">
      <c r="H831" s="28"/>
      <c r="J831" s="24"/>
    </row>
    <row r="832" ht="14.25" customHeight="1">
      <c r="H832" s="28"/>
      <c r="J832" s="24"/>
    </row>
    <row r="833" ht="14.25" customHeight="1">
      <c r="H833" s="28"/>
      <c r="J833" s="24"/>
    </row>
    <row r="834" ht="14.25" customHeight="1">
      <c r="H834" s="28"/>
      <c r="J834" s="24"/>
    </row>
    <row r="835" ht="14.25" customHeight="1">
      <c r="H835" s="28"/>
      <c r="J835" s="24"/>
    </row>
    <row r="836" ht="14.25" customHeight="1">
      <c r="H836" s="28"/>
      <c r="J836" s="24"/>
    </row>
    <row r="837" ht="14.25" customHeight="1">
      <c r="H837" s="28"/>
      <c r="J837" s="24"/>
    </row>
    <row r="838" ht="14.25" customHeight="1">
      <c r="H838" s="28"/>
      <c r="J838" s="24"/>
    </row>
    <row r="839" ht="14.25" customHeight="1">
      <c r="H839" s="28"/>
      <c r="J839" s="24"/>
    </row>
    <row r="840" ht="14.25" customHeight="1">
      <c r="H840" s="28"/>
      <c r="J840" s="24"/>
    </row>
    <row r="841" ht="14.25" customHeight="1">
      <c r="H841" s="28"/>
      <c r="J841" s="24"/>
    </row>
    <row r="842" ht="14.25" customHeight="1">
      <c r="H842" s="28"/>
      <c r="J842" s="24"/>
    </row>
    <row r="843" ht="14.25" customHeight="1">
      <c r="H843" s="28"/>
      <c r="J843" s="24"/>
    </row>
    <row r="844" ht="14.25" customHeight="1">
      <c r="H844" s="28"/>
      <c r="J844" s="24"/>
    </row>
    <row r="845" ht="14.25" customHeight="1">
      <c r="H845" s="28"/>
      <c r="J845" s="24"/>
    </row>
    <row r="846" ht="14.25" customHeight="1">
      <c r="H846" s="28"/>
      <c r="J846" s="24"/>
    </row>
    <row r="847" ht="14.25" customHeight="1">
      <c r="H847" s="28"/>
      <c r="J847" s="24"/>
    </row>
    <row r="848" ht="14.25" customHeight="1">
      <c r="H848" s="28"/>
      <c r="J848" s="24"/>
    </row>
    <row r="849" ht="14.25" customHeight="1">
      <c r="H849" s="28"/>
      <c r="J849" s="24"/>
    </row>
    <row r="850" ht="14.25" customHeight="1">
      <c r="H850" s="28"/>
      <c r="J850" s="24"/>
    </row>
    <row r="851" ht="14.25" customHeight="1">
      <c r="H851" s="28"/>
      <c r="J851" s="24"/>
    </row>
    <row r="852" ht="14.25" customHeight="1">
      <c r="H852" s="28"/>
      <c r="J852" s="24"/>
    </row>
    <row r="853" ht="14.25" customHeight="1">
      <c r="H853" s="28"/>
      <c r="J853" s="24"/>
    </row>
    <row r="854" ht="14.25" customHeight="1">
      <c r="H854" s="28"/>
      <c r="J854" s="24"/>
    </row>
    <row r="855" ht="14.25" customHeight="1">
      <c r="H855" s="28"/>
      <c r="J855" s="24"/>
    </row>
    <row r="856" ht="14.25" customHeight="1">
      <c r="H856" s="28"/>
      <c r="J856" s="24"/>
    </row>
    <row r="857" ht="14.25" customHeight="1">
      <c r="H857" s="28"/>
      <c r="J857" s="24"/>
    </row>
    <row r="858" ht="14.25" customHeight="1">
      <c r="H858" s="28"/>
      <c r="J858" s="24"/>
    </row>
    <row r="859" ht="14.25" customHeight="1">
      <c r="H859" s="28"/>
      <c r="J859" s="24"/>
    </row>
    <row r="860" ht="14.25" customHeight="1">
      <c r="H860" s="28"/>
      <c r="J860" s="24"/>
    </row>
    <row r="861" ht="14.25" customHeight="1">
      <c r="H861" s="28"/>
      <c r="J861" s="24"/>
    </row>
    <row r="862" ht="14.25" customHeight="1">
      <c r="H862" s="28"/>
      <c r="J862" s="24"/>
    </row>
    <row r="863" ht="14.25" customHeight="1">
      <c r="H863" s="28"/>
      <c r="J863" s="24"/>
    </row>
    <row r="864" ht="14.25" customHeight="1">
      <c r="H864" s="28"/>
      <c r="J864" s="24"/>
    </row>
    <row r="865" ht="14.25" customHeight="1">
      <c r="H865" s="28"/>
      <c r="J865" s="24"/>
    </row>
    <row r="866" ht="14.25" customHeight="1">
      <c r="H866" s="28"/>
      <c r="J866" s="24"/>
    </row>
    <row r="867" ht="14.25" customHeight="1">
      <c r="H867" s="28"/>
      <c r="J867" s="24"/>
    </row>
    <row r="868" ht="14.25" customHeight="1">
      <c r="H868" s="28"/>
      <c r="J868" s="24"/>
    </row>
    <row r="869" ht="14.25" customHeight="1">
      <c r="H869" s="28"/>
      <c r="J869" s="24"/>
    </row>
    <row r="870" ht="14.25" customHeight="1">
      <c r="H870" s="28"/>
      <c r="J870" s="24"/>
    </row>
    <row r="871" ht="14.25" customHeight="1">
      <c r="H871" s="28"/>
      <c r="J871" s="24"/>
    </row>
    <row r="872" ht="14.25" customHeight="1">
      <c r="H872" s="28"/>
      <c r="J872" s="24"/>
    </row>
    <row r="873" ht="14.25" customHeight="1">
      <c r="H873" s="28"/>
      <c r="J873" s="24"/>
    </row>
    <row r="874" ht="14.25" customHeight="1">
      <c r="H874" s="28"/>
      <c r="J874" s="24"/>
    </row>
    <row r="875" ht="14.25" customHeight="1">
      <c r="H875" s="28"/>
      <c r="J875" s="24"/>
    </row>
    <row r="876" ht="14.25" customHeight="1">
      <c r="H876" s="28"/>
      <c r="J876" s="24"/>
    </row>
    <row r="877" ht="14.25" customHeight="1">
      <c r="H877" s="28"/>
      <c r="J877" s="24"/>
    </row>
    <row r="878" ht="14.25" customHeight="1">
      <c r="H878" s="28"/>
      <c r="J878" s="24"/>
    </row>
    <row r="879" ht="14.25" customHeight="1">
      <c r="H879" s="28"/>
      <c r="J879" s="24"/>
    </row>
    <row r="880" ht="14.25" customHeight="1">
      <c r="H880" s="28"/>
      <c r="J880" s="24"/>
    </row>
    <row r="881" ht="14.25" customHeight="1">
      <c r="H881" s="28"/>
      <c r="J881" s="24"/>
    </row>
    <row r="882" ht="14.25" customHeight="1">
      <c r="H882" s="28"/>
      <c r="J882" s="24"/>
    </row>
    <row r="883" ht="14.25" customHeight="1">
      <c r="H883" s="28"/>
      <c r="J883" s="24"/>
    </row>
    <row r="884" ht="14.25" customHeight="1">
      <c r="H884" s="28"/>
      <c r="J884" s="24"/>
    </row>
    <row r="885" ht="14.25" customHeight="1">
      <c r="H885" s="28"/>
      <c r="J885" s="24"/>
    </row>
    <row r="886" ht="14.25" customHeight="1">
      <c r="H886" s="28"/>
      <c r="J886" s="24"/>
    </row>
    <row r="887" ht="14.25" customHeight="1">
      <c r="H887" s="28"/>
      <c r="J887" s="24"/>
    </row>
    <row r="888" ht="14.25" customHeight="1">
      <c r="H888" s="28"/>
      <c r="J888" s="24"/>
    </row>
    <row r="889" ht="14.25" customHeight="1">
      <c r="H889" s="28"/>
      <c r="J889" s="24"/>
    </row>
    <row r="890" ht="14.25" customHeight="1">
      <c r="H890" s="28"/>
      <c r="J890" s="24"/>
    </row>
    <row r="891" ht="14.25" customHeight="1">
      <c r="H891" s="28"/>
      <c r="J891" s="24"/>
    </row>
    <row r="892" ht="14.25" customHeight="1">
      <c r="H892" s="28"/>
      <c r="J892" s="24"/>
    </row>
    <row r="893" ht="14.25" customHeight="1">
      <c r="H893" s="28"/>
      <c r="J893" s="24"/>
    </row>
    <row r="894" ht="14.25" customHeight="1">
      <c r="H894" s="28"/>
      <c r="J894" s="24"/>
    </row>
    <row r="895" ht="14.25" customHeight="1">
      <c r="H895" s="28"/>
      <c r="J895" s="24"/>
    </row>
    <row r="896" ht="14.25" customHeight="1">
      <c r="H896" s="28"/>
      <c r="J896" s="24"/>
    </row>
    <row r="897" ht="14.25" customHeight="1">
      <c r="H897" s="28"/>
      <c r="J897" s="24"/>
    </row>
    <row r="898" ht="14.25" customHeight="1">
      <c r="H898" s="28"/>
      <c r="J898" s="24"/>
    </row>
    <row r="899" ht="14.25" customHeight="1">
      <c r="H899" s="28"/>
      <c r="J899" s="24"/>
    </row>
    <row r="900" ht="14.25" customHeight="1">
      <c r="H900" s="28"/>
      <c r="J900" s="24"/>
    </row>
    <row r="901" ht="14.25" customHeight="1">
      <c r="H901" s="28"/>
      <c r="J901" s="24"/>
    </row>
    <row r="902" ht="14.25" customHeight="1">
      <c r="H902" s="28"/>
      <c r="J902" s="24"/>
    </row>
    <row r="903" ht="14.25" customHeight="1">
      <c r="H903" s="28"/>
      <c r="J903" s="24"/>
    </row>
    <row r="904" ht="14.25" customHeight="1">
      <c r="H904" s="28"/>
      <c r="J904" s="24"/>
    </row>
    <row r="905" ht="14.25" customHeight="1">
      <c r="H905" s="28"/>
      <c r="J905" s="24"/>
    </row>
    <row r="906" ht="14.25" customHeight="1">
      <c r="H906" s="28"/>
      <c r="J906" s="24"/>
    </row>
    <row r="907" ht="14.25" customHeight="1">
      <c r="H907" s="28"/>
      <c r="J907" s="24"/>
    </row>
    <row r="908" ht="14.25" customHeight="1">
      <c r="H908" s="28"/>
      <c r="J908" s="24"/>
    </row>
    <row r="909" ht="14.25" customHeight="1">
      <c r="H909" s="28"/>
      <c r="J909" s="24"/>
    </row>
    <row r="910" ht="14.25" customHeight="1">
      <c r="H910" s="28"/>
      <c r="J910" s="24"/>
    </row>
    <row r="911" ht="14.25" customHeight="1">
      <c r="H911" s="28"/>
      <c r="J911" s="24"/>
    </row>
    <row r="912" ht="14.25" customHeight="1">
      <c r="H912" s="28"/>
      <c r="J912" s="24"/>
    </row>
    <row r="913" ht="14.25" customHeight="1">
      <c r="H913" s="28"/>
      <c r="J913" s="24"/>
    </row>
    <row r="914" ht="14.25" customHeight="1">
      <c r="H914" s="28"/>
      <c r="J914" s="24"/>
    </row>
    <row r="915" ht="14.25" customHeight="1">
      <c r="H915" s="28"/>
      <c r="J915" s="24"/>
    </row>
    <row r="916" ht="14.25" customHeight="1">
      <c r="H916" s="28"/>
      <c r="J916" s="24"/>
    </row>
    <row r="917" ht="14.25" customHeight="1">
      <c r="H917" s="28"/>
      <c r="J917" s="24"/>
    </row>
    <row r="918" ht="14.25" customHeight="1">
      <c r="H918" s="28"/>
      <c r="J918" s="24"/>
    </row>
    <row r="919" ht="14.25" customHeight="1">
      <c r="H919" s="28"/>
      <c r="J919" s="24"/>
    </row>
    <row r="920" ht="14.25" customHeight="1">
      <c r="H920" s="28"/>
      <c r="J920" s="24"/>
    </row>
    <row r="921" ht="14.25" customHeight="1">
      <c r="H921" s="28"/>
      <c r="J921" s="24"/>
    </row>
    <row r="922" ht="14.25" customHeight="1">
      <c r="H922" s="28"/>
      <c r="J922" s="24"/>
    </row>
    <row r="923" ht="14.25" customHeight="1">
      <c r="H923" s="28"/>
      <c r="J923" s="24"/>
    </row>
    <row r="924" ht="14.25" customHeight="1">
      <c r="H924" s="28"/>
      <c r="J924" s="24"/>
    </row>
    <row r="925" ht="14.25" customHeight="1">
      <c r="H925" s="28"/>
      <c r="J925" s="24"/>
    </row>
    <row r="926" ht="14.25" customHeight="1">
      <c r="H926" s="28"/>
      <c r="J926" s="24"/>
    </row>
    <row r="927" ht="14.25" customHeight="1">
      <c r="H927" s="28"/>
      <c r="J927" s="24"/>
    </row>
    <row r="928" ht="14.25" customHeight="1">
      <c r="H928" s="28"/>
      <c r="J928" s="24"/>
    </row>
    <row r="929" ht="14.25" customHeight="1">
      <c r="H929" s="28"/>
      <c r="J929" s="24"/>
    </row>
    <row r="930" ht="14.25" customHeight="1">
      <c r="H930" s="28"/>
      <c r="J930" s="24"/>
    </row>
    <row r="931" ht="14.25" customHeight="1">
      <c r="H931" s="28"/>
      <c r="J931" s="24"/>
    </row>
    <row r="932" ht="14.25" customHeight="1">
      <c r="H932" s="28"/>
      <c r="J932" s="24"/>
    </row>
    <row r="933" ht="14.25" customHeight="1">
      <c r="H933" s="28"/>
      <c r="J933" s="24"/>
    </row>
    <row r="934" ht="14.25" customHeight="1">
      <c r="H934" s="28"/>
      <c r="J934" s="24"/>
    </row>
    <row r="935" ht="14.25" customHeight="1">
      <c r="H935" s="28"/>
      <c r="J935" s="24"/>
    </row>
    <row r="936" ht="14.25" customHeight="1">
      <c r="H936" s="28"/>
      <c r="J936" s="24"/>
    </row>
    <row r="937" ht="14.25" customHeight="1">
      <c r="H937" s="28"/>
      <c r="J937" s="24"/>
    </row>
    <row r="938" ht="14.25" customHeight="1">
      <c r="H938" s="28"/>
      <c r="J938" s="24"/>
    </row>
    <row r="939" ht="14.25" customHeight="1">
      <c r="H939" s="28"/>
      <c r="J939" s="24"/>
    </row>
    <row r="940" ht="14.25" customHeight="1">
      <c r="H940" s="28"/>
      <c r="J940" s="24"/>
    </row>
    <row r="941" ht="14.25" customHeight="1">
      <c r="H941" s="28"/>
      <c r="J941" s="24"/>
    </row>
    <row r="942" ht="14.25" customHeight="1">
      <c r="H942" s="28"/>
      <c r="J942" s="24"/>
    </row>
    <row r="943" ht="14.25" customHeight="1">
      <c r="H943" s="28"/>
      <c r="J943" s="24"/>
    </row>
    <row r="944" ht="14.25" customHeight="1">
      <c r="H944" s="28"/>
      <c r="J944" s="24"/>
    </row>
    <row r="945" ht="14.25" customHeight="1">
      <c r="H945" s="28"/>
      <c r="J945" s="24"/>
    </row>
    <row r="946" ht="14.25" customHeight="1">
      <c r="H946" s="28"/>
      <c r="J946" s="24"/>
    </row>
    <row r="947" ht="14.25" customHeight="1">
      <c r="H947" s="28"/>
      <c r="J947" s="24"/>
    </row>
    <row r="948" ht="14.25" customHeight="1">
      <c r="H948" s="28"/>
      <c r="J948" s="24"/>
    </row>
    <row r="949" ht="14.25" customHeight="1">
      <c r="H949" s="28"/>
      <c r="J949" s="24"/>
    </row>
    <row r="950" ht="14.25" customHeight="1">
      <c r="H950" s="28"/>
      <c r="J950" s="24"/>
    </row>
    <row r="951" ht="14.25" customHeight="1">
      <c r="H951" s="28"/>
      <c r="J951" s="24"/>
    </row>
    <row r="952" ht="14.25" customHeight="1">
      <c r="H952" s="28"/>
      <c r="J952" s="24"/>
    </row>
    <row r="953" ht="14.25" customHeight="1">
      <c r="H953" s="28"/>
      <c r="J953" s="24"/>
    </row>
    <row r="954" ht="14.25" customHeight="1">
      <c r="H954" s="28"/>
      <c r="J954" s="24"/>
    </row>
    <row r="955" ht="14.25" customHeight="1">
      <c r="H955" s="28"/>
      <c r="J955" s="24"/>
    </row>
    <row r="956" ht="14.25" customHeight="1">
      <c r="H956" s="28"/>
      <c r="J956" s="24"/>
    </row>
    <row r="957" ht="14.25" customHeight="1">
      <c r="H957" s="28"/>
      <c r="J957" s="24"/>
    </row>
    <row r="958" ht="14.25" customHeight="1">
      <c r="H958" s="28"/>
      <c r="J958" s="24"/>
    </row>
    <row r="959" ht="14.25" customHeight="1">
      <c r="H959" s="28"/>
      <c r="J959" s="24"/>
    </row>
    <row r="960" ht="14.25" customHeight="1">
      <c r="H960" s="28"/>
      <c r="J960" s="24"/>
    </row>
    <row r="961" ht="14.25" customHeight="1">
      <c r="H961" s="28"/>
      <c r="J961" s="24"/>
    </row>
    <row r="962" ht="14.25" customHeight="1">
      <c r="H962" s="28"/>
      <c r="J962" s="24"/>
    </row>
    <row r="963" ht="14.25" customHeight="1">
      <c r="H963" s="28"/>
      <c r="J963" s="24"/>
    </row>
    <row r="964" ht="14.25" customHeight="1">
      <c r="H964" s="28"/>
      <c r="J964" s="24"/>
    </row>
    <row r="965" ht="14.25" customHeight="1">
      <c r="H965" s="28"/>
      <c r="J965" s="24"/>
    </row>
    <row r="966" ht="14.25" customHeight="1">
      <c r="H966" s="28"/>
      <c r="J966" s="24"/>
    </row>
    <row r="967" ht="14.25" customHeight="1">
      <c r="H967" s="28"/>
      <c r="J967" s="24"/>
    </row>
    <row r="968" ht="14.25" customHeight="1">
      <c r="H968" s="28"/>
      <c r="J968" s="24"/>
    </row>
    <row r="969" ht="14.25" customHeight="1">
      <c r="H969" s="28"/>
      <c r="J969" s="24"/>
    </row>
    <row r="970" ht="14.25" customHeight="1">
      <c r="H970" s="28"/>
      <c r="J970" s="24"/>
    </row>
    <row r="971" ht="14.25" customHeight="1">
      <c r="H971" s="28"/>
      <c r="J971" s="24"/>
    </row>
    <row r="972" ht="14.25" customHeight="1">
      <c r="H972" s="28"/>
      <c r="J972" s="24"/>
    </row>
    <row r="973" ht="14.25" customHeight="1">
      <c r="H973" s="28"/>
      <c r="J973" s="24"/>
    </row>
    <row r="974" ht="14.25" customHeight="1">
      <c r="H974" s="28"/>
      <c r="J974" s="24"/>
    </row>
    <row r="975" ht="14.25" customHeight="1">
      <c r="H975" s="28"/>
      <c r="J975" s="24"/>
    </row>
    <row r="976" ht="14.25" customHeight="1">
      <c r="H976" s="28"/>
      <c r="J976" s="24"/>
    </row>
    <row r="977" ht="14.25" customHeight="1">
      <c r="H977" s="28"/>
      <c r="J977" s="24"/>
    </row>
    <row r="978" ht="14.25" customHeight="1">
      <c r="H978" s="28"/>
      <c r="J978" s="24"/>
    </row>
    <row r="979" ht="14.25" customHeight="1">
      <c r="H979" s="28"/>
      <c r="J979" s="24"/>
    </row>
    <row r="980" ht="14.25" customHeight="1">
      <c r="H980" s="28"/>
      <c r="J980" s="24"/>
    </row>
    <row r="981" ht="14.25" customHeight="1">
      <c r="H981" s="28"/>
      <c r="J981" s="24"/>
    </row>
    <row r="982" ht="14.25" customHeight="1">
      <c r="H982" s="28"/>
      <c r="J982" s="24"/>
    </row>
    <row r="983" ht="14.25" customHeight="1">
      <c r="H983" s="28"/>
      <c r="J983" s="24"/>
    </row>
    <row r="984" ht="14.25" customHeight="1">
      <c r="H984" s="28"/>
      <c r="J984" s="24"/>
    </row>
    <row r="985" ht="14.25" customHeight="1">
      <c r="H985" s="28"/>
      <c r="J985" s="24"/>
    </row>
    <row r="986" ht="14.25" customHeight="1">
      <c r="H986" s="28"/>
      <c r="J986" s="24"/>
    </row>
    <row r="987" ht="14.25" customHeight="1">
      <c r="H987" s="28"/>
      <c r="J987" s="24"/>
    </row>
    <row r="988" ht="14.25" customHeight="1">
      <c r="H988" s="28"/>
      <c r="J988" s="24"/>
    </row>
    <row r="989" ht="14.25" customHeight="1">
      <c r="H989" s="28"/>
      <c r="J989" s="24"/>
    </row>
    <row r="990" ht="14.25" customHeight="1">
      <c r="H990" s="28"/>
      <c r="J990" s="24"/>
    </row>
    <row r="991" ht="14.25" customHeight="1">
      <c r="H991" s="28"/>
      <c r="J991" s="24"/>
    </row>
    <row r="992" ht="14.25" customHeight="1">
      <c r="H992" s="28"/>
      <c r="J992" s="24"/>
    </row>
    <row r="993" ht="14.25" customHeight="1">
      <c r="H993" s="28"/>
      <c r="J993" s="24"/>
    </row>
    <row r="994" ht="14.25" customHeight="1">
      <c r="H994" s="28"/>
      <c r="J994" s="24"/>
    </row>
    <row r="995" ht="14.25" customHeight="1">
      <c r="H995" s="28"/>
      <c r="J995" s="24"/>
    </row>
    <row r="996" ht="14.25" customHeight="1">
      <c r="H996" s="28"/>
      <c r="J996" s="24"/>
    </row>
    <row r="997" ht="14.25" customHeight="1">
      <c r="H997" s="28"/>
      <c r="J997" s="24"/>
    </row>
    <row r="998" ht="14.25" customHeight="1">
      <c r="H998" s="28"/>
      <c r="J998" s="24"/>
    </row>
    <row r="999" ht="14.25" customHeight="1">
      <c r="H999" s="28"/>
      <c r="J999" s="24"/>
    </row>
    <row r="1000" ht="14.25" customHeight="1">
      <c r="H1000" s="28"/>
      <c r="J1000" s="24"/>
    </row>
    <row r="1001" ht="14.25" customHeight="1">
      <c r="H1001" s="28"/>
      <c r="J1001" s="24"/>
    </row>
    <row r="1002" ht="14.25" customHeight="1">
      <c r="H1002" s="28"/>
      <c r="J1002" s="24"/>
    </row>
    <row r="1003" ht="14.25" customHeight="1">
      <c r="H1003" s="28"/>
      <c r="J1003" s="24"/>
    </row>
    <row r="1004" ht="14.25" customHeight="1">
      <c r="H1004" s="28"/>
      <c r="J1004" s="24"/>
    </row>
    <row r="1005" ht="14.25" customHeight="1">
      <c r="H1005" s="28"/>
      <c r="J1005" s="24"/>
    </row>
    <row r="1006" ht="14.25" customHeight="1">
      <c r="H1006" s="28"/>
      <c r="J1006" s="24"/>
    </row>
    <row r="1007" ht="14.25" customHeight="1">
      <c r="H1007" s="28"/>
      <c r="J1007" s="24"/>
    </row>
    <row r="1008" ht="14.25" customHeight="1">
      <c r="H1008" s="28"/>
      <c r="J1008" s="24"/>
    </row>
    <row r="1009" ht="14.25" customHeight="1">
      <c r="H1009" s="28"/>
      <c r="J1009" s="24"/>
    </row>
    <row r="1010" ht="14.25" customHeight="1">
      <c r="H1010" s="28"/>
      <c r="J1010" s="24"/>
    </row>
    <row r="1011" ht="14.25" customHeight="1">
      <c r="H1011" s="28"/>
      <c r="J1011" s="24"/>
    </row>
  </sheetData>
  <mergeCells count="15">
    <mergeCell ref="B69:J70"/>
    <mergeCell ref="B75:J75"/>
    <mergeCell ref="B81:J82"/>
    <mergeCell ref="A112:E112"/>
    <mergeCell ref="A111:B111"/>
    <mergeCell ref="A110:B110"/>
    <mergeCell ref="A109:H109"/>
    <mergeCell ref="A107:B107"/>
    <mergeCell ref="B4:J4"/>
    <mergeCell ref="B10:J11"/>
    <mergeCell ref="B24:J25"/>
    <mergeCell ref="B31:J31"/>
    <mergeCell ref="B37:J38"/>
    <mergeCell ref="B49:J49"/>
    <mergeCell ref="B55:J56"/>
  </mergeCells>
  <conditionalFormatting sqref="C107">
    <cfRule type="cellIs" dxfId="0" priority="1" operator="between">
      <formula>30</formula>
      <formula>60</formula>
    </cfRule>
  </conditionalFormatting>
  <conditionalFormatting sqref="C107">
    <cfRule type="expression" dxfId="1" priority="2">
      <formula>"AND(c57&gt;=30;c57&lt;=60)"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86"/>
    <col customWidth="1" min="3" max="3" width="24.29"/>
    <col customWidth="1" min="4" max="4" width="22.57"/>
    <col customWidth="1" min="5" max="5" width="23.57"/>
    <col customWidth="1" min="6" max="6" width="23.14"/>
    <col customWidth="1" min="7" max="7" width="20.14"/>
    <col customWidth="1" min="8" max="26" width="8.71"/>
  </cols>
  <sheetData>
    <row r="1" ht="14.25" customHeight="1">
      <c r="A1" s="43" t="s">
        <v>132</v>
      </c>
      <c r="B1" s="44" t="s">
        <v>133</v>
      </c>
      <c r="C1" s="44" t="s">
        <v>134</v>
      </c>
      <c r="D1" s="44" t="s">
        <v>135</v>
      </c>
      <c r="E1" s="44" t="s">
        <v>136</v>
      </c>
      <c r="F1" s="44" t="s">
        <v>137</v>
      </c>
      <c r="G1" s="45" t="s">
        <v>138</v>
      </c>
      <c r="H1" s="43" t="s">
        <v>132</v>
      </c>
    </row>
    <row r="2" ht="14.25" customHeight="1">
      <c r="A2" s="46" t="s">
        <v>139</v>
      </c>
      <c r="B2" s="47">
        <v>2.0</v>
      </c>
      <c r="C2" s="48" t="s">
        <v>140</v>
      </c>
      <c r="D2" s="48"/>
      <c r="E2" s="48" t="s">
        <v>141</v>
      </c>
      <c r="F2" s="48">
        <v>0.0</v>
      </c>
      <c r="G2" s="49">
        <v>0.0</v>
      </c>
      <c r="H2" s="46" t="s">
        <v>139</v>
      </c>
    </row>
    <row r="3" ht="14.25" customHeight="1">
      <c r="A3" s="50"/>
      <c r="B3" s="47">
        <v>1.0</v>
      </c>
      <c r="C3" s="48" t="s">
        <v>142</v>
      </c>
      <c r="D3" s="48"/>
      <c r="E3" s="48"/>
      <c r="F3" s="48">
        <v>0.0</v>
      </c>
      <c r="G3" s="49">
        <v>0.0</v>
      </c>
      <c r="H3" s="50"/>
    </row>
    <row r="4" ht="14.25" customHeight="1">
      <c r="A4" s="50"/>
      <c r="B4" s="47">
        <v>1.0</v>
      </c>
      <c r="C4" s="48" t="s">
        <v>143</v>
      </c>
      <c r="D4" s="48"/>
      <c r="E4" s="48" t="s">
        <v>144</v>
      </c>
      <c r="F4" s="48">
        <v>750.0</v>
      </c>
      <c r="G4" s="49">
        <v>200.0</v>
      </c>
      <c r="H4" s="50"/>
    </row>
    <row r="5" ht="14.25" customHeight="1">
      <c r="A5" s="50"/>
      <c r="B5" s="47">
        <v>1.0</v>
      </c>
      <c r="C5" s="48" t="s">
        <v>142</v>
      </c>
      <c r="D5" s="48"/>
      <c r="G5" s="49">
        <v>0.0</v>
      </c>
      <c r="H5" s="50"/>
    </row>
    <row r="6" ht="14.25" customHeight="1">
      <c r="A6" s="50"/>
      <c r="B6" s="47">
        <v>1.0</v>
      </c>
      <c r="C6" s="48" t="s">
        <v>145</v>
      </c>
      <c r="D6" s="48"/>
      <c r="E6" s="48" t="s">
        <v>146</v>
      </c>
      <c r="F6" s="48">
        <v>0.0</v>
      </c>
      <c r="G6" s="49">
        <v>0.0</v>
      </c>
      <c r="H6" s="50"/>
    </row>
    <row r="7" ht="14.25" customHeight="1">
      <c r="A7" s="50"/>
      <c r="B7" s="47">
        <v>1.0</v>
      </c>
      <c r="C7" s="51" t="s">
        <v>142</v>
      </c>
      <c r="D7" s="48"/>
      <c r="E7" s="48"/>
      <c r="F7" s="48">
        <v>0.0</v>
      </c>
      <c r="G7" s="49">
        <v>0.0</v>
      </c>
      <c r="H7" s="50"/>
    </row>
    <row r="8" ht="14.25" customHeight="1">
      <c r="A8" s="50"/>
      <c r="B8" s="52">
        <v>1.0</v>
      </c>
      <c r="C8" s="53" t="s">
        <v>147</v>
      </c>
      <c r="D8" s="47"/>
      <c r="E8" s="48" t="s">
        <v>148</v>
      </c>
      <c r="F8" s="48">
        <v>300.0</v>
      </c>
      <c r="G8" s="49">
        <v>50.0</v>
      </c>
      <c r="H8" s="50"/>
    </row>
    <row r="9" ht="14.25" customHeight="1">
      <c r="A9" s="50"/>
      <c r="B9" s="52">
        <v>1.0</v>
      </c>
      <c r="C9" s="53" t="s">
        <v>142</v>
      </c>
      <c r="D9" s="47"/>
      <c r="F9" s="48"/>
      <c r="G9" s="49"/>
      <c r="H9" s="50"/>
    </row>
    <row r="10" ht="14.25" customHeight="1">
      <c r="A10" s="50"/>
      <c r="B10" s="52">
        <v>1.0</v>
      </c>
      <c r="C10" s="54" t="s">
        <v>145</v>
      </c>
      <c r="D10" s="47"/>
      <c r="E10" s="48" t="s">
        <v>146</v>
      </c>
      <c r="F10" s="48"/>
      <c r="G10" s="49"/>
      <c r="H10" s="50"/>
    </row>
    <row r="11" ht="14.25" customHeight="1">
      <c r="A11" s="50"/>
      <c r="B11" s="47">
        <v>1.0</v>
      </c>
      <c r="C11" s="55" t="s">
        <v>149</v>
      </c>
      <c r="D11" s="48"/>
      <c r="E11" s="48"/>
      <c r="F11" s="48"/>
      <c r="G11" s="49"/>
      <c r="H11" s="50"/>
    </row>
    <row r="12" ht="14.25" customHeight="1">
      <c r="A12" s="50"/>
      <c r="B12" s="47">
        <v>1.0</v>
      </c>
      <c r="C12" s="56" t="s">
        <v>150</v>
      </c>
      <c r="D12" s="48"/>
      <c r="E12" s="48"/>
      <c r="F12" s="48"/>
      <c r="G12" s="49"/>
      <c r="H12" s="50"/>
    </row>
    <row r="13" ht="14.25" customHeight="1">
      <c r="A13" s="50"/>
      <c r="B13" s="47">
        <v>1.0</v>
      </c>
      <c r="C13" s="56" t="s">
        <v>151</v>
      </c>
      <c r="D13" s="48"/>
      <c r="E13" s="48"/>
      <c r="F13" s="48"/>
      <c r="G13" s="49"/>
      <c r="H13" s="50"/>
    </row>
    <row r="14" ht="14.25" customHeight="1">
      <c r="A14" s="50"/>
      <c r="B14" s="47">
        <v>1.0</v>
      </c>
      <c r="C14" s="48"/>
      <c r="D14" s="48"/>
      <c r="E14" s="48"/>
      <c r="F14" s="48"/>
      <c r="G14" s="49"/>
      <c r="H14" s="50"/>
    </row>
    <row r="15" ht="14.25" customHeight="1">
      <c r="A15" s="50"/>
      <c r="B15" s="47">
        <v>1.0</v>
      </c>
      <c r="C15" s="48" t="s">
        <v>145</v>
      </c>
      <c r="D15" s="48"/>
      <c r="E15" s="48"/>
      <c r="F15" s="48"/>
      <c r="G15" s="49"/>
      <c r="H15" s="50"/>
    </row>
    <row r="16" ht="14.25" customHeight="1">
      <c r="A16" s="50"/>
      <c r="B16" s="47">
        <v>1.0</v>
      </c>
      <c r="C16" s="48" t="s">
        <v>145</v>
      </c>
      <c r="D16" s="48"/>
      <c r="E16" s="48"/>
      <c r="F16" s="48"/>
      <c r="G16" s="49"/>
      <c r="H16" s="50"/>
    </row>
    <row r="17" ht="14.25" customHeight="1">
      <c r="A17" s="50"/>
      <c r="B17" s="52">
        <v>7.0</v>
      </c>
      <c r="C17" s="57"/>
      <c r="D17" s="47"/>
      <c r="E17" s="48"/>
      <c r="F17" s="48"/>
      <c r="G17" s="49"/>
      <c r="H17" s="50"/>
    </row>
    <row r="18" ht="14.25" customHeight="1">
      <c r="A18" s="50"/>
      <c r="B18" s="52"/>
      <c r="C18" s="58"/>
      <c r="D18" s="47"/>
      <c r="E18" s="48"/>
      <c r="F18" s="48"/>
      <c r="G18" s="49"/>
      <c r="H18" s="50"/>
    </row>
    <row r="19" ht="14.25" customHeight="1">
      <c r="A19" s="50"/>
      <c r="B19" s="52"/>
      <c r="C19" s="58"/>
      <c r="D19" s="47"/>
      <c r="E19" s="48"/>
      <c r="F19" s="48"/>
      <c r="G19" s="49"/>
      <c r="H19" s="50"/>
    </row>
    <row r="20" ht="14.25" customHeight="1">
      <c r="A20" s="50"/>
      <c r="B20" s="52"/>
      <c r="C20" s="58"/>
      <c r="D20" s="47"/>
      <c r="E20" s="48"/>
      <c r="F20" s="48"/>
      <c r="G20" s="49"/>
      <c r="H20" s="50"/>
    </row>
    <row r="21" ht="14.25" customHeight="1">
      <c r="A21" s="50"/>
      <c r="B21" s="52"/>
      <c r="C21" s="58"/>
      <c r="D21" s="47"/>
      <c r="E21" s="48"/>
      <c r="F21" s="48"/>
      <c r="G21" s="49"/>
      <c r="H21" s="50"/>
    </row>
    <row r="22" ht="14.25" customHeight="1">
      <c r="A22" s="50"/>
      <c r="B22" s="52"/>
      <c r="C22" s="58"/>
      <c r="D22" s="47"/>
      <c r="E22" s="48"/>
      <c r="F22" s="48"/>
      <c r="G22" s="49"/>
      <c r="H22" s="50"/>
    </row>
    <row r="23" ht="14.25" customHeight="1">
      <c r="A23" s="50"/>
      <c r="B23" s="52"/>
      <c r="C23" s="59"/>
      <c r="D23" s="47"/>
      <c r="E23" s="48"/>
      <c r="F23" s="48"/>
      <c r="G23" s="49"/>
      <c r="H23" s="50"/>
    </row>
    <row r="24" ht="14.25" customHeight="1">
      <c r="A24" s="50"/>
      <c r="B24" s="47">
        <v>1.0</v>
      </c>
      <c r="C24" s="48" t="s">
        <v>145</v>
      </c>
      <c r="D24" s="48"/>
      <c r="E24" s="48"/>
      <c r="F24" s="48"/>
      <c r="G24" s="49"/>
      <c r="H24" s="50"/>
    </row>
    <row r="25" ht="14.25" customHeight="1">
      <c r="A25" s="50"/>
      <c r="B25" s="47">
        <v>1.0</v>
      </c>
      <c r="C25" s="48" t="s">
        <v>145</v>
      </c>
      <c r="D25" s="48"/>
      <c r="E25" s="48"/>
      <c r="F25" s="48"/>
      <c r="G25" s="49"/>
      <c r="H25" s="50"/>
    </row>
    <row r="26" ht="14.25" customHeight="1">
      <c r="A26" s="50"/>
      <c r="B26" s="47">
        <v>1.0</v>
      </c>
      <c r="C26" s="48" t="s">
        <v>145</v>
      </c>
      <c r="D26" s="48"/>
      <c r="E26" s="48"/>
      <c r="F26" s="48"/>
      <c r="G26" s="49"/>
      <c r="H26" s="50"/>
    </row>
    <row r="27" ht="14.25" customHeight="1">
      <c r="A27" s="50"/>
      <c r="B27" s="47">
        <v>1.0</v>
      </c>
      <c r="C27" s="48"/>
      <c r="D27" s="48"/>
      <c r="E27" s="48"/>
      <c r="F27" s="48"/>
      <c r="G27" s="49"/>
      <c r="H27" s="50"/>
    </row>
    <row r="28" ht="14.25" customHeight="1">
      <c r="A28" s="50"/>
      <c r="B28" s="47">
        <v>1.0</v>
      </c>
      <c r="C28" s="48"/>
      <c r="D28" s="48"/>
      <c r="E28" s="48"/>
      <c r="F28" s="48"/>
      <c r="G28" s="49"/>
      <c r="H28" s="50"/>
    </row>
    <row r="29" ht="14.25" customHeight="1">
      <c r="A29" s="50"/>
      <c r="B29" s="47">
        <v>1.0</v>
      </c>
      <c r="C29" s="48" t="s">
        <v>152</v>
      </c>
      <c r="E29" s="48" t="s">
        <v>153</v>
      </c>
      <c r="F29" s="48">
        <v>200.0</v>
      </c>
      <c r="G29" s="49">
        <v>50.0</v>
      </c>
      <c r="H29" s="50"/>
    </row>
    <row r="30" ht="14.25" customHeight="1">
      <c r="A30" s="50"/>
      <c r="B30" s="47">
        <v>6.0</v>
      </c>
      <c r="C30" s="6" t="s">
        <v>154</v>
      </c>
      <c r="D30" s="48"/>
      <c r="E30" s="48"/>
      <c r="F30" s="48"/>
      <c r="G30" s="49"/>
      <c r="H30" s="50"/>
    </row>
    <row r="31" ht="14.25" customHeight="1">
      <c r="A31" s="50"/>
      <c r="B31" s="47"/>
      <c r="C31" s="48"/>
      <c r="D31" s="48"/>
      <c r="E31" s="48"/>
      <c r="F31" s="48"/>
      <c r="G31" s="49"/>
      <c r="H31" s="50"/>
    </row>
    <row r="32" ht="14.25" customHeight="1">
      <c r="A32" s="50"/>
      <c r="B32" s="47"/>
      <c r="C32" s="48"/>
      <c r="D32" s="48"/>
      <c r="E32" s="48"/>
      <c r="F32" s="48"/>
      <c r="G32" s="49"/>
      <c r="H32" s="50"/>
    </row>
    <row r="33" ht="14.25" customHeight="1">
      <c r="A33" s="50"/>
      <c r="B33" s="47"/>
      <c r="C33" s="48"/>
      <c r="D33" s="48"/>
      <c r="E33" s="48"/>
      <c r="F33" s="48"/>
      <c r="G33" s="49"/>
      <c r="H33" s="50"/>
    </row>
    <row r="34" ht="14.25" customHeight="1">
      <c r="A34" s="50"/>
      <c r="B34" s="47">
        <v>1.0</v>
      </c>
      <c r="C34" s="48" t="s">
        <v>145</v>
      </c>
      <c r="D34" s="48"/>
      <c r="E34" s="48" t="s">
        <v>148</v>
      </c>
      <c r="F34" s="48"/>
      <c r="G34" s="49"/>
      <c r="H34" s="50"/>
    </row>
    <row r="35" ht="14.25" customHeight="1">
      <c r="A35" s="50"/>
      <c r="B35" s="47">
        <v>1.0</v>
      </c>
      <c r="C35" s="48" t="s">
        <v>155</v>
      </c>
      <c r="D35" s="48"/>
      <c r="E35" s="48"/>
      <c r="F35" s="48"/>
      <c r="G35" s="49"/>
      <c r="H35" s="50"/>
    </row>
    <row r="36" ht="14.25" customHeight="1">
      <c r="A36" s="50"/>
      <c r="B36" s="47">
        <v>1.0</v>
      </c>
      <c r="C36" s="48" t="s">
        <v>156</v>
      </c>
      <c r="D36" s="48"/>
      <c r="E36" s="48" t="s">
        <v>144</v>
      </c>
      <c r="F36" s="48">
        <v>750.0</v>
      </c>
      <c r="G36" s="49">
        <v>200.0</v>
      </c>
      <c r="H36" s="50"/>
    </row>
    <row r="37" ht="14.25" customHeight="1">
      <c r="A37" s="50"/>
      <c r="B37" s="47">
        <v>2.0</v>
      </c>
      <c r="C37" s="48" t="s">
        <v>157</v>
      </c>
      <c r="D37" s="48"/>
      <c r="E37" s="48"/>
      <c r="F37" s="48"/>
      <c r="G37" s="49"/>
      <c r="H37" s="50"/>
    </row>
    <row r="38" ht="14.25" customHeight="1">
      <c r="A38" s="50"/>
      <c r="B38" s="47">
        <v>4.0</v>
      </c>
      <c r="C38" s="48" t="s">
        <v>158</v>
      </c>
      <c r="D38" s="48"/>
      <c r="E38" s="48"/>
      <c r="F38" s="60">
        <v>1000.0</v>
      </c>
      <c r="G38" s="49">
        <v>250.0</v>
      </c>
      <c r="H38" s="50"/>
    </row>
    <row r="39" ht="14.25" customHeight="1">
      <c r="A39" s="50"/>
      <c r="B39" s="47">
        <v>4.0</v>
      </c>
      <c r="C39" s="48" t="s">
        <v>159</v>
      </c>
      <c r="D39" s="48"/>
      <c r="E39" s="48"/>
      <c r="F39" s="60">
        <v>1000.0</v>
      </c>
      <c r="G39" s="49">
        <v>250.0</v>
      </c>
      <c r="H39" s="50"/>
    </row>
    <row r="40" ht="14.25" customHeight="1">
      <c r="A40" s="50"/>
      <c r="B40" s="47"/>
      <c r="C40" s="48"/>
      <c r="D40" s="48"/>
      <c r="E40" s="48"/>
      <c r="F40" s="48"/>
      <c r="G40" s="49"/>
      <c r="H40" s="50"/>
    </row>
    <row r="41" ht="14.25" customHeight="1">
      <c r="A41" s="50"/>
      <c r="B41" s="47"/>
      <c r="C41" s="48"/>
      <c r="D41" s="48"/>
      <c r="E41" s="48"/>
      <c r="F41" s="48"/>
      <c r="G41" s="49"/>
      <c r="H41" s="50"/>
    </row>
    <row r="42" ht="14.25" customHeight="1">
      <c r="A42" s="50"/>
      <c r="B42" s="61"/>
      <c r="C42" s="51"/>
      <c r="D42" s="51"/>
      <c r="E42" s="51"/>
      <c r="F42" s="51"/>
      <c r="G42" s="62"/>
      <c r="H42" s="50"/>
    </row>
    <row r="43" ht="14.25" customHeight="1">
      <c r="A43" s="63" t="s">
        <v>160</v>
      </c>
      <c r="B43" s="64">
        <f>SUM(B2:B42)</f>
        <v>48</v>
      </c>
      <c r="C43" s="64"/>
      <c r="D43" s="64"/>
      <c r="E43" s="64"/>
      <c r="F43" s="64">
        <f>SUM(F2:F37)</f>
        <v>2000</v>
      </c>
      <c r="G43" s="64">
        <f>SUM(G2:G42)</f>
        <v>1000</v>
      </c>
      <c r="H43" s="65"/>
    </row>
    <row r="44" ht="14.25" customHeight="1">
      <c r="E44" s="66" t="s">
        <v>161</v>
      </c>
      <c r="F44" s="66">
        <f>F38+F39</f>
        <v>2000</v>
      </c>
    </row>
    <row r="45" ht="14.25" customHeight="1">
      <c r="F45" s="67" t="s">
        <v>162</v>
      </c>
      <c r="G45" s="67" t="s">
        <v>163</v>
      </c>
    </row>
    <row r="46" ht="14.25" customHeight="1">
      <c r="C46" s="68" t="s">
        <v>164</v>
      </c>
      <c r="D46" s="44"/>
      <c r="E46" s="44"/>
      <c r="F46" s="44">
        <v>2500.0</v>
      </c>
      <c r="G46" s="45">
        <v>12000.0</v>
      </c>
    </row>
    <row r="47" ht="14.25" customHeight="1">
      <c r="C47" s="69" t="s">
        <v>165</v>
      </c>
      <c r="D47" s="70"/>
      <c r="E47" s="70"/>
      <c r="F47" s="70">
        <v>2500.0</v>
      </c>
      <c r="G47" s="71">
        <v>12000.0</v>
      </c>
    </row>
    <row r="48" ht="14.25" customHeight="1"/>
    <row r="49" ht="14.25" customHeight="1">
      <c r="E49" s="72" t="s">
        <v>160</v>
      </c>
      <c r="F49" s="72">
        <f t="shared" ref="F49:G49" si="1">SUM(F46:F47)</f>
        <v>5000</v>
      </c>
      <c r="G49" s="72">
        <f t="shared" si="1"/>
        <v>24000</v>
      </c>
    </row>
    <row r="50" ht="42.75" customHeight="1">
      <c r="C50" s="73" t="s">
        <v>166</v>
      </c>
      <c r="D50" s="74">
        <v>352.0</v>
      </c>
      <c r="E50" s="22"/>
      <c r="F50" s="22"/>
      <c r="G50" s="22"/>
    </row>
    <row r="51" ht="48.75" customHeight="1">
      <c r="C51" s="75" t="s">
        <v>167</v>
      </c>
      <c r="D51" s="76">
        <f>COUNTIF(C1:C43,"Patch Pannel UTP")*24</f>
        <v>192</v>
      </c>
      <c r="E51" s="77" t="s">
        <v>168</v>
      </c>
      <c r="F51" s="22"/>
      <c r="G51" s="22"/>
    </row>
    <row r="52" ht="14.25" customHeight="1">
      <c r="E52" s="22"/>
      <c r="F52" s="22"/>
      <c r="G52" s="22"/>
    </row>
    <row r="53" ht="14.25" customHeight="1">
      <c r="A53" s="67" t="s">
        <v>169</v>
      </c>
      <c r="B53" s="67" t="s">
        <v>170</v>
      </c>
    </row>
    <row r="54" ht="14.25" customHeight="1">
      <c r="B54" s="67" t="s">
        <v>171</v>
      </c>
    </row>
    <row r="55" ht="14.25" customHeight="1">
      <c r="B55" s="67" t="s">
        <v>172</v>
      </c>
    </row>
    <row r="56" ht="14.25" customHeight="1">
      <c r="B56" s="60" t="s">
        <v>173</v>
      </c>
      <c r="C56" s="60"/>
      <c r="D56" s="60"/>
      <c r="E56" s="60"/>
      <c r="F56" s="60"/>
      <c r="G56" s="60"/>
    </row>
    <row r="57" ht="14.25" customHeight="1">
      <c r="B57" s="67" t="s">
        <v>174</v>
      </c>
    </row>
    <row r="58" ht="14.25" customHeight="1">
      <c r="B58" s="67" t="s">
        <v>175</v>
      </c>
    </row>
    <row r="59" ht="14.25" customHeight="1">
      <c r="B59" s="74" t="s">
        <v>176</v>
      </c>
      <c r="C59" s="74"/>
      <c r="D59" s="74"/>
      <c r="E59" s="74"/>
      <c r="F59" s="74"/>
      <c r="G59" s="74"/>
    </row>
    <row r="60" ht="14.25" customHeight="1">
      <c r="B60" s="74" t="s">
        <v>177</v>
      </c>
      <c r="C60" s="74"/>
      <c r="D60" s="74"/>
      <c r="E60" s="74"/>
      <c r="F60" s="74"/>
      <c r="G60" s="74"/>
    </row>
    <row r="61" ht="14.25" customHeight="1">
      <c r="B61" s="78" t="s">
        <v>178</v>
      </c>
      <c r="C61" s="78"/>
      <c r="D61" s="78"/>
      <c r="E61" s="78"/>
      <c r="F61" s="78"/>
      <c r="G61" s="78"/>
    </row>
    <row r="62" ht="14.25" customHeight="1">
      <c r="B62" s="67" t="s">
        <v>179</v>
      </c>
    </row>
    <row r="63" ht="14.25" customHeight="1">
      <c r="B63" s="67" t="s">
        <v>180</v>
      </c>
    </row>
    <row r="64" ht="14.25" customHeight="1">
      <c r="B64" s="79" t="s">
        <v>181</v>
      </c>
      <c r="C64" s="79"/>
      <c r="D64" s="79"/>
      <c r="E64" s="79"/>
      <c r="F64" s="79"/>
      <c r="G64" s="79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2:A42"/>
    <mergeCell ref="H2:H4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2020-03-30T08:46:30Z</dcterms:created>
  <dc:creator>cemil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