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962371DD-3EFD-469D-ABE9-A6D73125D0D3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  <sheet name="Traffic Estimation" sheetId="7" r:id="rId6"/>
    <sheet name="Equipmen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I34" i="7" l="1"/>
  <c r="E22" i="7"/>
  <c r="E23" i="7"/>
  <c r="E24" i="7"/>
  <c r="D24" i="7" s="1"/>
  <c r="E25" i="7"/>
  <c r="D25" i="7" s="1"/>
  <c r="E26" i="7"/>
  <c r="D26" i="7" s="1"/>
  <c r="E27" i="7"/>
  <c r="D27" i="7" s="1"/>
  <c r="E28" i="7"/>
  <c r="D28" i="7" s="1"/>
  <c r="E29" i="7"/>
  <c r="D29" i="7" s="1"/>
  <c r="E30" i="7"/>
  <c r="D30" i="7" s="1"/>
  <c r="E31" i="7"/>
  <c r="D31" i="7" s="1"/>
  <c r="E32" i="7"/>
  <c r="D32" i="7" s="1"/>
  <c r="E33" i="7"/>
  <c r="D33" i="7" s="1"/>
  <c r="E11" i="7"/>
  <c r="D11" i="7" s="1"/>
  <c r="E12" i="7"/>
  <c r="D12" i="7" s="1"/>
  <c r="E13" i="7"/>
  <c r="D13" i="7" s="1"/>
  <c r="E14" i="7"/>
  <c r="E15" i="7"/>
  <c r="D15" i="7" s="1"/>
  <c r="E16" i="7"/>
  <c r="D16" i="7" s="1"/>
  <c r="E17" i="7"/>
  <c r="D17" i="7" s="1"/>
  <c r="E18" i="7"/>
  <c r="D18" i="7" s="1"/>
  <c r="E19" i="7"/>
  <c r="D19" i="7" s="1"/>
  <c r="E20" i="7"/>
  <c r="D20" i="7" s="1"/>
  <c r="E21" i="7"/>
  <c r="D21" i="7" s="1"/>
  <c r="E10" i="7"/>
  <c r="D10" i="7" s="1"/>
  <c r="D14" i="7"/>
  <c r="D22" i="7"/>
  <c r="D23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D34" i="7" l="1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<sst xmlns="http://schemas.openxmlformats.org/spreadsheetml/2006/main" count="409" uniqueCount="224">
  <si>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</si>
  <si>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</si>
  <si>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</si>
  <si>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</si>
  <si>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</si>
  <si>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</si>
  <si>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</si>
  <si>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</si>
  <si>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</si>
  <si>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</si>
  <si>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</si>
  <si>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</si>
  <si>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</si>
  <si>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</si>
  <si>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</si>
  <si>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</si>
  <si>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</si>
  <si>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</si>
  <si>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</si>
  <si>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</si>
  <si>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</si>
  <si>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</si>
  <si>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</si>
  <si>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</si>
  <si>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</si>
  <si>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</si>
  <si>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</si>
  <si>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</si>
  <si>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</si>
  <si>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</si>
  <si>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</si>
  <si>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</si>
  <si>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</si>
  <si>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</si>
  <si>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</si>
  <si>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</si>
  <si>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</si>
  <si>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</si>
  <si>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</si>
  <si>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</si>
  <si>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</si>
  <si>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</si>
  <si>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</si>
  <si>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</si>
  <si>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</si>
  <si>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</si>
  <si>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</si>
  <si>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</si>
  <si>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</si>
  <si>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</si>
  <si>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</si>
  <si>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</si>
  <si>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</si>
  <si>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</si>
  <si>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</si>
  <si>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</si>
  <si>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</si>
  <si>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</si>
  <si>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</si>
  <si>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</si>
  <si>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</si>
  <si>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</si>
  <si>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</si>
  <si>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</si>
  <si>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</si>
  <si>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</si>
  <si>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</si>
  <si>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</si>
  <si>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</si>
  <si>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</si>
  <si>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</si>
  <si>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</si>
  <si>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</si>
  <si>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</si>
  <si>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</si>
  <si>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</si>
  <si>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</si>
  <si>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</si>
  <si>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</si>
  <si>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</si>
  <si>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</si>
  <si>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</si>
  <si>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</si>
  <si>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</si>
  <si>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</si>
  <si>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</si>
  <si>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</si>
  <si>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</si>
  <si>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</si>
  <si>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</si>
  <si>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</si>
  <si>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</si>
  <si>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</si>
  <si>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</si>
  <si>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</si>
  <si>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</si>
  <si>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</si>
  <si>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</si>
  <si>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</si>
  <si>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</si>
  <si>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</si>
  <si>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</si>
  <si>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</si>
  <si>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</si>
  <si>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</si>
  <si>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</si>
  <si>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</si>
  <si>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</si>
  <si>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</si>
  <si>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</si>
  <si>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</si>
  <si>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</si>
  <si>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</si>
  <si>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</si>
  <si>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</si>
  <si>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</si>
  <si>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</si>
  <si>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</si>
  <si>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</si>
  <si>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</si>
  <si>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</si>
  <si>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</si>
  <si>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</si>
  <si>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</si>
  <si>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</si>
  <si>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</si>
  <si>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</si>
  <si>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</si>
  <si>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</si>
  <si>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</si>
  <si>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</si>
  <si>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</si>
  <si>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</si>
  <si>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</si>
  <si>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</si>
  <si>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</si>
  <si>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</si>
  <si>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</si>
  <si>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</si>
  <si>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</si>
  <si>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</si>
  <si>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</si>
  <si>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</si>
  <si>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</si>
  <si>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</si>
  <si>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</si>
  <si>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</si>
  <si>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</si>
  <si>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</si>
  <si>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</si>
  <si>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</si>
  <si>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</si>
  <si>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</si>
  <si>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</si>
  <si>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</si>
  <si>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</si>
  <si>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</si>
  <si>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</si>
  <si>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</si>
  <si>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</si>
  <si>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</si>
  <si>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</si>
  <si>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</si>
  <si>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</si>
  <si>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</si>
  <si>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</si>
  <si>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</si>
  <si>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</si>
  <si>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</si>
  <si>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</si>
  <si>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</si>
  <si>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</si>
  <si>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</si>
  <si>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</si>
  <si>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</si>
  <si>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</si>
  <si>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</si>
  <si>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</si>
  <si>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</si>
  <si>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</si>
  <si>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</si>
  <si>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</si>
  <si>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</si>
  <si>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</si>
  <si>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</si>
  <si>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</si>
  <si>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</si>
  <si>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</si>
  <si>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</si>
  <si>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</si>
  <si>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</si>
  <si>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</si>
  <si>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</si>
  <si>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</si>
  <si>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</si>
  <si>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</si>
  <si>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</si>
  <si>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</si>
  <si>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</si>
  <si>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</si>
  <si>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</si>
  <si>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</si>
  <si>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</si>
  <si>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</si>
  <si>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</si>
  <si>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</si>
  <si>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</si>
  <si>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</si>
  <si>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Number of switch entries</t>
  </si>
  <si>
    <t>ACCESS POINT</t>
  </si>
  <si>
    <t>FIREWALL</t>
  </si>
  <si>
    <t>CHASSIS</t>
  </si>
  <si>
    <t>SUPERVISOR</t>
  </si>
  <si>
    <t>LINE CARD</t>
  </si>
  <si>
    <t>link</t>
  </si>
  <si>
    <t>Required number/DF</t>
  </si>
  <si>
    <t>Total Number</t>
  </si>
  <si>
    <t>Catalyst 9610R</t>
  </si>
  <si>
    <t>Secure FW 3130</t>
  </si>
  <si>
    <t>Catalyst 9178AXI</t>
  </si>
  <si>
    <t>IP PHONES</t>
  </si>
  <si>
    <t>CP-8851</t>
  </si>
  <si>
    <t>C9610-SUP-2 (+ L3 switching)</t>
  </si>
  <si>
    <t>C9600-LC-48TX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</si>
</sst>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8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65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2" fillId="7" borderId="2" xfId="0" applyFont="1" applyFill="1" applyBorder="1" applyAlignment="1">
      <alignment horizontal="center" vertic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0" fillId="0" borderId="55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0" fillId="0" borderId="77" xfId="0" applyBorder="1"/>
    <xf numFmtId="0" fontId="0" fillId="0" borderId="78" xfId="0" applyBorder="1"/>
    <xf numFmtId="0" fontId="0" fillId="0" borderId="54" xfId="0" applyBorder="1"/>
    <xf numFmtId="0" fontId="0" fillId="0" borderId="71" xfId="0" applyBorder="1"/>
    <xf numFmtId="0" fontId="0" fillId="0" borderId="58" xfId="0" applyBorder="1"/>
    <xf numFmtId="0" fontId="0" fillId="0" borderId="65" xfId="0" applyBorder="1"/>
    <xf numFmtId="0" fontId="0" fillId="0" borderId="62" xfId="0" applyBorder="1"/>
    <xf numFmtId="0" fontId="0" fillId="0" borderId="63" xfId="0" applyBorder="1"/>
    <xf numFmtId="0" fontId="12" fillId="0" borderId="75" xfId="0" applyFon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2" fillId="0" borderId="76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67" xfId="0" applyFont="1" applyBorder="1" applyAlignment="1">
      <alignment horizontal="center" vertical="center"/>
    </xf>
    <xf numFmtId="0" fontId="12" fillId="0" borderId="73" xfId="0" applyFont="1" applyBorder="1" applyAlignment="1">
      <alignment horizontal="center" vertical="center"/>
    </xf>
    <xf numFmtId="0" fontId="12" fillId="0" borderId="72" xfId="0" applyFont="1" applyBorder="1" applyAlignment="1">
      <alignment horizontal="center" vertical="center"/>
    </xf>
    <xf numFmtId="0" fontId="12" fillId="0" borderId="61" xfId="0" applyFont="1" applyBorder="1"/>
    <xf numFmtId="0" fontId="12" fillId="0" borderId="62" xfId="0" applyFont="1" applyBorder="1"/>
    <xf numFmtId="0" fontId="13" fillId="0" borderId="69" xfId="1" applyBorder="1"/>
    <xf numFmtId="0" fontId="0" fillId="0" borderId="69" xfId="0" applyBorder="1"/>
    <xf numFmtId="0" fontId="0" fillId="0" borderId="70" xfId="0" applyBorder="1"/>
    <xf numFmtId="0" fontId="0" fillId="0" borderId="38" xfId="0" applyBorder="1" applyAlignment="1">
      <alignment horizontal="center" vertical="center"/>
    </xf>
    <xf numFmtId="0" fontId="0" fillId="0" borderId="61" xfId="0" applyBorder="1"/>
    <xf numFmtId="0" fontId="0" fillId="0" borderId="40" xfId="0" applyBorder="1" applyAlignment="1">
      <alignment horizontal="center" vertical="center"/>
    </xf>
    <xf numFmtId="0" fontId="13" fillId="0" borderId="70" xfId="1" applyBorder="1"/>
    <xf numFmtId="0" fontId="14" fillId="0" borderId="68" xfId="1" applyFont="1" applyBorder="1"/>
    <xf numFmtId="0" fontId="12" fillId="0" borderId="72" xfId="0" applyFont="1" applyBorder="1"/>
    <xf numFmtId="0" fontId="12" fillId="0" borderId="73" xfId="0" applyFont="1" applyBorder="1"/>
    <xf numFmtId="0" fontId="0" fillId="0" borderId="79" xfId="0" applyBorder="1"/>
    <xf numFmtId="0" fontId="0" fillId="0" borderId="68" xfId="0" applyBorder="1"/>
    <xf numFmtId="0" fontId="0" fillId="0" borderId="74" xfId="0" applyBorder="1"/>
    <xf numFmtId="0" fontId="0" fillId="0" borderId="73" xfId="0" applyFont="1" applyFill="1" applyBorder="1"/>
    <xf numFmtId="0" fontId="13" fillId="0" borderId="79" xfId="1" applyBorder="1"/>
    <xf numFmtId="0" fontId="0" fillId="0" borderId="80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isco.com/c/en/us/products/collateral/security/firewalls/secure-firewall-3100-series-ds.html" TargetMode="External"/><Relationship Id="rId2" Type="http://schemas.openxmlformats.org/officeDocument/2006/relationships/hyperlink" Target="https://www.cisco.com/site/us/en/products/networking/switches/c9610-series-smart-switches/index.html" TargetMode="External"/><Relationship Id="rId1" Type="http://schemas.openxmlformats.org/officeDocument/2006/relationships/hyperlink" Target="https://www.cisco.com/site/us/en/products/networking/switches/c9610-series-smart-switches/index.html" TargetMode="External"/><Relationship Id="rId5" Type="http://schemas.openxmlformats.org/officeDocument/2006/relationships/hyperlink" Target="https://www.cisco.com/c/en/us/products/collateral/collaboration-endpoints/unified-ip-phone-8800-series/ip-phone-8851-ds.html" TargetMode="External"/><Relationship Id="rId4" Type="http://schemas.openxmlformats.org/officeDocument/2006/relationships/hyperlink" Target="https://www.cisco.com/c/en/us/products/collateral/wireless/catalyst-9100ax-access-points/wireless-9178-series-access-point-d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2" activePane="bottomLeft" state="frozen"/>
      <selection pane="bottomLeft" activeCell="I20" sqref="I20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89" t="s">
        <v>11</v>
      </c>
      <c r="C4" s="90"/>
      <c r="D4" s="90"/>
      <c r="E4" s="90"/>
      <c r="F4" s="90"/>
      <c r="G4" s="90"/>
      <c r="H4" s="90"/>
      <c r="I4" s="90"/>
      <c r="J4" s="91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83" t="s">
        <v>23</v>
      </c>
      <c r="C10" s="84"/>
      <c r="D10" s="84"/>
      <c r="E10" s="84"/>
      <c r="F10" s="84"/>
      <c r="G10" s="84"/>
      <c r="H10" s="84"/>
      <c r="I10" s="84"/>
      <c r="J10" s="85"/>
    </row>
    <row r="11" spans="1:10" ht="14.25" customHeight="1" x14ac:dyDescent="0.3">
      <c r="A11" s="12" t="s">
        <v>24</v>
      </c>
      <c r="B11" s="86"/>
      <c r="C11" s="87"/>
      <c r="D11" s="87"/>
      <c r="E11" s="87"/>
      <c r="F11" s="87"/>
      <c r="G11" s="87"/>
      <c r="H11" s="87"/>
      <c r="I11" s="87"/>
      <c r="J11" s="88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83" t="s">
        <v>23</v>
      </c>
      <c r="C24" s="84"/>
      <c r="D24" s="84"/>
      <c r="E24" s="84"/>
      <c r="F24" s="84"/>
      <c r="G24" s="84"/>
      <c r="H24" s="84"/>
      <c r="I24" s="84"/>
      <c r="J24" s="85"/>
    </row>
    <row r="25" spans="1:10" ht="14.25" customHeight="1" x14ac:dyDescent="0.3">
      <c r="A25" s="12" t="s">
        <v>42</v>
      </c>
      <c r="B25" s="86"/>
      <c r="C25" s="87"/>
      <c r="D25" s="87"/>
      <c r="E25" s="87"/>
      <c r="F25" s="87"/>
      <c r="G25" s="87"/>
      <c r="H25" s="87"/>
      <c r="I25" s="87"/>
      <c r="J25" s="88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89" t="s">
        <v>39</v>
      </c>
      <c r="C31" s="90"/>
      <c r="D31" s="90"/>
      <c r="E31" s="90"/>
      <c r="F31" s="90"/>
      <c r="G31" s="90"/>
      <c r="H31" s="90"/>
      <c r="I31" s="90"/>
      <c r="J31" s="91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92" t="s">
        <v>23</v>
      </c>
      <c r="C37" s="84"/>
      <c r="D37" s="84"/>
      <c r="E37" s="84"/>
      <c r="F37" s="84"/>
      <c r="G37" s="84"/>
      <c r="H37" s="84"/>
      <c r="I37" s="84"/>
      <c r="J37" s="85"/>
    </row>
    <row r="38" spans="1:10" ht="14.25" customHeight="1" x14ac:dyDescent="0.3">
      <c r="A38" s="12" t="s">
        <v>58</v>
      </c>
      <c r="B38" s="86"/>
      <c r="C38" s="87"/>
      <c r="D38" s="87"/>
      <c r="E38" s="87"/>
      <c r="F38" s="87"/>
      <c r="G38" s="87"/>
      <c r="H38" s="87"/>
      <c r="I38" s="87"/>
      <c r="J38" s="88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101" t="s">
        <v>68</v>
      </c>
      <c r="C49" s="90"/>
      <c r="D49" s="90"/>
      <c r="E49" s="90"/>
      <c r="F49" s="90"/>
      <c r="G49" s="90"/>
      <c r="H49" s="90"/>
      <c r="I49" s="90"/>
      <c r="J49" s="91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83" t="s">
        <v>23</v>
      </c>
      <c r="C55" s="84"/>
      <c r="D55" s="84"/>
      <c r="E55" s="84"/>
      <c r="F55" s="84"/>
      <c r="G55" s="84"/>
      <c r="H55" s="84"/>
      <c r="I55" s="84"/>
      <c r="J55" s="85"/>
    </row>
    <row r="56" spans="1:10" ht="14.25" customHeight="1" x14ac:dyDescent="0.3">
      <c r="A56" s="12" t="s">
        <v>77</v>
      </c>
      <c r="B56" s="86"/>
      <c r="C56" s="87"/>
      <c r="D56" s="87"/>
      <c r="E56" s="87"/>
      <c r="F56" s="87"/>
      <c r="G56" s="87"/>
      <c r="H56" s="87"/>
      <c r="I56" s="87"/>
      <c r="J56" s="88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83" t="s">
        <v>23</v>
      </c>
      <c r="C69" s="84"/>
      <c r="D69" s="84"/>
      <c r="E69" s="84"/>
      <c r="F69" s="84"/>
      <c r="G69" s="84"/>
      <c r="H69" s="84"/>
      <c r="I69" s="84"/>
      <c r="J69" s="85"/>
    </row>
    <row r="70" spans="1:10" ht="14.25" customHeight="1" x14ac:dyDescent="0.3">
      <c r="A70" s="12" t="s">
        <v>91</v>
      </c>
      <c r="B70" s="86"/>
      <c r="C70" s="87"/>
      <c r="D70" s="87"/>
      <c r="E70" s="87"/>
      <c r="F70" s="87"/>
      <c r="G70" s="87"/>
      <c r="H70" s="87"/>
      <c r="I70" s="87"/>
      <c r="J70" s="88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89" t="s">
        <v>88</v>
      </c>
      <c r="C75" s="90"/>
      <c r="D75" s="90"/>
      <c r="E75" s="90"/>
      <c r="F75" s="90"/>
      <c r="G75" s="90"/>
      <c r="H75" s="90"/>
      <c r="I75" s="90"/>
      <c r="J75" s="91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92" t="s">
        <v>23</v>
      </c>
      <c r="C81" s="84"/>
      <c r="D81" s="84"/>
      <c r="E81" s="84"/>
      <c r="F81" s="84"/>
      <c r="G81" s="84"/>
      <c r="H81" s="84"/>
      <c r="I81" s="84"/>
      <c r="J81" s="85"/>
    </row>
    <row r="82" spans="1:10" ht="14.25" customHeight="1" x14ac:dyDescent="0.3">
      <c r="A82" s="12" t="s">
        <v>104</v>
      </c>
      <c r="B82" s="86"/>
      <c r="C82" s="87"/>
      <c r="D82" s="87"/>
      <c r="E82" s="87"/>
      <c r="F82" s="87"/>
      <c r="G82" s="87"/>
      <c r="H82" s="87"/>
      <c r="I82" s="87"/>
      <c r="J82" s="88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99" t="s">
        <v>126</v>
      </c>
      <c r="B97" s="100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98" t="s">
        <v>127</v>
      </c>
      <c r="B99" s="94"/>
      <c r="C99" s="94"/>
      <c r="D99" s="94"/>
      <c r="E99" s="94"/>
      <c r="F99" s="94"/>
      <c r="G99" s="94"/>
      <c r="H99" s="95"/>
      <c r="J99" s="15"/>
    </row>
    <row r="100" spans="1:10" ht="14.25" customHeight="1" x14ac:dyDescent="0.3">
      <c r="A100" s="97" t="s">
        <v>128</v>
      </c>
      <c r="B100" s="95"/>
      <c r="H100" s="17"/>
      <c r="J100" s="15"/>
    </row>
    <row r="101" spans="1:10" ht="14.25" customHeight="1" x14ac:dyDescent="0.3">
      <c r="A101" s="96" t="s">
        <v>129</v>
      </c>
      <c r="B101" s="95"/>
      <c r="H101" s="17"/>
      <c r="J101" s="15"/>
    </row>
    <row r="102" spans="1:10" ht="14.25" customHeight="1" x14ac:dyDescent="0.3">
      <c r="A102" s="93" t="s">
        <v>130</v>
      </c>
      <c r="B102" s="94"/>
      <c r="C102" s="94"/>
      <c r="D102" s="94"/>
      <c r="E102" s="95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49:J49"/>
    <mergeCell ref="B55:J56"/>
    <mergeCell ref="B4:J4"/>
    <mergeCell ref="B10:J11"/>
    <mergeCell ref="B24:J25"/>
    <mergeCell ref="B31:J31"/>
    <mergeCell ref="B37:J38"/>
    <mergeCell ref="B69:J70"/>
    <mergeCell ref="B75:J75"/>
    <mergeCell ref="B81:J82"/>
    <mergeCell ref="A102:E102"/>
    <mergeCell ref="A101:B101"/>
    <mergeCell ref="A100:B100"/>
    <mergeCell ref="A99:H99"/>
    <mergeCell ref="A97:B97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113" t="s">
        <v>115</v>
      </c>
      <c r="B1" s="114"/>
      <c r="C1" s="114"/>
      <c r="D1" s="114"/>
      <c r="E1" s="114"/>
      <c r="F1" s="115"/>
      <c r="G1" s="59"/>
      <c r="H1" s="56"/>
      <c r="I1" s="55"/>
      <c r="J1" s="57"/>
    </row>
    <row r="2" spans="1:10" ht="16.2" thickBot="1" x14ac:dyDescent="0.35">
      <c r="A2" s="121" t="s">
        <v>181</v>
      </c>
      <c r="B2" s="122"/>
      <c r="C2" s="108" t="s">
        <v>182</v>
      </c>
      <c r="D2" s="109"/>
      <c r="E2" s="117" t="s">
        <v>116</v>
      </c>
      <c r="F2" s="118"/>
      <c r="G2" s="58"/>
      <c r="H2" s="56"/>
      <c r="I2" s="55"/>
      <c r="J2" s="57"/>
    </row>
    <row r="3" spans="1:10" ht="15.6" x14ac:dyDescent="0.3">
      <c r="A3" s="102" t="s">
        <v>117</v>
      </c>
      <c r="B3" s="103"/>
      <c r="C3" s="102" t="s">
        <v>118</v>
      </c>
      <c r="D3" s="110"/>
      <c r="E3" s="119">
        <v>35</v>
      </c>
      <c r="F3" s="110"/>
      <c r="G3" s="58"/>
      <c r="H3" s="56"/>
      <c r="I3" s="55"/>
      <c r="J3" s="57"/>
    </row>
    <row r="4" spans="1:10" ht="15.6" x14ac:dyDescent="0.3">
      <c r="A4" s="104" t="s">
        <v>119</v>
      </c>
      <c r="B4" s="105"/>
      <c r="C4" s="104" t="s">
        <v>120</v>
      </c>
      <c r="D4" s="116"/>
      <c r="E4" s="120">
        <v>85</v>
      </c>
      <c r="F4" s="116"/>
      <c r="G4" s="58"/>
      <c r="H4" s="56"/>
      <c r="I4" s="55"/>
      <c r="J4" s="57"/>
    </row>
    <row r="5" spans="1:10" ht="15.6" x14ac:dyDescent="0.3">
      <c r="A5" s="104" t="s">
        <v>121</v>
      </c>
      <c r="B5" s="105"/>
      <c r="C5" s="104" t="s">
        <v>122</v>
      </c>
      <c r="D5" s="116"/>
      <c r="E5" s="120">
        <v>35</v>
      </c>
      <c r="F5" s="116"/>
      <c r="G5" s="58"/>
      <c r="H5" s="56"/>
      <c r="I5" s="55"/>
      <c r="J5" s="57"/>
    </row>
    <row r="6" spans="1:10" ht="15.6" x14ac:dyDescent="0.3">
      <c r="A6" s="111" t="s">
        <v>123</v>
      </c>
      <c r="B6" s="112"/>
      <c r="C6" s="111" t="s">
        <v>124</v>
      </c>
      <c r="D6" s="112"/>
      <c r="E6" s="111">
        <v>85</v>
      </c>
      <c r="F6" s="112"/>
      <c r="G6" s="58"/>
      <c r="H6" s="56"/>
      <c r="I6" s="55"/>
      <c r="J6" s="57"/>
    </row>
    <row r="7" spans="1:10" ht="15.6" x14ac:dyDescent="0.3">
      <c r="A7" s="111" t="s">
        <v>120</v>
      </c>
      <c r="B7" s="112"/>
      <c r="C7" s="111" t="s">
        <v>124</v>
      </c>
      <c r="D7" s="112"/>
      <c r="E7" s="111">
        <v>5</v>
      </c>
      <c r="F7" s="112"/>
      <c r="G7" s="58"/>
      <c r="H7" s="56"/>
      <c r="I7" s="55"/>
      <c r="J7" s="57"/>
    </row>
    <row r="8" spans="1:10" ht="15.6" x14ac:dyDescent="0.3">
      <c r="A8" s="111" t="s">
        <v>122</v>
      </c>
      <c r="B8" s="112"/>
      <c r="C8" s="111" t="s">
        <v>118</v>
      </c>
      <c r="D8" s="112"/>
      <c r="E8" s="111">
        <v>5</v>
      </c>
      <c r="F8" s="112"/>
      <c r="G8" s="58"/>
      <c r="H8" s="56"/>
      <c r="I8" s="55"/>
      <c r="J8" s="57"/>
    </row>
    <row r="9" spans="1:10" ht="15.6" x14ac:dyDescent="0.3">
      <c r="A9" s="111" t="s">
        <v>117</v>
      </c>
      <c r="B9" s="112"/>
      <c r="C9" s="111" t="s">
        <v>121</v>
      </c>
      <c r="D9" s="112"/>
      <c r="E9" s="111">
        <v>5</v>
      </c>
      <c r="F9" s="112"/>
      <c r="G9" s="58"/>
      <c r="H9" s="56"/>
      <c r="I9" s="55"/>
      <c r="J9" s="57"/>
    </row>
    <row r="10" spans="1:10" ht="16.2" thickBot="1" x14ac:dyDescent="0.35">
      <c r="A10" s="106" t="s">
        <v>123</v>
      </c>
      <c r="B10" s="107"/>
      <c r="C10" s="106" t="s">
        <v>119</v>
      </c>
      <c r="D10" s="124"/>
      <c r="E10" s="126">
        <v>5</v>
      </c>
      <c r="F10" s="124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125" t="s">
        <v>125</v>
      </c>
      <c r="B12" s="125"/>
      <c r="C12" s="125"/>
      <c r="D12" s="125"/>
      <c r="E12" s="123">
        <f>SUM(E3:F10)</f>
        <v>260</v>
      </c>
      <c r="F12" s="123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E8:F8"/>
    <mergeCell ref="E7:F7"/>
    <mergeCell ref="C7:D7"/>
    <mergeCell ref="E12:F12"/>
    <mergeCell ref="C10:D10"/>
    <mergeCell ref="A12:D12"/>
    <mergeCell ref="E10:F10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A3:B3"/>
    <mergeCell ref="A4:B4"/>
    <mergeCell ref="A5:B5"/>
    <mergeCell ref="A10:B10"/>
    <mergeCell ref="C2:D2"/>
    <mergeCell ref="C3:D3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29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29" t="s">
        <v>138</v>
      </c>
    </row>
    <row r="3" spans="1:8" ht="14.25" customHeight="1" x14ac:dyDescent="0.3">
      <c r="A3" s="130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30"/>
    </row>
    <row r="4" spans="1:8" ht="14.25" customHeight="1" x14ac:dyDescent="0.3">
      <c r="A4" s="130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30"/>
    </row>
    <row r="5" spans="1:8" ht="14.25" customHeight="1" x14ac:dyDescent="0.3">
      <c r="A5" s="130"/>
      <c r="B5" s="23">
        <v>1</v>
      </c>
      <c r="C5" s="24" t="s">
        <v>141</v>
      </c>
      <c r="D5" s="24"/>
      <c r="G5" s="25">
        <v>0</v>
      </c>
      <c r="H5" s="130"/>
    </row>
    <row r="6" spans="1:8" ht="14.25" customHeight="1" x14ac:dyDescent="0.3">
      <c r="A6" s="130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30"/>
    </row>
    <row r="7" spans="1:8" ht="14.25" customHeight="1" x14ac:dyDescent="0.3">
      <c r="A7" s="130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30"/>
    </row>
    <row r="8" spans="1:8" ht="14.25" customHeight="1" x14ac:dyDescent="0.3">
      <c r="A8" s="130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30"/>
    </row>
    <row r="9" spans="1:8" ht="14.25" customHeight="1" x14ac:dyDescent="0.3">
      <c r="A9" s="130"/>
      <c r="B9" s="27">
        <v>1</v>
      </c>
      <c r="C9" s="28" t="s">
        <v>141</v>
      </c>
      <c r="D9" s="23"/>
      <c r="F9" s="24"/>
      <c r="G9" s="25"/>
      <c r="H9" s="130"/>
    </row>
    <row r="10" spans="1:8" ht="14.25" customHeight="1" x14ac:dyDescent="0.3">
      <c r="A10" s="130"/>
      <c r="B10" s="27">
        <v>1</v>
      </c>
      <c r="C10" s="29" t="s">
        <v>144</v>
      </c>
      <c r="D10" s="23"/>
      <c r="E10" s="24" t="s">
        <v>145</v>
      </c>
      <c r="F10" s="24"/>
      <c r="G10" s="25"/>
      <c r="H10" s="130"/>
    </row>
    <row r="11" spans="1:8" ht="14.25" customHeight="1" x14ac:dyDescent="0.3">
      <c r="A11" s="130"/>
      <c r="B11" s="23">
        <v>1</v>
      </c>
      <c r="C11" s="30" t="s">
        <v>148</v>
      </c>
      <c r="D11" s="24"/>
      <c r="E11" s="24"/>
      <c r="F11" s="24"/>
      <c r="G11" s="25"/>
      <c r="H11" s="130"/>
    </row>
    <row r="12" spans="1:8" ht="14.25" customHeight="1" x14ac:dyDescent="0.3">
      <c r="A12" s="130"/>
      <c r="B12" s="23">
        <v>1</v>
      </c>
      <c r="C12" s="31" t="s">
        <v>149</v>
      </c>
      <c r="D12" s="24"/>
      <c r="E12" s="24"/>
      <c r="F12" s="24"/>
      <c r="G12" s="25"/>
      <c r="H12" s="130"/>
    </row>
    <row r="13" spans="1:8" ht="14.25" customHeight="1" x14ac:dyDescent="0.3">
      <c r="A13" s="130"/>
      <c r="B13" s="23">
        <v>1</v>
      </c>
      <c r="C13" s="31" t="s">
        <v>150</v>
      </c>
      <c r="D13" s="24"/>
      <c r="E13" s="24"/>
      <c r="F13" s="24"/>
      <c r="G13" s="25"/>
      <c r="H13" s="130"/>
    </row>
    <row r="14" spans="1:8" ht="14.25" customHeight="1" x14ac:dyDescent="0.3">
      <c r="A14" s="130"/>
      <c r="B14" s="23">
        <v>1</v>
      </c>
      <c r="C14" s="24"/>
      <c r="D14" s="24"/>
      <c r="E14" s="24"/>
      <c r="F14" s="24"/>
      <c r="G14" s="25"/>
      <c r="H14" s="130"/>
    </row>
    <row r="15" spans="1:8" ht="14.25" customHeight="1" x14ac:dyDescent="0.3">
      <c r="A15" s="130"/>
      <c r="B15" s="23">
        <v>1</v>
      </c>
      <c r="C15" s="24" t="s">
        <v>144</v>
      </c>
      <c r="D15" s="24"/>
      <c r="E15" s="24"/>
      <c r="F15" s="24"/>
      <c r="G15" s="25"/>
      <c r="H15" s="130"/>
    </row>
    <row r="16" spans="1:8" ht="14.25" customHeight="1" x14ac:dyDescent="0.3">
      <c r="A16" s="130"/>
      <c r="B16" s="23">
        <v>1</v>
      </c>
      <c r="C16" s="24" t="s">
        <v>144</v>
      </c>
      <c r="D16" s="24"/>
      <c r="E16" s="24"/>
      <c r="F16" s="24"/>
      <c r="G16" s="25"/>
      <c r="H16" s="130"/>
    </row>
    <row r="17" spans="1:8" ht="14.25" customHeight="1" x14ac:dyDescent="0.3">
      <c r="A17" s="130"/>
      <c r="B17" s="27">
        <v>7</v>
      </c>
      <c r="C17" s="32"/>
      <c r="D17" s="23"/>
      <c r="E17" s="24"/>
      <c r="F17" s="24"/>
      <c r="G17" s="25"/>
      <c r="H17" s="130"/>
    </row>
    <row r="18" spans="1:8" ht="14.25" customHeight="1" x14ac:dyDescent="0.3">
      <c r="A18" s="130"/>
      <c r="B18" s="27"/>
      <c r="C18" s="33"/>
      <c r="D18" s="23"/>
      <c r="E18" s="24"/>
      <c r="F18" s="24"/>
      <c r="G18" s="25"/>
      <c r="H18" s="130"/>
    </row>
    <row r="19" spans="1:8" ht="14.25" customHeight="1" x14ac:dyDescent="0.3">
      <c r="A19" s="130"/>
      <c r="B19" s="27"/>
      <c r="C19" s="33"/>
      <c r="D19" s="23"/>
      <c r="E19" s="24"/>
      <c r="F19" s="24"/>
      <c r="G19" s="25"/>
      <c r="H19" s="130"/>
    </row>
    <row r="20" spans="1:8" ht="14.25" customHeight="1" x14ac:dyDescent="0.3">
      <c r="A20" s="130"/>
      <c r="B20" s="27"/>
      <c r="C20" s="33"/>
      <c r="D20" s="23"/>
      <c r="E20" s="24"/>
      <c r="F20" s="24"/>
      <c r="G20" s="25"/>
      <c r="H20" s="130"/>
    </row>
    <row r="21" spans="1:8" ht="14.25" customHeight="1" x14ac:dyDescent="0.3">
      <c r="A21" s="130"/>
      <c r="B21" s="27"/>
      <c r="C21" s="33"/>
      <c r="D21" s="23"/>
      <c r="E21" s="24"/>
      <c r="F21" s="24"/>
      <c r="G21" s="25"/>
      <c r="H21" s="130"/>
    </row>
    <row r="22" spans="1:8" ht="14.25" customHeight="1" x14ac:dyDescent="0.3">
      <c r="A22" s="130"/>
      <c r="B22" s="27"/>
      <c r="C22" s="33"/>
      <c r="D22" s="23"/>
      <c r="E22" s="24"/>
      <c r="F22" s="24"/>
      <c r="G22" s="25"/>
      <c r="H22" s="130"/>
    </row>
    <row r="23" spans="1:8" ht="14.25" customHeight="1" x14ac:dyDescent="0.3">
      <c r="A23" s="130"/>
      <c r="B23" s="27"/>
      <c r="C23" s="34"/>
      <c r="D23" s="23"/>
      <c r="E23" s="24"/>
      <c r="F23" s="24"/>
      <c r="G23" s="25"/>
      <c r="H23" s="130"/>
    </row>
    <row r="24" spans="1:8" ht="14.25" customHeight="1" x14ac:dyDescent="0.3">
      <c r="A24" s="130"/>
      <c r="B24" s="23">
        <v>1</v>
      </c>
      <c r="C24" s="24" t="s">
        <v>144</v>
      </c>
      <c r="D24" s="24"/>
      <c r="E24" s="24"/>
      <c r="F24" s="24"/>
      <c r="G24" s="25"/>
      <c r="H24" s="130"/>
    </row>
    <row r="25" spans="1:8" ht="14.25" customHeight="1" x14ac:dyDescent="0.3">
      <c r="A25" s="130"/>
      <c r="B25" s="23">
        <v>1</v>
      </c>
      <c r="C25" s="24" t="s">
        <v>144</v>
      </c>
      <c r="D25" s="24"/>
      <c r="E25" s="24"/>
      <c r="F25" s="24"/>
      <c r="G25" s="25"/>
      <c r="H25" s="130"/>
    </row>
    <row r="26" spans="1:8" ht="14.25" customHeight="1" x14ac:dyDescent="0.3">
      <c r="A26" s="130"/>
      <c r="B26" s="23">
        <v>1</v>
      </c>
      <c r="C26" s="24" t="s">
        <v>144</v>
      </c>
      <c r="D26" s="24"/>
      <c r="E26" s="24"/>
      <c r="F26" s="24"/>
      <c r="G26" s="25"/>
      <c r="H26" s="130"/>
    </row>
    <row r="27" spans="1:8" ht="14.25" customHeight="1" x14ac:dyDescent="0.3">
      <c r="A27" s="130"/>
      <c r="B27" s="23">
        <v>1</v>
      </c>
      <c r="C27" s="24"/>
      <c r="D27" s="24"/>
      <c r="E27" s="24"/>
      <c r="F27" s="24"/>
      <c r="G27" s="25"/>
      <c r="H27" s="130"/>
    </row>
    <row r="28" spans="1:8" ht="14.25" customHeight="1" x14ac:dyDescent="0.3">
      <c r="A28" s="130"/>
      <c r="B28" s="23">
        <v>1</v>
      </c>
      <c r="C28" s="24"/>
      <c r="D28" s="24"/>
      <c r="E28" s="24"/>
      <c r="F28" s="24"/>
      <c r="G28" s="25"/>
      <c r="H28" s="130"/>
    </row>
    <row r="29" spans="1:8" ht="14.25" customHeight="1" x14ac:dyDescent="0.3">
      <c r="A29" s="130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30"/>
    </row>
    <row r="30" spans="1:8" ht="14.25" customHeight="1" x14ac:dyDescent="0.3">
      <c r="A30" s="130"/>
      <c r="B30" s="23">
        <v>6</v>
      </c>
      <c r="C30" s="6" t="s">
        <v>153</v>
      </c>
      <c r="D30" s="24"/>
      <c r="E30" s="24"/>
      <c r="F30" s="24"/>
      <c r="G30" s="25"/>
      <c r="H30" s="130"/>
    </row>
    <row r="31" spans="1:8" ht="14.25" customHeight="1" x14ac:dyDescent="0.3">
      <c r="A31" s="130"/>
      <c r="B31" s="23"/>
      <c r="C31" s="24"/>
      <c r="D31" s="24"/>
      <c r="E31" s="24"/>
      <c r="F31" s="24"/>
      <c r="G31" s="25"/>
      <c r="H31" s="130"/>
    </row>
    <row r="32" spans="1:8" ht="14.25" customHeight="1" x14ac:dyDescent="0.3">
      <c r="A32" s="130"/>
      <c r="B32" s="23"/>
      <c r="C32" s="24"/>
      <c r="D32" s="24"/>
      <c r="E32" s="24"/>
      <c r="F32" s="24"/>
      <c r="G32" s="25"/>
      <c r="H32" s="130"/>
    </row>
    <row r="33" spans="1:8" ht="14.25" customHeight="1" x14ac:dyDescent="0.3">
      <c r="A33" s="130"/>
      <c r="B33" s="23"/>
      <c r="C33" s="24"/>
      <c r="D33" s="24"/>
      <c r="E33" s="24"/>
      <c r="F33" s="24"/>
      <c r="G33" s="25"/>
      <c r="H33" s="130"/>
    </row>
    <row r="34" spans="1:8" ht="14.25" customHeight="1" x14ac:dyDescent="0.3">
      <c r="A34" s="130"/>
      <c r="B34" s="23">
        <v>1</v>
      </c>
      <c r="C34" s="24" t="s">
        <v>144</v>
      </c>
      <c r="D34" s="24"/>
      <c r="E34" s="24" t="s">
        <v>147</v>
      </c>
      <c r="F34" s="24"/>
      <c r="G34" s="25"/>
      <c r="H34" s="130"/>
    </row>
    <row r="35" spans="1:8" ht="14.25" customHeight="1" x14ac:dyDescent="0.3">
      <c r="A35" s="130"/>
      <c r="B35" s="23">
        <v>1</v>
      </c>
      <c r="C35" s="24" t="s">
        <v>154</v>
      </c>
      <c r="D35" s="24"/>
      <c r="E35" s="24"/>
      <c r="F35" s="24"/>
      <c r="G35" s="25"/>
      <c r="H35" s="130"/>
    </row>
    <row r="36" spans="1:8" ht="14.25" customHeight="1" x14ac:dyDescent="0.3">
      <c r="A36" s="130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30"/>
    </row>
    <row r="37" spans="1:8" ht="14.25" customHeight="1" x14ac:dyDescent="0.3">
      <c r="A37" s="130"/>
      <c r="B37" s="23">
        <v>2</v>
      </c>
      <c r="C37" s="24" t="s">
        <v>156</v>
      </c>
      <c r="D37" s="24"/>
      <c r="E37" s="24"/>
      <c r="F37" s="24"/>
      <c r="G37" s="25"/>
      <c r="H37" s="130"/>
    </row>
    <row r="38" spans="1:8" ht="14.25" customHeight="1" x14ac:dyDescent="0.3">
      <c r="A38" s="130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30"/>
    </row>
    <row r="39" spans="1:8" ht="14.25" customHeight="1" x14ac:dyDescent="0.3">
      <c r="A39" s="130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30"/>
    </row>
    <row r="40" spans="1:8" ht="14.25" customHeight="1" x14ac:dyDescent="0.3">
      <c r="A40" s="130"/>
      <c r="B40" s="23"/>
      <c r="C40" s="24"/>
      <c r="D40" s="24"/>
      <c r="E40" s="24"/>
      <c r="F40" s="24"/>
      <c r="G40" s="25"/>
      <c r="H40" s="130"/>
    </row>
    <row r="41" spans="1:8" ht="14.25" customHeight="1" x14ac:dyDescent="0.3">
      <c r="A41" s="130"/>
      <c r="B41" s="23"/>
      <c r="C41" s="24"/>
      <c r="D41" s="24"/>
      <c r="E41" s="24"/>
      <c r="F41" s="24"/>
      <c r="G41" s="25"/>
      <c r="H41" s="130"/>
    </row>
    <row r="42" spans="1:8" ht="14.25" customHeight="1" x14ac:dyDescent="0.3">
      <c r="A42" s="130"/>
      <c r="B42" s="36"/>
      <c r="C42" s="26"/>
      <c r="D42" s="26"/>
      <c r="E42" s="26"/>
      <c r="F42" s="26"/>
      <c r="G42" s="37"/>
      <c r="H42" s="130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topLeftCell="A7"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I34"/>
  <sheetViews>
    <sheetView topLeftCell="B18" workbookViewId="0">
      <selection activeCell="D34" sqref="D34"/>
    </sheetView>
  </sheetViews>
  <sheetFormatPr defaultRowHeight="14.4" x14ac:dyDescent="0.3"/>
  <cols>
    <col min="1" max="1" width="18.44140625" style="62" customWidth="1"/>
    <col min="2" max="2" width="29.21875" style="62" customWidth="1"/>
    <col min="3" max="4" width="26" style="62" customWidth="1"/>
    <col min="5" max="5" width="27.6640625" style="62" customWidth="1"/>
    <col min="6" max="6" width="24.21875" style="62" customWidth="1"/>
    <col min="7" max="7" width="19.77734375" style="62" customWidth="1"/>
    <col min="8" max="8" width="22.44140625" style="62" customWidth="1"/>
    <col min="9" max="9" width="22.6640625" style="62" customWidth="1"/>
    <col min="10" max="16384" width="8.88671875" style="62"/>
  </cols>
  <sheetData>
    <row r="1" spans="1:9" ht="15" thickBot="1" x14ac:dyDescent="0.35">
      <c r="A1" s="72" t="s">
        <v>192</v>
      </c>
      <c r="B1" s="73" t="s">
        <v>203</v>
      </c>
      <c r="D1" s="63"/>
    </row>
    <row r="2" spans="1:9" x14ac:dyDescent="0.3">
      <c r="A2" s="70" t="s">
        <v>193</v>
      </c>
      <c r="B2" s="71">
        <v>25</v>
      </c>
      <c r="D2" s="63"/>
    </row>
    <row r="3" spans="1:9" x14ac:dyDescent="0.3">
      <c r="A3" s="65" t="s">
        <v>194</v>
      </c>
      <c r="B3" s="68">
        <v>0.1</v>
      </c>
      <c r="D3" s="63"/>
    </row>
    <row r="4" spans="1:9" ht="15" thickBot="1" x14ac:dyDescent="0.35">
      <c r="A4" s="66" t="s">
        <v>195</v>
      </c>
      <c r="B4" s="69">
        <v>300</v>
      </c>
      <c r="D4" s="63"/>
    </row>
    <row r="6" spans="1:9" x14ac:dyDescent="0.3">
      <c r="A6" s="62" t="s">
        <v>204</v>
      </c>
      <c r="B6" s="62">
        <v>0.7</v>
      </c>
    </row>
    <row r="8" spans="1:9" ht="15" thickBot="1" x14ac:dyDescent="0.35"/>
    <row r="9" spans="1:9" ht="15" thickBot="1" x14ac:dyDescent="0.35">
      <c r="A9" s="73" t="s">
        <v>197</v>
      </c>
      <c r="B9" s="61" t="s">
        <v>9</v>
      </c>
      <c r="C9" s="60" t="s">
        <v>196</v>
      </c>
      <c r="D9" s="74" t="s">
        <v>200</v>
      </c>
      <c r="E9" s="74" t="s">
        <v>201</v>
      </c>
      <c r="F9" s="61" t="s">
        <v>189</v>
      </c>
      <c r="G9" s="74" t="s">
        <v>190</v>
      </c>
      <c r="H9" s="61" t="s">
        <v>191</v>
      </c>
      <c r="I9" s="73" t="s">
        <v>202</v>
      </c>
    </row>
    <row r="10" spans="1:9" x14ac:dyDescent="0.3">
      <c r="A10" s="79" t="s">
        <v>198</v>
      </c>
      <c r="B10" s="75" t="s">
        <v>12</v>
      </c>
      <c r="C10" s="64">
        <v>1</v>
      </c>
      <c r="D10" s="64">
        <f>E10*C10/1000</f>
        <v>0.38506999999999997</v>
      </c>
      <c r="E10" s="67">
        <f>SUM($B$2*F10,$B$3*G10,$B$4*H10)*$B$6</f>
        <v>385.07</v>
      </c>
      <c r="F10" s="75">
        <v>10</v>
      </c>
      <c r="G10" s="67">
        <v>1</v>
      </c>
      <c r="H10" s="75">
        <v>1</v>
      </c>
      <c r="I10" s="68">
        <f>SUM(F10:H10)*C10</f>
        <v>12</v>
      </c>
    </row>
    <row r="11" spans="1:9" x14ac:dyDescent="0.3">
      <c r="A11" s="80"/>
      <c r="B11" s="76" t="s">
        <v>14</v>
      </c>
      <c r="C11" s="65">
        <v>1</v>
      </c>
      <c r="D11" s="65">
        <f t="shared" ref="D11:D33" si="0">E11*C11/1000</f>
        <v>0.38506999999999997</v>
      </c>
      <c r="E11" s="68">
        <f t="shared" ref="E11:E33" si="1">SUM($B$2*F11,$B$3*G11,$B$4*H11)*$B$6</f>
        <v>385.07</v>
      </c>
      <c r="F11" s="76">
        <v>10</v>
      </c>
      <c r="G11" s="68">
        <v>1</v>
      </c>
      <c r="H11" s="76">
        <v>1</v>
      </c>
      <c r="I11" s="68">
        <f t="shared" ref="I11:I33" si="2">SUM(F11:H11)*C11</f>
        <v>12</v>
      </c>
    </row>
    <row r="12" spans="1:9" x14ac:dyDescent="0.3">
      <c r="A12" s="80"/>
      <c r="B12" s="76" t="s">
        <v>17</v>
      </c>
      <c r="C12" s="65">
        <v>5</v>
      </c>
      <c r="D12" s="65">
        <f t="shared" si="0"/>
        <v>1.7503499999999999</v>
      </c>
      <c r="E12" s="68">
        <f t="shared" si="1"/>
        <v>350.07</v>
      </c>
      <c r="F12" s="76">
        <v>8</v>
      </c>
      <c r="G12" s="68">
        <v>1</v>
      </c>
      <c r="H12" s="76">
        <v>1</v>
      </c>
      <c r="I12" s="68">
        <f t="shared" si="2"/>
        <v>50</v>
      </c>
    </row>
    <row r="13" spans="1:9" x14ac:dyDescent="0.3">
      <c r="A13" s="80"/>
      <c r="B13" s="76" t="s">
        <v>26</v>
      </c>
      <c r="C13" s="65">
        <v>1</v>
      </c>
      <c r="D13" s="65">
        <f t="shared" si="0"/>
        <v>0.70013999999999998</v>
      </c>
      <c r="E13" s="68">
        <f t="shared" si="1"/>
        <v>700.14</v>
      </c>
      <c r="F13" s="76">
        <v>16</v>
      </c>
      <c r="G13" s="68">
        <v>2</v>
      </c>
      <c r="H13" s="76">
        <v>2</v>
      </c>
      <c r="I13" s="68">
        <f t="shared" si="2"/>
        <v>20</v>
      </c>
    </row>
    <row r="14" spans="1:9" x14ac:dyDescent="0.3">
      <c r="A14" s="80"/>
      <c r="B14" s="76" t="s">
        <v>30</v>
      </c>
      <c r="C14" s="65">
        <v>7</v>
      </c>
      <c r="D14" s="65">
        <f t="shared" si="0"/>
        <v>3.1854899999999997</v>
      </c>
      <c r="E14" s="68">
        <f t="shared" si="1"/>
        <v>455.07</v>
      </c>
      <c r="F14" s="76">
        <v>14</v>
      </c>
      <c r="G14" s="68">
        <v>1</v>
      </c>
      <c r="H14" s="76">
        <v>1</v>
      </c>
      <c r="I14" s="68">
        <f t="shared" si="2"/>
        <v>112</v>
      </c>
    </row>
    <row r="15" spans="1:9" x14ac:dyDescent="0.3">
      <c r="A15" s="80"/>
      <c r="B15" s="76" t="s">
        <v>28</v>
      </c>
      <c r="C15" s="65">
        <v>1</v>
      </c>
      <c r="D15" s="65">
        <f t="shared" si="0"/>
        <v>1.52257</v>
      </c>
      <c r="E15" s="68">
        <f t="shared" si="1"/>
        <v>1522.57</v>
      </c>
      <c r="F15" s="76">
        <v>63</v>
      </c>
      <c r="G15" s="68">
        <v>1</v>
      </c>
      <c r="H15" s="76">
        <v>2</v>
      </c>
      <c r="I15" s="68">
        <f t="shared" si="2"/>
        <v>66</v>
      </c>
    </row>
    <row r="16" spans="1:9" x14ac:dyDescent="0.3">
      <c r="A16" s="80"/>
      <c r="B16" s="76" t="s">
        <v>36</v>
      </c>
      <c r="C16" s="65">
        <v>2</v>
      </c>
      <c r="D16" s="65">
        <f t="shared" si="0"/>
        <v>2.1351399999999998</v>
      </c>
      <c r="E16" s="68">
        <f t="shared" si="1"/>
        <v>1067.57</v>
      </c>
      <c r="F16" s="76">
        <v>37</v>
      </c>
      <c r="G16" s="68">
        <v>1</v>
      </c>
      <c r="H16" s="76">
        <v>2</v>
      </c>
      <c r="I16" s="68">
        <f t="shared" si="2"/>
        <v>80</v>
      </c>
    </row>
    <row r="17" spans="1:9" x14ac:dyDescent="0.3">
      <c r="A17" s="80"/>
      <c r="B17" s="76" t="s">
        <v>45</v>
      </c>
      <c r="C17" s="65">
        <v>2</v>
      </c>
      <c r="D17" s="65">
        <f t="shared" si="0"/>
        <v>1.3651399999999998</v>
      </c>
      <c r="E17" s="68">
        <f t="shared" si="1"/>
        <v>682.56999999999994</v>
      </c>
      <c r="F17" s="76">
        <v>15</v>
      </c>
      <c r="G17" s="68">
        <v>1</v>
      </c>
      <c r="H17" s="76">
        <v>2</v>
      </c>
      <c r="I17" s="68">
        <f t="shared" si="2"/>
        <v>36</v>
      </c>
    </row>
    <row r="18" spans="1:9" x14ac:dyDescent="0.3">
      <c r="A18" s="80"/>
      <c r="B18" s="76" t="s">
        <v>48</v>
      </c>
      <c r="C18" s="65">
        <v>2</v>
      </c>
      <c r="D18" s="65">
        <f t="shared" si="0"/>
        <v>0.77013999999999994</v>
      </c>
      <c r="E18" s="68">
        <f t="shared" si="1"/>
        <v>385.07</v>
      </c>
      <c r="F18" s="76">
        <v>10</v>
      </c>
      <c r="G18" s="68">
        <v>1</v>
      </c>
      <c r="H18" s="76">
        <v>1</v>
      </c>
      <c r="I18" s="68">
        <f t="shared" si="2"/>
        <v>24</v>
      </c>
    </row>
    <row r="19" spans="1:9" x14ac:dyDescent="0.3">
      <c r="A19" s="80"/>
      <c r="B19" s="76" t="s">
        <v>52</v>
      </c>
      <c r="C19" s="65">
        <v>5</v>
      </c>
      <c r="D19" s="65">
        <f t="shared" si="0"/>
        <v>1.7503499999999999</v>
      </c>
      <c r="E19" s="68">
        <f t="shared" si="1"/>
        <v>350.07</v>
      </c>
      <c r="F19" s="76">
        <v>8</v>
      </c>
      <c r="G19" s="68">
        <v>1</v>
      </c>
      <c r="H19" s="76">
        <v>1</v>
      </c>
      <c r="I19" s="68">
        <f t="shared" si="2"/>
        <v>50</v>
      </c>
    </row>
    <row r="20" spans="1:9" x14ac:dyDescent="0.3">
      <c r="A20" s="80"/>
      <c r="B20" s="76" t="s">
        <v>60</v>
      </c>
      <c r="C20" s="65">
        <v>6</v>
      </c>
      <c r="D20" s="65">
        <f t="shared" si="0"/>
        <v>2.5204200000000001</v>
      </c>
      <c r="E20" s="68">
        <f t="shared" si="1"/>
        <v>420.07</v>
      </c>
      <c r="F20" s="76">
        <v>12</v>
      </c>
      <c r="G20" s="68">
        <v>1</v>
      </c>
      <c r="H20" s="76">
        <v>1</v>
      </c>
      <c r="I20" s="68">
        <f t="shared" si="2"/>
        <v>84</v>
      </c>
    </row>
    <row r="21" spans="1:9" ht="15" thickBot="1" x14ac:dyDescent="0.35">
      <c r="A21" s="81"/>
      <c r="B21" s="77" t="s">
        <v>94</v>
      </c>
      <c r="C21" s="66">
        <v>0</v>
      </c>
      <c r="D21" s="66">
        <f t="shared" si="0"/>
        <v>0</v>
      </c>
      <c r="E21" s="69">
        <f t="shared" si="1"/>
        <v>420.07</v>
      </c>
      <c r="F21" s="77">
        <v>12</v>
      </c>
      <c r="G21" s="69">
        <v>1</v>
      </c>
      <c r="H21" s="77">
        <v>1</v>
      </c>
      <c r="I21" s="78">
        <f t="shared" si="2"/>
        <v>0</v>
      </c>
    </row>
    <row r="22" spans="1:9" x14ac:dyDescent="0.3">
      <c r="A22" s="79" t="s">
        <v>199</v>
      </c>
      <c r="B22" s="75" t="s">
        <v>12</v>
      </c>
      <c r="C22" s="64">
        <v>1</v>
      </c>
      <c r="D22" s="70">
        <f t="shared" si="0"/>
        <v>0.38506999999999997</v>
      </c>
      <c r="E22" s="67">
        <f>SUM($B$2*F22,$B$3*G22,$B$4*H22)*$B$6</f>
        <v>385.07</v>
      </c>
      <c r="F22" s="75">
        <v>10</v>
      </c>
      <c r="G22" s="67">
        <v>1</v>
      </c>
      <c r="H22" s="75">
        <v>1</v>
      </c>
      <c r="I22" s="67">
        <f t="shared" si="2"/>
        <v>12</v>
      </c>
    </row>
    <row r="23" spans="1:9" x14ac:dyDescent="0.3">
      <c r="A23" s="80"/>
      <c r="B23" s="76" t="s">
        <v>14</v>
      </c>
      <c r="C23" s="65">
        <v>1</v>
      </c>
      <c r="D23" s="65">
        <f t="shared" si="0"/>
        <v>0.38506999999999997</v>
      </c>
      <c r="E23" s="68">
        <f t="shared" si="1"/>
        <v>385.07</v>
      </c>
      <c r="F23" s="76">
        <v>10</v>
      </c>
      <c r="G23" s="68">
        <v>1</v>
      </c>
      <c r="H23" s="76">
        <v>1</v>
      </c>
      <c r="I23" s="68">
        <f t="shared" si="2"/>
        <v>12</v>
      </c>
    </row>
    <row r="24" spans="1:9" x14ac:dyDescent="0.3">
      <c r="A24" s="80"/>
      <c r="B24" s="76" t="s">
        <v>17</v>
      </c>
      <c r="C24" s="65">
        <v>5</v>
      </c>
      <c r="D24" s="65">
        <f t="shared" si="0"/>
        <v>1.7503499999999999</v>
      </c>
      <c r="E24" s="68">
        <f t="shared" si="1"/>
        <v>350.07</v>
      </c>
      <c r="F24" s="76">
        <v>8</v>
      </c>
      <c r="G24" s="68">
        <v>1</v>
      </c>
      <c r="H24" s="76">
        <v>1</v>
      </c>
      <c r="I24" s="68">
        <f t="shared" si="2"/>
        <v>50</v>
      </c>
    </row>
    <row r="25" spans="1:9" x14ac:dyDescent="0.3">
      <c r="A25" s="80"/>
      <c r="B25" s="76" t="s">
        <v>26</v>
      </c>
      <c r="C25" s="65">
        <v>1</v>
      </c>
      <c r="D25" s="65">
        <f t="shared" si="0"/>
        <v>0.70013999999999998</v>
      </c>
      <c r="E25" s="68">
        <f t="shared" si="1"/>
        <v>700.14</v>
      </c>
      <c r="F25" s="76">
        <v>16</v>
      </c>
      <c r="G25" s="68">
        <v>2</v>
      </c>
      <c r="H25" s="76">
        <v>2</v>
      </c>
      <c r="I25" s="68">
        <f t="shared" si="2"/>
        <v>20</v>
      </c>
    </row>
    <row r="26" spans="1:9" x14ac:dyDescent="0.3">
      <c r="A26" s="80"/>
      <c r="B26" s="76" t="s">
        <v>30</v>
      </c>
      <c r="C26" s="65">
        <v>7</v>
      </c>
      <c r="D26" s="65">
        <f t="shared" si="0"/>
        <v>3.1854899999999997</v>
      </c>
      <c r="E26" s="68">
        <f t="shared" si="1"/>
        <v>455.07</v>
      </c>
      <c r="F26" s="76">
        <v>14</v>
      </c>
      <c r="G26" s="68">
        <v>1</v>
      </c>
      <c r="H26" s="76">
        <v>1</v>
      </c>
      <c r="I26" s="68">
        <f t="shared" si="2"/>
        <v>112</v>
      </c>
    </row>
    <row r="27" spans="1:9" x14ac:dyDescent="0.3">
      <c r="A27" s="80"/>
      <c r="B27" s="76" t="s">
        <v>28</v>
      </c>
      <c r="C27" s="65">
        <v>1</v>
      </c>
      <c r="D27" s="65">
        <f t="shared" si="0"/>
        <v>1.52257</v>
      </c>
      <c r="E27" s="68">
        <f t="shared" si="1"/>
        <v>1522.57</v>
      </c>
      <c r="F27" s="76">
        <v>63</v>
      </c>
      <c r="G27" s="68">
        <v>1</v>
      </c>
      <c r="H27" s="76">
        <v>2</v>
      </c>
      <c r="I27" s="68">
        <f t="shared" si="2"/>
        <v>66</v>
      </c>
    </row>
    <row r="28" spans="1:9" x14ac:dyDescent="0.3">
      <c r="A28" s="80"/>
      <c r="B28" s="76" t="s">
        <v>36</v>
      </c>
      <c r="C28" s="65">
        <v>2</v>
      </c>
      <c r="D28" s="65">
        <f t="shared" si="0"/>
        <v>2.1351399999999998</v>
      </c>
      <c r="E28" s="68">
        <f t="shared" si="1"/>
        <v>1067.57</v>
      </c>
      <c r="F28" s="76">
        <v>37</v>
      </c>
      <c r="G28" s="68">
        <v>1</v>
      </c>
      <c r="H28" s="76">
        <v>2</v>
      </c>
      <c r="I28" s="68">
        <f t="shared" si="2"/>
        <v>80</v>
      </c>
    </row>
    <row r="29" spans="1:9" x14ac:dyDescent="0.3">
      <c r="A29" s="80"/>
      <c r="B29" s="76" t="s">
        <v>45</v>
      </c>
      <c r="C29" s="65">
        <v>0</v>
      </c>
      <c r="D29" s="65">
        <f t="shared" si="0"/>
        <v>0</v>
      </c>
      <c r="E29" s="68">
        <f t="shared" si="1"/>
        <v>682.56999999999994</v>
      </c>
      <c r="F29" s="76">
        <v>15</v>
      </c>
      <c r="G29" s="68">
        <v>1</v>
      </c>
      <c r="H29" s="76">
        <v>2</v>
      </c>
      <c r="I29" s="68">
        <f t="shared" si="2"/>
        <v>0</v>
      </c>
    </row>
    <row r="30" spans="1:9" x14ac:dyDescent="0.3">
      <c r="A30" s="80"/>
      <c r="B30" s="76" t="s">
        <v>48</v>
      </c>
      <c r="C30" s="65">
        <v>2</v>
      </c>
      <c r="D30" s="65">
        <f t="shared" si="0"/>
        <v>0.77013999999999994</v>
      </c>
      <c r="E30" s="68">
        <f t="shared" si="1"/>
        <v>385.07</v>
      </c>
      <c r="F30" s="76">
        <v>10</v>
      </c>
      <c r="G30" s="68">
        <v>1</v>
      </c>
      <c r="H30" s="76">
        <v>1</v>
      </c>
      <c r="I30" s="68">
        <f t="shared" si="2"/>
        <v>24</v>
      </c>
    </row>
    <row r="31" spans="1:9" x14ac:dyDescent="0.3">
      <c r="A31" s="80"/>
      <c r="B31" s="76" t="s">
        <v>52</v>
      </c>
      <c r="C31" s="65">
        <v>5</v>
      </c>
      <c r="D31" s="65">
        <f t="shared" si="0"/>
        <v>1.7503499999999999</v>
      </c>
      <c r="E31" s="68">
        <f t="shared" si="1"/>
        <v>350.07</v>
      </c>
      <c r="F31" s="76">
        <v>8</v>
      </c>
      <c r="G31" s="68">
        <v>1</v>
      </c>
      <c r="H31" s="76">
        <v>1</v>
      </c>
      <c r="I31" s="68">
        <f t="shared" si="2"/>
        <v>50</v>
      </c>
    </row>
    <row r="32" spans="1:9" x14ac:dyDescent="0.3">
      <c r="A32" s="80"/>
      <c r="B32" s="76" t="s">
        <v>60</v>
      </c>
      <c r="C32" s="65">
        <v>6</v>
      </c>
      <c r="D32" s="65">
        <f t="shared" si="0"/>
        <v>2.5204200000000001</v>
      </c>
      <c r="E32" s="68">
        <f t="shared" si="1"/>
        <v>420.07</v>
      </c>
      <c r="F32" s="76">
        <v>12</v>
      </c>
      <c r="G32" s="68">
        <v>1</v>
      </c>
      <c r="H32" s="76">
        <v>1</v>
      </c>
      <c r="I32" s="68">
        <f t="shared" si="2"/>
        <v>84</v>
      </c>
    </row>
    <row r="33" spans="1:9" ht="15" thickBot="1" x14ac:dyDescent="0.35">
      <c r="A33" s="81"/>
      <c r="B33" s="77" t="s">
        <v>94</v>
      </c>
      <c r="C33" s="66">
        <v>1</v>
      </c>
      <c r="D33" s="66">
        <f t="shared" si="0"/>
        <v>0.42007</v>
      </c>
      <c r="E33" s="69">
        <f t="shared" si="1"/>
        <v>420.07</v>
      </c>
      <c r="F33" s="77">
        <v>12</v>
      </c>
      <c r="G33" s="69">
        <v>1</v>
      </c>
      <c r="H33" s="77">
        <v>1</v>
      </c>
      <c r="I33" s="69">
        <f t="shared" si="2"/>
        <v>14</v>
      </c>
    </row>
    <row r="34" spans="1:9" x14ac:dyDescent="0.3">
      <c r="B34" s="82" t="s">
        <v>205</v>
      </c>
      <c r="C34" s="82"/>
      <c r="D34" s="62">
        <f>_xlfn.CEILING.MATH(SUM(D10:D33))</f>
        <v>32</v>
      </c>
      <c r="G34" s="82" t="s">
        <v>206</v>
      </c>
      <c r="H34" s="82"/>
      <c r="I34" s="62">
        <f>SUM(I10:I33)</f>
        <v>1070</v>
      </c>
    </row>
  </sheetData>
  <mergeCells count="4">
    <mergeCell ref="A10:A21"/>
    <mergeCell ref="A22:A33"/>
    <mergeCell ref="G34:H34"/>
    <mergeCell ref="B34:C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2946-D4CE-40B0-A487-FBC087A60333}">
  <dimension ref="A1:H23"/>
  <sheetViews>
    <sheetView tabSelected="1" workbookViewId="0">
      <selection activeCell="B12" sqref="B12"/>
    </sheetView>
  </sheetViews>
  <sheetFormatPr defaultRowHeight="14.4" x14ac:dyDescent="0.3"/>
  <cols>
    <col min="1" max="1" width="19.21875" customWidth="1"/>
    <col min="2" max="2" width="71.6640625" customWidth="1"/>
    <col min="3" max="3" width="5.21875" customWidth="1"/>
    <col min="7" max="7" width="24.109375" customWidth="1"/>
    <col min="8" max="8" width="15.33203125" customWidth="1"/>
    <col min="10" max="10" width="26.44140625" customWidth="1"/>
  </cols>
  <sheetData>
    <row r="1" spans="1:8" ht="15" thickBot="1" x14ac:dyDescent="0.35">
      <c r="A1" s="127" t="s">
        <v>185</v>
      </c>
      <c r="B1" s="82"/>
      <c r="C1" s="82"/>
      <c r="D1" s="82"/>
      <c r="E1" s="82"/>
      <c r="F1" s="82"/>
      <c r="G1" s="82"/>
      <c r="H1" s="128"/>
    </row>
    <row r="2" spans="1:8" ht="15" thickBot="1" x14ac:dyDescent="0.35">
      <c r="A2" s="127" t="s">
        <v>183</v>
      </c>
      <c r="B2" s="152" t="s">
        <v>188</v>
      </c>
      <c r="C2" s="164"/>
      <c r="D2" s="152" t="s">
        <v>184</v>
      </c>
      <c r="E2" s="154"/>
      <c r="F2" s="142" t="s">
        <v>207</v>
      </c>
      <c r="G2" s="144" t="s">
        <v>215</v>
      </c>
      <c r="H2" s="143" t="s">
        <v>216</v>
      </c>
    </row>
    <row r="3" spans="1:8" ht="15" thickBot="1" x14ac:dyDescent="0.35">
      <c r="A3" s="140"/>
      <c r="B3" s="73" t="s">
        <v>186</v>
      </c>
      <c r="C3" s="73" t="s">
        <v>187</v>
      </c>
      <c r="D3" s="74" t="s">
        <v>186</v>
      </c>
      <c r="E3" s="73" t="s">
        <v>187</v>
      </c>
      <c r="F3" s="139"/>
      <c r="G3" s="146"/>
      <c r="H3" s="141"/>
    </row>
    <row r="4" spans="1:8" x14ac:dyDescent="0.3">
      <c r="A4" s="153" t="s">
        <v>211</v>
      </c>
      <c r="B4" s="147" t="s">
        <v>217</v>
      </c>
      <c r="C4" s="156" t="s">
        <v>214</v>
      </c>
      <c r="D4" s="153"/>
      <c r="E4" s="160"/>
      <c r="F4" s="144" t="s">
        <v>11</v>
      </c>
      <c r="G4" s="160"/>
      <c r="H4" s="153"/>
    </row>
    <row r="5" spans="1:8" x14ac:dyDescent="0.3">
      <c r="A5" s="148" t="s">
        <v>212</v>
      </c>
      <c r="B5" s="157" t="s">
        <v>222</v>
      </c>
      <c r="C5" s="149" t="s">
        <v>214</v>
      </c>
      <c r="D5" s="137"/>
      <c r="E5" s="150"/>
      <c r="F5" s="146"/>
      <c r="G5" s="150"/>
      <c r="H5" s="137"/>
    </row>
    <row r="6" spans="1:8" x14ac:dyDescent="0.3">
      <c r="A6" s="148" t="s">
        <v>213</v>
      </c>
      <c r="B6" s="148" t="s">
        <v>223</v>
      </c>
      <c r="C6" s="149" t="s">
        <v>214</v>
      </c>
      <c r="D6" s="137"/>
      <c r="E6" s="150"/>
      <c r="F6" s="146"/>
      <c r="G6" s="150"/>
      <c r="H6" s="137"/>
    </row>
    <row r="7" spans="1:8" ht="15" thickBot="1" x14ac:dyDescent="0.35">
      <c r="A7" s="161" t="s">
        <v>209</v>
      </c>
      <c r="B7" s="157" t="s">
        <v>219</v>
      </c>
      <c r="C7" s="149" t="s">
        <v>214</v>
      </c>
      <c r="D7" s="137"/>
      <c r="E7" s="150"/>
      <c r="F7" s="146"/>
      <c r="G7" s="150"/>
      <c r="H7" s="137"/>
    </row>
    <row r="8" spans="1:8" ht="15" thickBot="1" x14ac:dyDescent="0.35">
      <c r="A8" s="135" t="s">
        <v>210</v>
      </c>
      <c r="B8" s="148" t="s">
        <v>218</v>
      </c>
      <c r="C8" s="155" t="s">
        <v>214</v>
      </c>
      <c r="D8" s="138"/>
      <c r="E8" s="151"/>
      <c r="F8" s="146"/>
      <c r="G8" s="151"/>
      <c r="H8" s="138"/>
    </row>
    <row r="9" spans="1:8" ht="15" thickBot="1" x14ac:dyDescent="0.35">
      <c r="A9" s="162" t="s">
        <v>220</v>
      </c>
      <c r="B9" s="158" t="s">
        <v>221</v>
      </c>
      <c r="C9" s="163" t="s">
        <v>214</v>
      </c>
      <c r="D9" s="135"/>
      <c r="E9" s="159"/>
      <c r="F9" s="145"/>
      <c r="G9" s="159"/>
      <c r="H9" s="135"/>
    </row>
    <row r="18" spans="1:2" ht="15" thickBot="1" x14ac:dyDescent="0.35"/>
    <row r="19" spans="1:2" ht="15" thickBot="1" x14ac:dyDescent="0.35">
      <c r="A19" s="135" t="s">
        <v>207</v>
      </c>
      <c r="B19" s="131" t="s">
        <v>208</v>
      </c>
    </row>
    <row r="20" spans="1:2" x14ac:dyDescent="0.3">
      <c r="A20" s="136" t="s">
        <v>11</v>
      </c>
      <c r="B20" s="132">
        <v>280</v>
      </c>
    </row>
    <row r="21" spans="1:2" x14ac:dyDescent="0.3">
      <c r="A21" s="137" t="s">
        <v>39</v>
      </c>
      <c r="B21" s="133">
        <v>266</v>
      </c>
    </row>
    <row r="22" spans="1:2" x14ac:dyDescent="0.3">
      <c r="A22" s="137" t="s">
        <v>68</v>
      </c>
      <c r="B22" s="133">
        <v>280</v>
      </c>
    </row>
    <row r="23" spans="1:2" ht="15" thickBot="1" x14ac:dyDescent="0.35">
      <c r="A23" s="138" t="s">
        <v>88</v>
      </c>
      <c r="B23" s="134">
        <v>244</v>
      </c>
    </row>
  </sheetData>
  <mergeCells count="8">
    <mergeCell ref="G2:G3"/>
    <mergeCell ref="H2:H3"/>
    <mergeCell ref="A1:H1"/>
    <mergeCell ref="F4:F9"/>
    <mergeCell ref="B2:C2"/>
    <mergeCell ref="D2:E2"/>
    <mergeCell ref="A2:A3"/>
    <mergeCell ref="F2:F3"/>
  </mergeCells>
  <hyperlinks>
    <hyperlink ref="C4" r:id="rId1" xr:uid="{80B83815-A50D-46A4-BEA0-CF1A27585021}"/>
    <hyperlink ref="C5:C6" r:id="rId2" display="link" xr:uid="{1266295D-E9A3-4E93-AD55-60C4C75F5D8F}"/>
    <hyperlink ref="C8" r:id="rId3" xr:uid="{1FE0C054-3932-4DFB-A079-D528176C6357}"/>
    <hyperlink ref="C7" r:id="rId4" xr:uid="{86EE9E67-4350-42ED-BD92-B0D509FD78C0}"/>
    <hyperlink ref="C9" r:id="rId5" xr:uid="{84CA0A26-1C37-4DC1-82DB-E059761431F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Cable</vt:lpstr>
      <vt:lpstr>Fiber</vt:lpstr>
      <vt:lpstr>MDF</vt:lpstr>
      <vt:lpstr>IDF1</vt:lpstr>
      <vt:lpstr>IDF...</vt:lpstr>
      <vt:lpstr>Traffic Estimation</vt:lpstr>
      <vt:lpstr>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2026-04-08T18:54:41Z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