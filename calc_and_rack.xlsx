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l7aur\Desktop\CND\CNP\"/>
    </mc:Choice>
  </mc:AlternateContent>
  <xr:revisionPtr revIDLastSave="0" documentId="13_ncr:1_{2DD9531D-7E98-4B24-81D9-CBBB9097B79B}" xr6:coauthVersionLast="47" xr6:coauthVersionMax="47" xr10:uidLastSave="{00000000-0000-0000-0000-000000000000}"/>
  <bookViews>
    <workbookView xWindow="-108" yWindow="-108" windowWidth="23256" windowHeight="12456" xr2:uid="{A7CA0D7A-53D0-40E5-91E0-784DA3F57821}"/>
  </bookViews>
  <sheets>
    <sheet name="Cable" sheetId="5" r:id="rId1"/>
    <sheet name="MDF" sheetId="3" r:id="rId2"/>
    <sheet name="IDF1" sheetId="2" r:id="rId3"/>
    <sheet name="IDF...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F91" i="5" l="1"/>
  <c r="H84" i="5" a="1"/>
  <c r="H84" i="5" s="1"/>
  <c r="I84" i="5" s="1"/>
  <c r="H85" i="5" a="1"/>
  <c r="H85" i="5" s="1"/>
  <c r="I85" i="5" s="1"/>
  <c r="H86" i="5" a="1"/>
  <c r="H86" i="5" s="1"/>
  <c r="I86" i="5" s="1"/>
  <c r="H87" i="5" a="1"/>
  <c r="H87" i="5" s="1"/>
  <c r="I87" i="5" s="1"/>
  <c r="H88" i="5" a="1"/>
  <c r="H88" i="5" s="1"/>
  <c r="I88" i="5" s="1"/>
  <c r="H83" i="5" a="1"/>
  <c r="H83" i="5" s="1"/>
  <c r="I83" i="5" s="1"/>
  <c r="H77" i="5" a="1"/>
  <c r="H77" i="5" s="1"/>
  <c r="I77" i="5" s="1"/>
  <c r="H78" i="5" a="1"/>
  <c r="H78" i="5" s="1"/>
  <c r="I78" i="5" s="1"/>
  <c r="H79" i="5" a="1"/>
  <c r="H79" i="5" s="1"/>
  <c r="I79" i="5" s="1"/>
  <c r="H80" i="5" a="1"/>
  <c r="H80" i="5" s="1"/>
  <c r="I80" i="5" s="1"/>
  <c r="H76" i="5" a="1"/>
  <c r="H76" i="5" s="1"/>
  <c r="I76" i="5" s="1"/>
  <c r="H72" i="5" a="1"/>
  <c r="H72" i="5" s="1"/>
  <c r="I72" i="5" s="1"/>
  <c r="H73" i="5" a="1"/>
  <c r="H73" i="5"/>
  <c r="H74" i="5" a="1"/>
  <c r="H74" i="5" s="1"/>
  <c r="I74" i="5" s="1"/>
  <c r="H71" i="5" a="1"/>
  <c r="H71" i="5" s="1"/>
  <c r="I71" i="5" s="1"/>
  <c r="H68" i="5" a="1"/>
  <c r="H68" i="5" s="1"/>
  <c r="I68" i="5" s="1"/>
  <c r="H67" i="5" a="1"/>
  <c r="H67" i="5" s="1"/>
  <c r="I67" i="5" s="1"/>
  <c r="H58" i="5" a="1"/>
  <c r="H58" i="5" s="1"/>
  <c r="I58" i="5" s="1"/>
  <c r="H59" i="5" a="1"/>
  <c r="H59" i="5" s="1"/>
  <c r="I59" i="5" s="1"/>
  <c r="H60" i="5" a="1"/>
  <c r="H60" i="5"/>
  <c r="I60" i="5" s="1"/>
  <c r="H61" i="5" a="1"/>
  <c r="H61" i="5"/>
  <c r="I61" i="5" s="1"/>
  <c r="H62" i="5" a="1"/>
  <c r="H62" i="5" s="1"/>
  <c r="I62" i="5" s="1"/>
  <c r="H63" i="5" a="1"/>
  <c r="H63" i="5" s="1"/>
  <c r="I63" i="5" s="1"/>
  <c r="H64" i="5" a="1"/>
  <c r="H64" i="5" s="1"/>
  <c r="I64" i="5" s="1"/>
  <c r="H57" i="5" a="1"/>
  <c r="H57" i="5" s="1"/>
  <c r="I57" i="5" s="1"/>
  <c r="H51" i="5" a="1"/>
  <c r="H51" i="5" s="1"/>
  <c r="I51" i="5" s="1"/>
  <c r="H52" i="5" a="1"/>
  <c r="H52" i="5" s="1"/>
  <c r="I52" i="5" s="1"/>
  <c r="H53" i="5" a="1"/>
  <c r="H53" i="5" s="1"/>
  <c r="I53" i="5" s="1"/>
  <c r="H54" i="5" a="1"/>
  <c r="H54" i="5" s="1"/>
  <c r="I54" i="5" s="1"/>
  <c r="H50" i="5" a="1"/>
  <c r="H50" i="5" s="1"/>
  <c r="I50" i="5" s="1"/>
  <c r="H48" i="5" a="1"/>
  <c r="H48" i="5" s="1"/>
  <c r="I48" i="5" s="1"/>
  <c r="H47" i="5" a="1"/>
  <c r="H47" i="5" s="1"/>
  <c r="I47" i="5" s="1"/>
  <c r="H40" i="5" a="1"/>
  <c r="H40" i="5" s="1"/>
  <c r="I40" i="5" s="1"/>
  <c r="H41" i="5" a="1"/>
  <c r="H41" i="5" s="1"/>
  <c r="I41" i="5" s="1"/>
  <c r="H42" i="5" a="1"/>
  <c r="H42" i="5" s="1"/>
  <c r="I42" i="5" s="1"/>
  <c r="H43" i="5" a="1"/>
  <c r="H43" i="5" s="1"/>
  <c r="I43" i="5" s="1"/>
  <c r="H44" i="5" a="1"/>
  <c r="H44" i="5" s="1"/>
  <c r="I44" i="5" s="1"/>
  <c r="H39" i="5" a="1"/>
  <c r="H39" i="5" s="1"/>
  <c r="I39" i="5" s="1"/>
  <c r="H33" i="5" a="1"/>
  <c r="H33" i="5" s="1"/>
  <c r="I33" i="5" s="1"/>
  <c r="H34" i="5" a="1"/>
  <c r="H34" i="5" s="1"/>
  <c r="I34" i="5" s="1"/>
  <c r="H35" i="5" a="1"/>
  <c r="H35" i="5" s="1"/>
  <c r="I35" i="5" s="1"/>
  <c r="H36" i="5" a="1"/>
  <c r="H36" i="5" s="1"/>
  <c r="I36" i="5" s="1"/>
  <c r="H32" i="5" a="1"/>
  <c r="H32" i="5" s="1"/>
  <c r="I32" i="5" s="1"/>
  <c r="H27" i="5" a="1"/>
  <c r="H27" i="5"/>
  <c r="H28" i="5" a="1"/>
  <c r="H28" i="5" s="1"/>
  <c r="I28" i="5" s="1"/>
  <c r="H29" i="5" a="1"/>
  <c r="H29" i="5" s="1"/>
  <c r="I29" i="5" s="1"/>
  <c r="H30" i="5" a="1"/>
  <c r="H30" i="5" s="1"/>
  <c r="I30" i="5" s="1"/>
  <c r="H26" i="5" a="1"/>
  <c r="H26" i="5" s="1"/>
  <c r="I26" i="5" s="1"/>
  <c r="H23" i="5" a="1"/>
  <c r="H23" i="5" s="1"/>
  <c r="I23" i="5" s="1"/>
  <c r="H22" i="5" a="1"/>
  <c r="H22" i="5" s="1"/>
  <c r="I22" i="5" s="1"/>
  <c r="H13" i="5" a="1"/>
  <c r="H13" i="5" s="1"/>
  <c r="I13" i="5" s="1"/>
  <c r="H14" i="5" a="1"/>
  <c r="H14" i="5"/>
  <c r="H15" i="5" a="1"/>
  <c r="H15" i="5" s="1"/>
  <c r="I15" i="5" s="1"/>
  <c r="H16" i="5" a="1"/>
  <c r="H16" i="5" s="1"/>
  <c r="I16" i="5" s="1"/>
  <c r="H17" i="5" a="1"/>
  <c r="H17" i="5" s="1"/>
  <c r="I17" i="5" s="1"/>
  <c r="H18" i="5" a="1"/>
  <c r="H18" i="5" s="1"/>
  <c r="I18" i="5" s="1"/>
  <c r="H19" i="5" a="1"/>
  <c r="H19" i="5" s="1"/>
  <c r="I19" i="5" s="1"/>
  <c r="H12" i="5" a="1"/>
  <c r="H12" i="5" s="1"/>
  <c r="I12" i="5" s="1"/>
  <c r="H6" i="5" a="1"/>
  <c r="H6" i="5"/>
  <c r="H7" i="5" a="1"/>
  <c r="H7" i="5" s="1"/>
  <c r="I7" i="5" s="1"/>
  <c r="H8" i="5" a="1"/>
  <c r="H8" i="5" s="1"/>
  <c r="I8" i="5" s="1"/>
  <c r="H9" i="5" a="1"/>
  <c r="H9" i="5" s="1"/>
  <c r="I9" i="5" s="1"/>
  <c r="H5" i="5" a="1"/>
  <c r="H5" i="5" s="1"/>
  <c r="I5" i="5" s="1"/>
  <c r="H3" i="5" a="1"/>
  <c r="H3" i="5" s="1"/>
  <c r="I3" i="5" s="1"/>
  <c r="H2" i="5" a="1"/>
  <c r="H2" i="5" s="1"/>
  <c r="E2" i="5"/>
  <c r="F2" i="5"/>
  <c r="I27" i="5"/>
  <c r="I14" i="5"/>
  <c r="I6" i="5"/>
  <c r="I73" i="5"/>
  <c r="F89" i="5"/>
  <c r="F65" i="5"/>
  <c r="E22" i="5"/>
  <c r="F22" i="5" s="1"/>
  <c r="E23" i="5"/>
  <c r="F23" i="5" s="1"/>
  <c r="E83" i="5"/>
  <c r="F83" i="5" s="1"/>
  <c r="E84" i="5"/>
  <c r="F84" i="5" s="1"/>
  <c r="E85" i="5"/>
  <c r="F85" i="5" s="1"/>
  <c r="E86" i="5"/>
  <c r="F86" i="5" s="1"/>
  <c r="E87" i="5"/>
  <c r="F87" i="5" s="1"/>
  <c r="E88" i="5"/>
  <c r="F88" i="5" s="1"/>
  <c r="E67" i="5"/>
  <c r="F67" i="5" s="1"/>
  <c r="E68" i="5"/>
  <c r="F68" i="5" s="1"/>
  <c r="E57" i="5"/>
  <c r="F57" i="5" s="1"/>
  <c r="E58" i="5"/>
  <c r="F58" i="5" s="1"/>
  <c r="E59" i="5"/>
  <c r="F59" i="5" s="1"/>
  <c r="E60" i="5"/>
  <c r="F60" i="5" s="1"/>
  <c r="E61" i="5"/>
  <c r="F61" i="5" s="1"/>
  <c r="E62" i="5"/>
  <c r="F62" i="5" s="1"/>
  <c r="E63" i="5"/>
  <c r="F63" i="5" s="1"/>
  <c r="E64" i="5"/>
  <c r="F64" i="5" s="1"/>
  <c r="E26" i="5"/>
  <c r="F26" i="5" s="1"/>
  <c r="E34" i="5"/>
  <c r="F34" i="5" s="1"/>
  <c r="E35" i="5"/>
  <c r="F35" i="5" s="1"/>
  <c r="E36" i="5"/>
  <c r="F36" i="5" s="1"/>
  <c r="E39" i="5"/>
  <c r="F39" i="5" s="1"/>
  <c r="F45" i="5" s="1"/>
  <c r="E40" i="5"/>
  <c r="F40" i="5" s="1"/>
  <c r="E41" i="5"/>
  <c r="F41" i="5" s="1"/>
  <c r="E42" i="5"/>
  <c r="F42" i="5" s="1"/>
  <c r="E43" i="5"/>
  <c r="F43" i="5" s="1"/>
  <c r="E44" i="5"/>
  <c r="F44" i="5" s="1"/>
  <c r="E12" i="5"/>
  <c r="F12" i="5" s="1"/>
  <c r="E13" i="5"/>
  <c r="F13" i="5" s="1"/>
  <c r="E14" i="5"/>
  <c r="F14" i="5" s="1"/>
  <c r="E15" i="5"/>
  <c r="F15" i="5" s="1"/>
  <c r="E16" i="5"/>
  <c r="F16" i="5" s="1"/>
  <c r="E17" i="5"/>
  <c r="F17" i="5" s="1"/>
  <c r="E18" i="5"/>
  <c r="F18" i="5" s="1"/>
  <c r="E19" i="5"/>
  <c r="F19" i="5" s="1"/>
  <c r="E74" i="5"/>
  <c r="F74" i="5" s="1"/>
  <c r="E76" i="5"/>
  <c r="F76" i="5" s="1"/>
  <c r="E77" i="5"/>
  <c r="F77" i="5" s="1"/>
  <c r="E78" i="5"/>
  <c r="F78" i="5" s="1"/>
  <c r="E79" i="5"/>
  <c r="F79" i="5" s="1"/>
  <c r="E80" i="5"/>
  <c r="F80" i="5" s="1"/>
  <c r="E50" i="5"/>
  <c r="F50" i="5" s="1"/>
  <c r="E51" i="5"/>
  <c r="F51" i="5" s="1"/>
  <c r="E52" i="5"/>
  <c r="F52" i="5" s="1"/>
  <c r="E53" i="5"/>
  <c r="F53" i="5" s="1"/>
  <c r="E54" i="5"/>
  <c r="F54" i="5" s="1"/>
  <c r="E73" i="5"/>
  <c r="F73" i="5" s="1"/>
  <c r="E72" i="5"/>
  <c r="F72" i="5" s="1"/>
  <c r="E71" i="5"/>
  <c r="F71" i="5" s="1"/>
  <c r="E48" i="5"/>
  <c r="F48" i="5" s="1"/>
  <c r="E47" i="5"/>
  <c r="F47" i="5" s="1"/>
  <c r="E30" i="5"/>
  <c r="F30" i="5" s="1"/>
  <c r="E32" i="5"/>
  <c r="F32" i="5" s="1"/>
  <c r="E33" i="5"/>
  <c r="F33" i="5" s="1"/>
  <c r="E29" i="5"/>
  <c r="F29" i="5" s="1"/>
  <c r="E28" i="5"/>
  <c r="F28" i="5" s="1"/>
  <c r="E27" i="5"/>
  <c r="F27" i="5" s="1"/>
  <c r="E3" i="5"/>
  <c r="F3" i="5" s="1"/>
  <c r="E5" i="5"/>
  <c r="F5" i="5" s="1"/>
  <c r="E6" i="5"/>
  <c r="F6" i="5" s="1"/>
  <c r="E7" i="5"/>
  <c r="F7" i="5" s="1"/>
  <c r="E8" i="5"/>
  <c r="F8" i="5" s="1"/>
  <c r="E9" i="5"/>
  <c r="F9" i="5" s="1"/>
  <c r="D51" i="3"/>
  <c r="G49" i="3"/>
  <c r="F49" i="3"/>
  <c r="F44" i="3"/>
  <c r="F43" i="3"/>
  <c r="G43" i="3"/>
  <c r="B43" i="3"/>
  <c r="I2" i="5" l="1"/>
  <c r="I20" i="5" s="1"/>
  <c r="F20" i="5"/>
  <c r="I65" i="5"/>
  <c r="I89" i="5"/>
  <c r="I45" i="5"/>
  <c r="I91" i="5" l="1"/>
  <c r="C96" i="5" s="1"/>
  <c r="I93" i="5" l="1"/>
  <c r="I94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Emil Cebuc</author>
  </authors>
  <commentList>
    <comment ref="H1" authorId="0" shapeId="0" xr:uid="{2400D242-5A65-44CB-A75B-8AD1743CA0A1}">
      <text>
        <r>
          <rPr>
            <b/>
            <sz val="9"/>
            <color indexed="81"/>
            <rFont val="Tahoma"/>
            <charset val="1"/>
          </rPr>
          <t>Emil Cebuc:</t>
        </r>
        <r>
          <rPr>
            <sz val="9"/>
            <color indexed="81"/>
            <rFont val="Tahoma"/>
            <charset val="1"/>
          </rPr>
          <t xml:space="preserve">
From detaild design</t>
        </r>
      </text>
    </comment>
    <comment ref="I1" authorId="0" shapeId="0" xr:uid="{D03B0A53-EC17-46DF-97A1-073D2CAD107C}">
      <text>
        <r>
          <rPr>
            <b/>
            <sz val="9"/>
            <color indexed="81"/>
            <rFont val="Tahoma"/>
            <charset val="1"/>
          </rPr>
          <t>Emil Cebuc:</t>
        </r>
        <r>
          <rPr>
            <sz val="9"/>
            <color indexed="81"/>
            <rFont val="Tahoma"/>
            <charset val="1"/>
          </rPr>
          <t xml:space="preserve">
3m for in rack cabling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<sst xmlns="http://schemas.openxmlformats.org/spreadsheetml/2006/main" count="309" uniqueCount="170">
  <si>
    <t>Spatiu ocupat in U</t>
  </si>
  <si>
    <t>Denumire/ tip echipament</t>
  </si>
  <si>
    <t>Scurta descriere/ nr porturi</t>
  </si>
  <si>
    <t>Total</t>
  </si>
  <si>
    <t>Organizer orizontal</t>
  </si>
  <si>
    <t>Switch TOR</t>
  </si>
  <si>
    <t>24 UTP/PoE+6FO</t>
  </si>
  <si>
    <t xml:space="preserve">Model </t>
  </si>
  <si>
    <t>Patch Pannel FO</t>
  </si>
  <si>
    <t>Patch Pannel UTP</t>
  </si>
  <si>
    <t>24 UTP Cat6</t>
  </si>
  <si>
    <t>Putere electrica necesara W</t>
  </si>
  <si>
    <t>Caldura disipata BTU</t>
  </si>
  <si>
    <t>Organizer Orizontal</t>
  </si>
  <si>
    <t>Switch BOR</t>
  </si>
  <si>
    <t>UPS1</t>
  </si>
  <si>
    <t>UPS2</t>
  </si>
  <si>
    <t>Putere disponibila in UPS</t>
  </si>
  <si>
    <t>Note</t>
  </si>
  <si>
    <t>Liber pt dezvoltari ulterioare</t>
  </si>
  <si>
    <t>Firewall</t>
  </si>
  <si>
    <t>Daca nu incape intrun singur Rack se pot pune mai multe in fieacre DF, UPS /uri se pun in fiecare Rack</t>
  </si>
  <si>
    <t>ORG Vert</t>
  </si>
  <si>
    <t>Organizator de cabluri vertical</t>
  </si>
  <si>
    <t>Puterea disponibila in UPS sa fie cu 30% mai mare decat total putere necesar</t>
  </si>
  <si>
    <t>Daca sunt mai multe UPS-uri se distribuie sarcina intre ele</t>
  </si>
  <si>
    <t>Rack sunt de maxim 48 U sau 52 U inaltime</t>
  </si>
  <si>
    <t>Echipamentele de racire se pun in fiecare DF si vor trebuii sa aibe capacitatea de racire cu cca 30% mai mare decat total Caldura dispata</t>
  </si>
  <si>
    <t>Echipamentele de racire, Aer Conditionat de uz industrial nu sunt alimentate din UPS</t>
  </si>
  <si>
    <t>Capacitatea bateriilor/acumultorilor din UPS se determina in asa fel incat sa asigure o functionare de 30 la 60 minute la sarcina medie</t>
  </si>
  <si>
    <t>Se lasa loc liber in Rack cca 10-20% din spatiu pentru dezvoltari ulterioare</t>
  </si>
  <si>
    <t>AC 1</t>
  </si>
  <si>
    <t>AC 2</t>
  </si>
  <si>
    <t>Racire AC</t>
  </si>
  <si>
    <t>Consum  electric AC</t>
  </si>
  <si>
    <t>Controller Wireless</t>
  </si>
  <si>
    <t>50AP/1000useri</t>
  </si>
  <si>
    <t>Switch L2</t>
  </si>
  <si>
    <t>24 UTP</t>
  </si>
  <si>
    <t>12 tip? Connector</t>
  </si>
  <si>
    <t>….. Se repeta pina se pun</t>
  </si>
  <si>
    <t>toate PP UTP si SWL2</t>
  </si>
  <si>
    <t>necesare</t>
  </si>
  <si>
    <t>Total porturi UTP din Switchuri intre 70 si 100 % din nr de prize simple care se conecteaza la un DF, functie de strategia aleasa</t>
  </si>
  <si>
    <t>Nr prize disponibil in PP UTP in acest rack</t>
  </si>
  <si>
    <t>Nr prize simple de conectat la acest DF, valoarea se ia din etapa 2</t>
  </si>
  <si>
    <t>Formula se modifica daca utilizati PP cu alt numar de prize, 24, 48 etc.</t>
  </si>
  <si>
    <t xml:space="preserve"> nr de porturi total din Patch Pannel UTP trebuie sa fie mai mare sau egal cu nr de prize simple care se conecteaza la un DF</t>
  </si>
  <si>
    <t>Foia de calcul se replica pentru fiecare DF in parte</t>
  </si>
  <si>
    <t>Valorile din exemple sunt arbitrare si vor trebuii inlocuite cu date din fisa tehnica a echipamentelor alese pentru proiect</t>
  </si>
  <si>
    <t>Room Nr</t>
  </si>
  <si>
    <t>Nr Dou_Outlets</t>
  </si>
  <si>
    <t>Dist_To_DF</t>
  </si>
  <si>
    <t>AVG_In Room</t>
  </si>
  <si>
    <t>MDF</t>
  </si>
  <si>
    <t>IDF1</t>
  </si>
  <si>
    <t>IDF2</t>
  </si>
  <si>
    <t>IDF3</t>
  </si>
  <si>
    <t>Connected to DF</t>
  </si>
  <si>
    <t>Width m</t>
  </si>
  <si>
    <t>Length m</t>
  </si>
  <si>
    <t>Size sqm</t>
  </si>
  <si>
    <t>Cable for room</t>
  </si>
  <si>
    <t>Subtotal MDF</t>
  </si>
  <si>
    <t>Subtotal IDF1</t>
  </si>
  <si>
    <t>Subtotal IDF2</t>
  </si>
  <si>
    <t>Subtotal IDF3</t>
  </si>
  <si>
    <t>Total_Build</t>
  </si>
  <si>
    <t>305M Boxes</t>
  </si>
  <si>
    <t>2km Rols</t>
  </si>
  <si>
    <t>To check AVG linkspan</t>
  </si>
  <si>
    <t>Adapt technical reserve amount of cable according to design, example is for 3m, could be more</t>
  </si>
  <si>
    <t>Do not change</t>
  </si>
  <si>
    <t>From your design</t>
  </si>
  <si>
    <t>From detailed calcullus of prototype room/rooms</t>
  </si>
  <si>
    <t>1.1</t>
  </si>
  <si>
    <t>1.2</t>
  </si>
  <si>
    <t>1.3</t>
  </si>
  <si>
    <t>1.4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</si>
  <si>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</si>
  <si>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</si>
  <si>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</si>
  <si>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</si>
  <si>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</si>
  <si>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</si>
  <si>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</si>
  <si>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</si>
  <si>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</si>
  <si>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</si>
  <si>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</si>
  <si>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1.16</t>
  </si>
  <si>
    <t>1.17</t>
  </si>
  <si>
    <t>1.22</t>
  </si>
  <si>
    <t>1.23</t>
  </si>
  <si>
    <t>1.24</t>
  </si>
  <si>
    <t>1.25</t>
  </si>
  <si>
    <t>1.26</t>
  </si>
  <si>
    <t>1.27</t>
  </si>
  <si>
    <t>1.28</t>
  </si>
  <si>
    <t>1.29</t>
  </si>
  <si>
    <t>1.30</t>
  </si>
  <si>
    <t>1.31</t>
  </si>
  <si>
    <t>1.32</t>
  </si>
  <si>
    <t>1.33</t>
  </si>
  <si>
    <t>1.36</t>
  </si>
  <si>
    <t>1.37</t>
  </si>
  <si>
    <t>1.38</t>
  </si>
  <si>
    <t>1.39</t>
  </si>
  <si>
    <t>1.40</t>
  </si>
  <si>
    <t>1.41</t>
  </si>
  <si>
    <t>2.1</t>
  </si>
  <si>
    <t>2.2</t>
  </si>
  <si>
    <t>2.3</t>
  </si>
  <si>
    <t>2.4</t>
  </si>
  <si>
    <t>2.5</t>
  </si>
  <si>
    <t>2.6</t>
  </si>
  <si>
    <t>2.7</t>
  </si>
  <si>
    <t>2.8</t>
  </si>
  <si>
    <t>2.9</t>
  </si>
  <si>
    <t>2.10</t>
  </si>
  <si>
    <t>2.11</t>
  </si>
  <si>
    <t>2.12</t>
  </si>
  <si>
    <t>2.13</t>
  </si>
  <si>
    <t>2.14</t>
  </si>
  <si>
    <t>2.15</t>
  </si>
  <si>
    <t>2.16</t>
  </si>
  <si>
    <t>2.17</t>
  </si>
  <si>
    <t>2.22</t>
  </si>
  <si>
    <t>2.23</t>
  </si>
  <si>
    <t>2.24/25</t>
  </si>
  <si>
    <t>2.26</t>
  </si>
  <si>
    <t>2.27</t>
  </si>
  <si>
    <t>2.28</t>
  </si>
  <si>
    <t>2.29</t>
  </si>
  <si>
    <t>2.30</t>
  </si>
  <si>
    <t>2.31</t>
  </si>
  <si>
    <t>2.32</t>
  </si>
  <si>
    <t>2.33</t>
  </si>
  <si>
    <t>2.34</t>
  </si>
  <si>
    <t>2.35</t>
  </si>
  <si>
    <t>2.36</t>
  </si>
  <si>
    <t>2.37</t>
  </si>
  <si>
    <t>2.38</t>
  </si>
  <si>
    <t>2.39</t>
  </si>
  <si>
    <t>2.40</t>
  </si>
  <si>
    <t>2.41</t>
  </si>
  <si>
    <t>2.21</t>
  </si>
  <si>
    <t>2.18</t>
  </si>
  <si>
    <t>2.19</t>
  </si>
  <si>
    <t>2.20</t>
  </si>
  <si>
    <t>1.21</t>
  </si>
  <si>
    <t>1.18</t>
  </si>
  <si>
    <t>1.19</t>
  </si>
  <si>
    <t>1.20</t>
  </si>
  <si>
    <t>BATHROOM</t>
  </si>
  <si>
    <t>1.34</t>
  </si>
  <si>
    <t>1.35</t>
  </si>
  <si>
    <t>Room Type</t>
  </si>
  <si>
    <t>A</t>
  </si>
  <si>
    <t>B</t>
  </si>
  <si>
    <t>C</t>
  </si>
  <si>
    <t>D</t>
  </si>
  <si>
    <t>F</t>
  </si>
  <si>
    <t>E</t>
  </si>
  <si>
    <t>G</t>
  </si>
  <si>
    <t>H</t>
  </si>
  <si>
    <t>I</t>
  </si>
  <si>
    <t>J</t>
  </si>
  <si>
    <t>K</t>
  </si>
  <si>
    <t>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</si>
</sst>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charset val="238"/>
      <scheme val="minor"/>
    </font>
    <font>
      <sz val="8"/>
      <name val="Calibri"/>
      <family val="2"/>
      <charset val="238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theme="9" tint="0.59999389629810485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2" borderId="1" xfId="0" applyFill="1" applyBorder="1"/>
    <xf numFmtId="0" fontId="0" fillId="0" borderId="9" xfId="0" applyBorder="1"/>
    <xf numFmtId="0" fontId="0" fillId="0" borderId="10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1" fillId="3" borderId="18" xfId="0" applyFont="1" applyFill="1" applyBorder="1"/>
    <xf numFmtId="0" fontId="1" fillId="3" borderId="19" xfId="0" applyFont="1" applyFill="1" applyBorder="1"/>
    <xf numFmtId="0" fontId="1" fillId="3" borderId="20" xfId="0" applyFont="1" applyFill="1" applyBorder="1"/>
    <xf numFmtId="0" fontId="0" fillId="4" borderId="1" xfId="0" applyFill="1" applyBorder="1"/>
    <xf numFmtId="0" fontId="1" fillId="4" borderId="0" xfId="0" applyFont="1" applyFill="1"/>
    <xf numFmtId="0" fontId="1" fillId="5" borderId="0" xfId="0" applyFont="1" applyFill="1"/>
    <xf numFmtId="0" fontId="0" fillId="5" borderId="0" xfId="0" applyFill="1"/>
    <xf numFmtId="0" fontId="2" fillId="6" borderId="0" xfId="0" applyFont="1" applyFill="1"/>
    <xf numFmtId="0" fontId="0" fillId="7" borderId="1" xfId="0" applyFill="1" applyBorder="1"/>
    <xf numFmtId="0" fontId="0" fillId="0" borderId="21" xfId="0" applyBorder="1"/>
    <xf numFmtId="0" fontId="0" fillId="7" borderId="22" xfId="0" applyFill="1" applyBorder="1"/>
    <xf numFmtId="0" fontId="3" fillId="7" borderId="11" xfId="0" applyFont="1" applyFill="1" applyBorder="1"/>
    <xf numFmtId="0" fontId="3" fillId="7" borderId="12" xfId="0" applyFont="1" applyFill="1" applyBorder="1"/>
    <xf numFmtId="0" fontId="0" fillId="8" borderId="0" xfId="0" applyFill="1"/>
    <xf numFmtId="0" fontId="1" fillId="0" borderId="0" xfId="0" applyFont="1"/>
    <xf numFmtId="0" fontId="0" fillId="8" borderId="0" xfId="0" applyFill="1" applyAlignment="1">
      <alignment wrapText="1"/>
    </xf>
    <xf numFmtId="0" fontId="0" fillId="8" borderId="0" xfId="0" applyFill="1" applyAlignment="1">
      <alignment vertical="top" wrapText="1"/>
    </xf>
    <xf numFmtId="0" fontId="0" fillId="2" borderId="0" xfId="0" applyFill="1"/>
    <xf numFmtId="0" fontId="1" fillId="0" borderId="0" xfId="0" applyFont="1" applyAlignment="1">
      <alignment wrapText="1"/>
    </xf>
    <xf numFmtId="0" fontId="0" fillId="0" borderId="11" xfId="0" applyBorder="1"/>
    <xf numFmtId="0" fontId="0" fillId="0" borderId="23" xfId="0" applyBorder="1"/>
    <xf numFmtId="0" fontId="0" fillId="0" borderId="12" xfId="0" applyBorder="1"/>
    <xf numFmtId="0" fontId="7" fillId="0" borderId="0" xfId="0" applyFont="1"/>
    <xf numFmtId="0" fontId="0" fillId="9" borderId="1" xfId="0" applyFill="1" applyBorder="1"/>
    <xf numFmtId="0" fontId="0" fillId="10" borderId="1" xfId="0" applyFill="1" applyBorder="1"/>
    <xf numFmtId="49" fontId="0" fillId="10" borderId="1" xfId="0" applyNumberFormat="1" applyFill="1" applyBorder="1"/>
    <xf numFmtId="2" fontId="0" fillId="10" borderId="1" xfId="0" applyNumberFormat="1" applyFill="1" applyBorder="1"/>
    <xf numFmtId="2" fontId="0" fillId="11" borderId="1" xfId="0" applyNumberFormat="1" applyFill="1" applyBorder="1"/>
    <xf numFmtId="49" fontId="0" fillId="12" borderId="1" xfId="0" applyNumberFormat="1" applyFill="1" applyBorder="1"/>
    <xf numFmtId="49" fontId="0" fillId="14" borderId="1" xfId="0" applyNumberFormat="1" applyFill="1" applyBorder="1"/>
    <xf numFmtId="0" fontId="1" fillId="0" borderId="1" xfId="0" applyFont="1" applyBorder="1"/>
    <xf numFmtId="2" fontId="1" fillId="0" borderId="1" xfId="0" applyNumberFormat="1" applyFont="1" applyBorder="1"/>
    <xf numFmtId="2" fontId="1" fillId="0" borderId="0" xfId="0" applyNumberFormat="1" applyFont="1"/>
    <xf numFmtId="2" fontId="0" fillId="13" borderId="1" xfId="0" applyNumberFormat="1" applyFill="1" applyBorder="1"/>
    <xf numFmtId="2" fontId="7" fillId="0" borderId="0" xfId="0" applyNumberFormat="1" applyFont="1"/>
    <xf numFmtId="2" fontId="0" fillId="0" borderId="0" xfId="0" applyNumberFormat="1"/>
    <xf numFmtId="49" fontId="1" fillId="0" borderId="1" xfId="0" applyNumberFormat="1" applyFont="1" applyBorder="1"/>
    <xf numFmtId="49" fontId="0" fillId="15" borderId="1" xfId="0" applyNumberFormat="1" applyFill="1" applyBorder="1"/>
    <xf numFmtId="49" fontId="0" fillId="0" borderId="0" xfId="0" applyNumberFormat="1"/>
    <xf numFmtId="0" fontId="7" fillId="9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7" fillId="10" borderId="0" xfId="0" applyFont="1" applyFill="1" applyAlignment="1">
      <alignment horizontal="center" vertical="center"/>
    </xf>
    <xf numFmtId="0" fontId="7" fillId="11" borderId="0" xfId="0" applyFont="1" applyFill="1" applyAlignment="1">
      <alignment horizontal="center" vertical="center"/>
    </xf>
    <xf numFmtId="49" fontId="1" fillId="12" borderId="24" xfId="0" applyNumberFormat="1" applyFont="1" applyFill="1" applyBorder="1" applyAlignment="1">
      <alignment horizontal="center" vertical="center"/>
    </xf>
    <xf numFmtId="49" fontId="1" fillId="12" borderId="25" xfId="0" applyNumberFormat="1" applyFont="1" applyFill="1" applyBorder="1" applyAlignment="1">
      <alignment horizontal="center" vertical="center"/>
    </xf>
    <xf numFmtId="49" fontId="1" fillId="12" borderId="15" xfId="0" applyNumberFormat="1" applyFont="1" applyFill="1" applyBorder="1" applyAlignment="1">
      <alignment horizontal="center" vertical="center"/>
    </xf>
    <xf numFmtId="49" fontId="1" fillId="12" borderId="26" xfId="0" applyNumberFormat="1" applyFont="1" applyFill="1" applyBorder="1" applyAlignment="1">
      <alignment horizontal="center" vertical="center"/>
    </xf>
    <xf numFmtId="49" fontId="1" fillId="12" borderId="27" xfId="0" applyNumberFormat="1" applyFont="1" applyFill="1" applyBorder="1" applyAlignment="1">
      <alignment horizontal="center" vertical="center"/>
    </xf>
    <xf numFmtId="49" fontId="1" fillId="12" borderId="28" xfId="0" applyNumberFormat="1" applyFont="1" applyFill="1" applyBorder="1" applyAlignment="1">
      <alignment horizontal="center" vertical="center"/>
    </xf>
    <xf numFmtId="0" fontId="1" fillId="12" borderId="24" xfId="0" applyFont="1" applyFill="1" applyBorder="1" applyAlignment="1">
      <alignment horizontal="center" vertical="center"/>
    </xf>
    <xf numFmtId="0" fontId="1" fillId="12" borderId="25" xfId="0" applyFont="1" applyFill="1" applyBorder="1" applyAlignment="1">
      <alignment horizontal="center" vertical="center"/>
    </xf>
    <xf numFmtId="0" fontId="1" fillId="12" borderId="15" xfId="0" applyFont="1" applyFill="1" applyBorder="1" applyAlignment="1">
      <alignment horizontal="center" vertical="center"/>
    </xf>
    <xf numFmtId="0" fontId="1" fillId="12" borderId="26" xfId="0" applyFont="1" applyFill="1" applyBorder="1" applyAlignment="1">
      <alignment horizontal="center" vertical="center"/>
    </xf>
    <xf numFmtId="0" fontId="1" fillId="12" borderId="27" xfId="0" applyFont="1" applyFill="1" applyBorder="1" applyAlignment="1">
      <alignment horizontal="center" vertical="center"/>
    </xf>
    <xf numFmtId="0" fontId="1" fillId="12" borderId="28" xfId="0" applyFont="1" applyFill="1" applyBorder="1" applyAlignment="1">
      <alignment horizontal="center" vertical="center"/>
    </xf>
    <xf numFmtId="49" fontId="0" fillId="14" borderId="29" xfId="0" applyNumberFormat="1" applyFill="1" applyBorder="1" applyAlignment="1">
      <alignment horizontal="center" vertical="center"/>
    </xf>
    <xf numFmtId="49" fontId="0" fillId="14" borderId="21" xfId="0" applyNumberFormat="1" applyFill="1" applyBorder="1" applyAlignment="1">
      <alignment horizontal="center" vertical="center"/>
    </xf>
    <xf numFmtId="49" fontId="0" fillId="14" borderId="9" xfId="0" applyNumberFormat="1" applyFill="1" applyBorder="1" applyAlignment="1">
      <alignment horizontal="center" vertical="center"/>
    </xf>
    <xf numFmtId="0" fontId="0" fillId="14" borderId="29" xfId="0" applyFill="1" applyBorder="1" applyAlignment="1">
      <alignment horizontal="center" vertical="center"/>
    </xf>
    <xf numFmtId="0" fontId="0" fillId="14" borderId="21" xfId="0" applyFill="1" applyBorder="1" applyAlignment="1">
      <alignment horizontal="center" vertical="center"/>
    </xf>
    <xf numFmtId="0" fontId="0" fillId="14" borderId="9" xfId="0" applyFill="1" applyBorder="1" applyAlignment="1">
      <alignment horizontal="center" vertical="center"/>
    </xf>
    <xf numFmtId="0" fontId="0" fillId="0" borderId="13" xfId="0" applyBorder="1" applyAlignment="1">
      <alignment horizontal="center" vertical="center" textRotation="255"/>
    </xf>
    <xf numFmtId="0" fontId="0" fillId="0" borderId="14" xfId="0" applyBorder="1" applyAlignment="1">
      <alignment horizontal="center" vertical="center" textRotation="255"/>
    </xf>
    <xf numFmtId="0" fontId="0" fillId="0" borderId="0" xfId="0" applyAlignment="1">
      <alignment horizontal="center"/>
    </xf>
  </cellXfs>
  <cellStyles count="1">
    <cellStyle name="Normal" xfId="0" builtinId="0"/>
  </cellStyles>
  <dxfs count="2">
    <dxf>
      <fill>
        <patternFill>
          <bgColor rgb="FF00B050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99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29A6EC-8F37-4E8F-9E44-40C579389B24}">
  <sheetPr codeName="Sheet1"/>
  <dimension ref="A1:J101"/>
  <sheetViews>
    <sheetView tabSelected="1" zoomScale="130" zoomScaleNormal="130" workbookViewId="0">
      <pane ySplit="1" topLeftCell="A91" activePane="bottomLeft" state="frozen"/>
      <selection pane="bottomLeft" activeCell="F101" sqref="F101"/>
    </sheetView>
  </sheetViews>
  <sheetFormatPr defaultRowHeight="14.4" x14ac:dyDescent="0.3"/>
  <cols>
    <col min="1" max="1" width="12.44140625" bestFit="1" customWidth="1"/>
    <col min="2" max="2" width="15" bestFit="1" customWidth="1"/>
    <col min="4" max="5" width="8.21875" bestFit="1" customWidth="1"/>
    <col min="6" max="6" width="14" bestFit="1" customWidth="1"/>
    <col min="7" max="7" width="10.33203125" bestFit="1" customWidth="1"/>
    <col min="8" max="8" width="12.77734375" style="50" bestFit="1" customWidth="1"/>
    <col min="9" max="9" width="13.6640625" bestFit="1" customWidth="1"/>
    <col min="10" max="10" width="12.77734375" style="53" customWidth="1"/>
  </cols>
  <sheetData>
    <row r="1" spans="1:10" x14ac:dyDescent="0.3">
      <c r="A1" s="45" t="s">
        <v>50</v>
      </c>
      <c r="B1" s="45" t="s">
        <v>58</v>
      </c>
      <c r="C1" s="45" t="s">
        <v>60</v>
      </c>
      <c r="D1" s="45" t="s">
        <v>59</v>
      </c>
      <c r="E1" s="45" t="s">
        <v>61</v>
      </c>
      <c r="F1" s="45" t="s">
        <v>51</v>
      </c>
      <c r="G1" s="45" t="s">
        <v>52</v>
      </c>
      <c r="H1" s="46" t="s">
        <v>53</v>
      </c>
      <c r="I1" s="45" t="s">
        <v>62</v>
      </c>
      <c r="J1" s="51" t="s">
        <v>157</v>
      </c>
    </row>
    <row r="2" spans="1:10" x14ac:dyDescent="0.3">
      <c r="A2" s="40" t="s">
        <v>75</v>
      </c>
      <c r="B2" s="40" t="s">
        <v>54</v>
      </c>
      <c r="C2" s="41">
        <v>6.5</v>
      </c>
      <c r="D2" s="41">
        <v>8.5</v>
      </c>
      <c r="E2" s="9">
        <f>C2*D2</f>
        <v>55.25</v>
      </c>
      <c r="F2" s="9">
        <f>ROUNDUP(E2/10,0)</f>
        <v>6</v>
      </c>
      <c r="G2" s="39">
        <v>9.4</v>
      </c>
      <c r="H2" s="42" cm="1">
        <f t="array" ref="H2">_xlfn.CEILING.MATH(_xlfn.SWITCH(J2, "A", 13.21, "B", 4.86, "C", 10.56, "D", 10.87, "E", 16.75, "F", 22, "G", 13.2, "H", 19.3, "I", 17.5, "J", 12.8, "K", 17.3, "L", 17, -1))</f>
        <v>14</v>
      </c>
      <c r="I2" s="38">
        <f>2*F2*(G2+H2+6)</f>
        <v>352.79999999999995</v>
      </c>
      <c r="J2" s="52" t="s">
        <v>158</v>
      </c>
    </row>
    <row r="3" spans="1:10" x14ac:dyDescent="0.3">
      <c r="A3" s="40" t="s">
        <v>76</v>
      </c>
      <c r="B3" s="40" t="s">
        <v>54</v>
      </c>
      <c r="C3" s="41">
        <v>8.5</v>
      </c>
      <c r="D3" s="41">
        <v>6.5</v>
      </c>
      <c r="E3" s="9">
        <f t="shared" ref="E3:E18" si="0">C3*D3</f>
        <v>55.25</v>
      </c>
      <c r="F3" s="9">
        <f t="shared" ref="F3:F19" si="1">ROUNDUP(E3/10,0)</f>
        <v>6</v>
      </c>
      <c r="G3" s="39">
        <v>16.11</v>
      </c>
      <c r="H3" s="42" cm="1">
        <f t="array" ref="H3">_xlfn.CEILING.MATH(_xlfn.SWITCH(J3, "A", 13.21, "B", 4.86, "C", 10.56, "D", 10.87, "E", 16.75, "F", 22, "G", 13.2, "H", 19.3, "I", 17.5, "J", 12.8, "K", 17.3, "L", 17, -1))</f>
        <v>5</v>
      </c>
      <c r="I3" s="38">
        <f>2*F3*(G3+H3+6)</f>
        <v>325.32</v>
      </c>
      <c r="J3" s="52" t="s">
        <v>159</v>
      </c>
    </row>
    <row r="4" spans="1:10" x14ac:dyDescent="0.3">
      <c r="A4" s="44" t="s">
        <v>77</v>
      </c>
      <c r="B4" s="70" t="s">
        <v>54</v>
      </c>
      <c r="C4" s="71"/>
      <c r="D4" s="71"/>
      <c r="E4" s="71"/>
      <c r="F4" s="71"/>
      <c r="G4" s="71"/>
      <c r="H4" s="71"/>
      <c r="I4" s="71"/>
      <c r="J4" s="72"/>
    </row>
    <row r="5" spans="1:10" x14ac:dyDescent="0.3">
      <c r="A5" s="40" t="s">
        <v>78</v>
      </c>
      <c r="B5" s="40" t="s">
        <v>54</v>
      </c>
      <c r="C5" s="41">
        <v>5.5</v>
      </c>
      <c r="D5" s="41">
        <v>8.5</v>
      </c>
      <c r="E5" s="9">
        <f t="shared" si="0"/>
        <v>46.75</v>
      </c>
      <c r="F5" s="9">
        <f t="shared" si="1"/>
        <v>5</v>
      </c>
      <c r="G5" s="39">
        <v>21.82</v>
      </c>
      <c r="H5" s="42" cm="1">
        <f t="array" ref="H5">_xlfn.CEILING.MATH(_xlfn.SWITCH(J5, "A", 13.21, "B", 4.86, "C", 10.56, "D", 10.87, "E", 16.75, "F", 22, "G", 13.2, "H", 19.3, "I", 17.5, "J", 12.8, "K", 17.3, "L", 17, -1))</f>
        <v>11</v>
      </c>
      <c r="I5" s="38">
        <f>2*F5*(G5+H5+6)</f>
        <v>388.2</v>
      </c>
      <c r="J5" s="52" t="s">
        <v>160</v>
      </c>
    </row>
    <row r="6" spans="1:10" x14ac:dyDescent="0.3">
      <c r="A6" s="40" t="s">
        <v>79</v>
      </c>
      <c r="B6" s="40" t="s">
        <v>54</v>
      </c>
      <c r="C6" s="41">
        <v>5.5</v>
      </c>
      <c r="D6" s="41">
        <v>8.5</v>
      </c>
      <c r="E6" s="9">
        <f t="shared" si="0"/>
        <v>46.75</v>
      </c>
      <c r="F6" s="9">
        <f t="shared" si="1"/>
        <v>5</v>
      </c>
      <c r="G6" s="39">
        <v>27.82</v>
      </c>
      <c r="H6" s="42" cm="1">
        <f t="array" ref="H6">_xlfn.CEILING.MATH(_xlfn.SWITCH(J6, "A", 13.21, "B", 4.86, "C", 10.56, "D", 10.87, "E", 16.75, "F", 22, "G", 13.2, "H", 19.3, "I", 17.5, "J", 12.8, "K", 17.3, "L", 17, -1))</f>
        <v>11</v>
      </c>
      <c r="I6" s="38">
        <f t="shared" ref="I6:I9" si="2">2*F6*(G6+H6+6)</f>
        <v>448.2</v>
      </c>
      <c r="J6" s="52" t="s">
        <v>160</v>
      </c>
    </row>
    <row r="7" spans="1:10" x14ac:dyDescent="0.3">
      <c r="A7" s="40" t="s">
        <v>80</v>
      </c>
      <c r="B7" s="40" t="s">
        <v>54</v>
      </c>
      <c r="C7" s="41">
        <v>5.5</v>
      </c>
      <c r="D7" s="41">
        <v>8.5</v>
      </c>
      <c r="E7" s="9">
        <f t="shared" si="0"/>
        <v>46.75</v>
      </c>
      <c r="F7" s="9">
        <f t="shared" si="1"/>
        <v>5</v>
      </c>
      <c r="G7" s="39">
        <v>33.53</v>
      </c>
      <c r="H7" s="42" cm="1">
        <f t="array" ref="H7">_xlfn.CEILING.MATH(_xlfn.SWITCH(J7, "A", 13.21, "B", 4.86, "C", 10.56, "D", 10.87, "E", 16.75, "F", 22, "G", 13.2, "H", 19.3, "I", 17.5, "J", 12.8, "K", 17.3, "L", 17, -1))</f>
        <v>11</v>
      </c>
      <c r="I7" s="38">
        <f t="shared" si="2"/>
        <v>505.3</v>
      </c>
      <c r="J7" s="52" t="s">
        <v>160</v>
      </c>
    </row>
    <row r="8" spans="1:10" x14ac:dyDescent="0.3">
      <c r="A8" s="40" t="s">
        <v>81</v>
      </c>
      <c r="B8" s="40" t="s">
        <v>54</v>
      </c>
      <c r="C8" s="41">
        <v>5.5</v>
      </c>
      <c r="D8" s="41">
        <v>8.5</v>
      </c>
      <c r="E8" s="9">
        <f t="shared" si="0"/>
        <v>46.75</v>
      </c>
      <c r="F8" s="9">
        <f t="shared" si="1"/>
        <v>5</v>
      </c>
      <c r="G8" s="39">
        <v>39.53</v>
      </c>
      <c r="H8" s="42" cm="1">
        <f t="array" ref="H8">_xlfn.CEILING.MATH(_xlfn.SWITCH(J8, "A", 13.21, "B", 4.86, "C", 10.56, "D", 10.87, "E", 16.75, "F", 22, "G", 13.2, "H", 19.3, "I", 17.5, "J", 12.8, "K", 17.3, "L", 17, -1))</f>
        <v>11</v>
      </c>
      <c r="I8" s="38">
        <f t="shared" si="2"/>
        <v>565.29999999999995</v>
      </c>
      <c r="J8" s="52" t="s">
        <v>160</v>
      </c>
    </row>
    <row r="9" spans="1:10" x14ac:dyDescent="0.3">
      <c r="A9" s="40" t="s">
        <v>82</v>
      </c>
      <c r="B9" s="40" t="s">
        <v>54</v>
      </c>
      <c r="C9" s="41">
        <v>5.5</v>
      </c>
      <c r="D9" s="41">
        <v>8.5</v>
      </c>
      <c r="E9" s="9">
        <f t="shared" si="0"/>
        <v>46.75</v>
      </c>
      <c r="F9" s="9">
        <f t="shared" si="1"/>
        <v>5</v>
      </c>
      <c r="G9" s="39">
        <v>45.24</v>
      </c>
      <c r="H9" s="42" cm="1">
        <f t="array" ref="H9">_xlfn.CEILING.MATH(_xlfn.SWITCH(J9, "A", 13.21, "B", 4.86, "C", 10.56, "D", 10.87, "E", 16.75, "F", 22, "G", 13.2, "H", 19.3, "I", 17.5, "J", 12.8, "K", 17.3, "L", 17, -1))</f>
        <v>11</v>
      </c>
      <c r="I9" s="38">
        <f t="shared" si="2"/>
        <v>622.4</v>
      </c>
      <c r="J9" s="52" t="s">
        <v>160</v>
      </c>
    </row>
    <row r="10" spans="1:10" x14ac:dyDescent="0.3">
      <c r="A10" s="43" t="s">
        <v>83</v>
      </c>
      <c r="B10" s="58" t="s">
        <v>154</v>
      </c>
      <c r="C10" s="59"/>
      <c r="D10" s="59"/>
      <c r="E10" s="59"/>
      <c r="F10" s="59"/>
      <c r="G10" s="59"/>
      <c r="H10" s="59"/>
      <c r="I10" s="59"/>
      <c r="J10" s="60"/>
    </row>
    <row r="11" spans="1:10" x14ac:dyDescent="0.3">
      <c r="A11" s="43" t="s">
        <v>84</v>
      </c>
      <c r="B11" s="61"/>
      <c r="C11" s="62"/>
      <c r="D11" s="62"/>
      <c r="E11" s="62"/>
      <c r="F11" s="62"/>
      <c r="G11" s="62"/>
      <c r="H11" s="62"/>
      <c r="I11" s="62"/>
      <c r="J11" s="63"/>
    </row>
    <row r="12" spans="1:10" x14ac:dyDescent="0.3">
      <c r="A12" s="40" t="s">
        <v>85</v>
      </c>
      <c r="B12" s="40" t="s">
        <v>54</v>
      </c>
      <c r="C12" s="41">
        <v>8.5</v>
      </c>
      <c r="D12" s="41">
        <v>11.5</v>
      </c>
      <c r="E12" s="9">
        <f t="shared" si="0"/>
        <v>97.75</v>
      </c>
      <c r="F12" s="9">
        <f t="shared" si="1"/>
        <v>10</v>
      </c>
      <c r="G12" s="39">
        <v>0.5</v>
      </c>
      <c r="H12" s="42" cm="1">
        <f t="array" ref="H12">_xlfn.CEILING.MATH(_xlfn.SWITCH(J12, "A", 13.21, "B", 4.86, "C", 10.56, "D", 10.87, "E", 16.75, "F", 22, "G", 13.2, "H", 19.3, "I", 17.5, "J", 12.8, "K", 17.3, "L", 17, -1))</f>
        <v>11</v>
      </c>
      <c r="I12" s="38">
        <f>2*F12*(G12+H12+6)</f>
        <v>350</v>
      </c>
      <c r="J12" s="52" t="s">
        <v>161</v>
      </c>
    </row>
    <row r="13" spans="1:10" x14ac:dyDescent="0.3">
      <c r="A13" s="40" t="s">
        <v>86</v>
      </c>
      <c r="B13" s="40" t="s">
        <v>54</v>
      </c>
      <c r="C13" s="41">
        <v>20</v>
      </c>
      <c r="D13" s="41">
        <v>16.5</v>
      </c>
      <c r="E13" s="9">
        <f t="shared" si="0"/>
        <v>330</v>
      </c>
      <c r="F13" s="9">
        <f t="shared" si="1"/>
        <v>33</v>
      </c>
      <c r="G13" s="39">
        <v>5</v>
      </c>
      <c r="H13" s="42" cm="1">
        <f t="array" ref="H13">_xlfn.CEILING.MATH(_xlfn.SWITCH(J13, "A", 13.21, "B", 4.86, "C", 10.56, "D", 10.87, "E", 16.75, "F", 22, "G", 13.2, "H", 19.3, "I", 17.5, "J", 12.8, "K", 17.3, "L", 17, -1))</f>
        <v>22</v>
      </c>
      <c r="I13" s="38">
        <f t="shared" ref="I13:I19" si="3">2*F13*(G13+H13+6)</f>
        <v>2178</v>
      </c>
      <c r="J13" s="52" t="s">
        <v>162</v>
      </c>
    </row>
    <row r="14" spans="1:10" x14ac:dyDescent="0.3">
      <c r="A14" s="40" t="s">
        <v>87</v>
      </c>
      <c r="B14" s="40" t="s">
        <v>54</v>
      </c>
      <c r="C14" s="41">
        <v>6.5</v>
      </c>
      <c r="D14" s="41">
        <v>11.5</v>
      </c>
      <c r="E14" s="9">
        <f t="shared" si="0"/>
        <v>74.75</v>
      </c>
      <c r="F14" s="9">
        <f t="shared" si="1"/>
        <v>8</v>
      </c>
      <c r="G14" s="39">
        <v>84.64</v>
      </c>
      <c r="H14" s="42" cm="1">
        <f t="array" ref="H14">_xlfn.CEILING.MATH(_xlfn.SWITCH(J14, "A", 13.21, "B", 4.86, "C", 10.56, "D", 10.87, "E", 16.75, "F", 22, "G", 13.2, "H", 19.3, "I", 17.5, "J", 12.8, "K", 17.3, "L", 17, -1))</f>
        <v>17</v>
      </c>
      <c r="I14" s="38">
        <f t="shared" si="3"/>
        <v>1722.24</v>
      </c>
      <c r="J14" s="52" t="s">
        <v>163</v>
      </c>
    </row>
    <row r="15" spans="1:10" x14ac:dyDescent="0.3">
      <c r="A15" s="40" t="s">
        <v>88</v>
      </c>
      <c r="B15" s="40" t="s">
        <v>54</v>
      </c>
      <c r="C15" s="41">
        <v>6.5</v>
      </c>
      <c r="D15" s="41">
        <v>11.5</v>
      </c>
      <c r="E15" s="9">
        <f t="shared" si="0"/>
        <v>74.75</v>
      </c>
      <c r="F15" s="9">
        <f t="shared" si="1"/>
        <v>8</v>
      </c>
      <c r="G15" s="39">
        <v>91.78</v>
      </c>
      <c r="H15" s="42" cm="1">
        <f t="array" ref="H15">_xlfn.CEILING.MATH(_xlfn.SWITCH(J15, "A", 13.21, "B", 4.86, "C", 10.56, "D", 10.87, "E", 16.75, "F", 22, "G", 13.2, "H", 19.3, "I", 17.5, "J", 12.8, "K", 17.3, "L", 17, -1))</f>
        <v>17</v>
      </c>
      <c r="I15" s="38">
        <f t="shared" si="3"/>
        <v>1836.48</v>
      </c>
      <c r="J15" s="52" t="s">
        <v>163</v>
      </c>
    </row>
    <row r="16" spans="1:10" x14ac:dyDescent="0.3">
      <c r="A16" s="40" t="s">
        <v>89</v>
      </c>
      <c r="B16" s="40" t="s">
        <v>54</v>
      </c>
      <c r="C16" s="41">
        <v>6.5</v>
      </c>
      <c r="D16" s="41">
        <v>11.5</v>
      </c>
      <c r="E16" s="9">
        <f t="shared" si="0"/>
        <v>74.75</v>
      </c>
      <c r="F16" s="9">
        <f t="shared" si="1"/>
        <v>8</v>
      </c>
      <c r="G16" s="39">
        <v>98.78</v>
      </c>
      <c r="H16" s="42" cm="1">
        <f t="array" ref="H16">_xlfn.CEILING.MATH(_xlfn.SWITCH(J16, "A", 13.21, "B", 4.86, "C", 10.56, "D", 10.87, "E", 16.75, "F", 22, "G", 13.2, "H", 19.3, "I", 17.5, "J", 12.8, "K", 17.3, "L", 17, -1))</f>
        <v>17</v>
      </c>
      <c r="I16" s="38">
        <f t="shared" si="3"/>
        <v>1948.48</v>
      </c>
      <c r="J16" s="52" t="s">
        <v>163</v>
      </c>
    </row>
    <row r="17" spans="1:10" x14ac:dyDescent="0.3">
      <c r="A17" s="40" t="s">
        <v>90</v>
      </c>
      <c r="B17" s="40" t="s">
        <v>54</v>
      </c>
      <c r="C17" s="41">
        <v>6.5</v>
      </c>
      <c r="D17" s="41">
        <v>11.5</v>
      </c>
      <c r="E17" s="9">
        <f t="shared" si="0"/>
        <v>74.75</v>
      </c>
      <c r="F17" s="9">
        <f t="shared" si="1"/>
        <v>8</v>
      </c>
      <c r="G17" s="39">
        <v>105.92</v>
      </c>
      <c r="H17" s="42" cm="1">
        <f t="array" ref="H17">_xlfn.CEILING.MATH(_xlfn.SWITCH(J17, "A", 13.21, "B", 4.86, "C", 10.56, "D", 10.87, "E", 16.75, "F", 22, "G", 13.2, "H", 19.3, "I", 17.5, "J", 12.8, "K", 17.3, "L", 17, -1))</f>
        <v>17</v>
      </c>
      <c r="I17" s="38">
        <f t="shared" si="3"/>
        <v>2062.7200000000003</v>
      </c>
      <c r="J17" s="52" t="s">
        <v>163</v>
      </c>
    </row>
    <row r="18" spans="1:10" x14ac:dyDescent="0.3">
      <c r="A18" s="40" t="s">
        <v>91</v>
      </c>
      <c r="B18" s="40" t="s">
        <v>54</v>
      </c>
      <c r="C18" s="41">
        <v>6.5</v>
      </c>
      <c r="D18" s="41">
        <v>11.5</v>
      </c>
      <c r="E18" s="9">
        <f t="shared" si="0"/>
        <v>74.75</v>
      </c>
      <c r="F18" s="9">
        <f t="shared" si="1"/>
        <v>8</v>
      </c>
      <c r="G18" s="39">
        <v>112.92</v>
      </c>
      <c r="H18" s="42" cm="1">
        <f t="array" ref="H18">_xlfn.CEILING.MATH(_xlfn.SWITCH(J18, "A", 13.21, "B", 4.86, "C", 10.56, "D", 10.87, "E", 16.75, "F", 22, "G", 13.2, "H", 19.3, "I", 17.5, "J", 12.8, "K", 17.3, "L", 17, -1))</f>
        <v>17</v>
      </c>
      <c r="I18" s="38">
        <f t="shared" si="3"/>
        <v>2174.7200000000003</v>
      </c>
      <c r="J18" s="52" t="s">
        <v>163</v>
      </c>
    </row>
    <row r="19" spans="1:10" x14ac:dyDescent="0.3">
      <c r="A19" s="40" t="s">
        <v>92</v>
      </c>
      <c r="B19" s="40" t="s">
        <v>54</v>
      </c>
      <c r="C19" s="41">
        <v>10</v>
      </c>
      <c r="D19" s="41">
        <v>20</v>
      </c>
      <c r="E19" s="9">
        <f>C19*D19</f>
        <v>200</v>
      </c>
      <c r="F19" s="9">
        <f t="shared" si="1"/>
        <v>20</v>
      </c>
      <c r="G19" s="39">
        <v>17.5</v>
      </c>
      <c r="H19" s="42" cm="1">
        <f t="array" ref="H19">_xlfn.CEILING.MATH(_xlfn.SWITCH(J19, "A", 13.21, "B", 4.86, "C", 10.56, "D", 10.87, "E", 16.75, "F", 22, "G", 13.2, "H", 19.3, "I", 17.5, "J", 12.8, "K", 17.3, "L", 17, -1))</f>
        <v>14</v>
      </c>
      <c r="I19" s="38">
        <f t="shared" si="3"/>
        <v>1500</v>
      </c>
      <c r="J19" s="52" t="s">
        <v>164</v>
      </c>
    </row>
    <row r="20" spans="1:10" x14ac:dyDescent="0.3">
      <c r="A20" s="29" t="s">
        <v>63</v>
      </c>
      <c r="B20" s="29"/>
      <c r="C20" s="29"/>
      <c r="D20" s="29"/>
      <c r="E20" s="29"/>
      <c r="F20" s="29">
        <f>SUM(F2:F19)</f>
        <v>140</v>
      </c>
      <c r="G20" s="29"/>
      <c r="H20" s="47"/>
      <c r="I20" s="29">
        <f>SUM(I2:I19)</f>
        <v>16980.16</v>
      </c>
    </row>
    <row r="21" spans="1:10" x14ac:dyDescent="0.3">
      <c r="A21" s="29"/>
      <c r="B21" s="29"/>
      <c r="C21" s="29"/>
      <c r="D21" s="29"/>
      <c r="E21" s="29"/>
      <c r="F21" s="29"/>
      <c r="G21" s="29"/>
      <c r="H21" s="47"/>
      <c r="I21" s="29"/>
    </row>
    <row r="22" spans="1:10" x14ac:dyDescent="0.3">
      <c r="A22" s="40" t="s">
        <v>151</v>
      </c>
      <c r="B22" s="40" t="s">
        <v>55</v>
      </c>
      <c r="C22" s="41">
        <v>6.5</v>
      </c>
      <c r="D22" s="41">
        <v>11.5</v>
      </c>
      <c r="E22" s="9">
        <f t="shared" ref="E22:E23" si="4">C22*D22</f>
        <v>74.75</v>
      </c>
      <c r="F22" s="9">
        <f t="shared" ref="F22:F23" si="5">ROUNDUP(E22/10,0)</f>
        <v>8</v>
      </c>
      <c r="G22" s="39">
        <v>32</v>
      </c>
      <c r="H22" s="48" cm="1">
        <f t="array" ref="H22">_xlfn.CEILING.MATH(_xlfn.SWITCH(J22, "A", 13.21, "B", 4.86, "C", 10.56, "D", 10.87, "E", 16.75, "F", 22, "G", 13.2, "H", 19.3, "I", 17.5, "J", 12.8, "K", 17.3, "L", 17, -1))</f>
        <v>17</v>
      </c>
      <c r="I22" s="38">
        <f>2*F22*(G22+H22+6)</f>
        <v>880</v>
      </c>
      <c r="J22" s="52" t="s">
        <v>163</v>
      </c>
    </row>
    <row r="23" spans="1:10" x14ac:dyDescent="0.3">
      <c r="A23" s="40" t="s">
        <v>152</v>
      </c>
      <c r="B23" s="40" t="s">
        <v>55</v>
      </c>
      <c r="C23" s="41">
        <v>6.5</v>
      </c>
      <c r="D23" s="41">
        <v>11.5</v>
      </c>
      <c r="E23" s="9">
        <f t="shared" si="4"/>
        <v>74.75</v>
      </c>
      <c r="F23" s="9">
        <f t="shared" si="5"/>
        <v>8</v>
      </c>
      <c r="G23" s="39">
        <v>27</v>
      </c>
      <c r="H23" s="48" cm="1">
        <f t="array" ref="H23">_xlfn.CEILING.MATH(_xlfn.SWITCH(J23, "A", 13.21, "B", 4.86, "C", 10.56, "D", 10.87, "E", 16.75, "F", 22, "G", 13.2, "H", 19.3, "I", 17.5, "J", 12.8, "K", 17.3, "L", 17, -1))</f>
        <v>17</v>
      </c>
      <c r="I23" s="38">
        <f>2*F23*(G23+H23+6)</f>
        <v>800</v>
      </c>
      <c r="J23" s="52" t="s">
        <v>163</v>
      </c>
    </row>
    <row r="24" spans="1:10" x14ac:dyDescent="0.3">
      <c r="A24" s="43" t="s">
        <v>153</v>
      </c>
      <c r="B24" s="58" t="s">
        <v>154</v>
      </c>
      <c r="C24" s="59"/>
      <c r="D24" s="59"/>
      <c r="E24" s="59"/>
      <c r="F24" s="59"/>
      <c r="G24" s="59"/>
      <c r="H24" s="59"/>
      <c r="I24" s="59"/>
      <c r="J24" s="60"/>
    </row>
    <row r="25" spans="1:10" x14ac:dyDescent="0.3">
      <c r="A25" s="43" t="s">
        <v>150</v>
      </c>
      <c r="B25" s="61"/>
      <c r="C25" s="62"/>
      <c r="D25" s="62"/>
      <c r="E25" s="62"/>
      <c r="F25" s="62"/>
      <c r="G25" s="62"/>
      <c r="H25" s="62"/>
      <c r="I25" s="62"/>
      <c r="J25" s="63"/>
    </row>
    <row r="26" spans="1:10" x14ac:dyDescent="0.3">
      <c r="A26" s="40" t="s">
        <v>93</v>
      </c>
      <c r="B26" s="40" t="s">
        <v>55</v>
      </c>
      <c r="C26" s="41">
        <v>10</v>
      </c>
      <c r="D26" s="41">
        <v>20</v>
      </c>
      <c r="E26" s="9">
        <f>C26*D26</f>
        <v>200</v>
      </c>
      <c r="F26" s="9">
        <f>ROUNDUP(E26/10,0)</f>
        <v>20</v>
      </c>
      <c r="G26" s="39">
        <v>0.5</v>
      </c>
      <c r="H26" s="48" cm="1">
        <f t="array" ref="H26">_xlfn.CEILING.MATH(_xlfn.SWITCH(J26, "A", 13.21, "B", 4.86, "C", 10.56, "D", 10.87, "E", 16.75, "F", 22, "G", 13.2, "H", 19.3, "I", 17.5, "J", 12.8, "K", 17.3, "L", 17, -1))</f>
        <v>14</v>
      </c>
      <c r="I26" s="38">
        <f>2*F26*(G26+H26+6)</f>
        <v>820</v>
      </c>
      <c r="J26" s="52" t="s">
        <v>164</v>
      </c>
    </row>
    <row r="27" spans="1:10" x14ac:dyDescent="0.3">
      <c r="A27" s="40" t="s">
        <v>94</v>
      </c>
      <c r="B27" s="40" t="s">
        <v>55</v>
      </c>
      <c r="C27" s="39">
        <v>9</v>
      </c>
      <c r="D27" s="39">
        <v>10</v>
      </c>
      <c r="E27" s="9">
        <f>C27*D27</f>
        <v>90</v>
      </c>
      <c r="F27" s="9">
        <f>ROUNDUP(E27/10,0)</f>
        <v>9</v>
      </c>
      <c r="G27" s="39">
        <v>45</v>
      </c>
      <c r="H27" s="48" cm="1">
        <f t="array" ref="H27">_xlfn.CEILING.MATH(_xlfn.SWITCH(J27, "A", 13.21, "B", 4.86, "C", 10.56, "D", 10.87, "E", 16.75, "F", 22, "G", 13.2, "H", 19.3, "I", 17.5, "J", 12.8, "K", 17.3, "L", 17, -1))</f>
        <v>20</v>
      </c>
      <c r="I27" s="38">
        <f t="shared" ref="I27:I30" si="6">2*F27*(G27+H27+6)</f>
        <v>1278</v>
      </c>
      <c r="J27" s="52" t="s">
        <v>165</v>
      </c>
    </row>
    <row r="28" spans="1:10" x14ac:dyDescent="0.3">
      <c r="A28" s="40" t="s">
        <v>95</v>
      </c>
      <c r="B28" s="40" t="s">
        <v>55</v>
      </c>
      <c r="C28" s="39">
        <v>9</v>
      </c>
      <c r="D28" s="39">
        <v>10</v>
      </c>
      <c r="E28" s="9">
        <f t="shared" ref="E28:E29" si="7">C28*D28</f>
        <v>90</v>
      </c>
      <c r="F28" s="9">
        <f t="shared" ref="F28:F44" si="8">ROUNDUP(E28/10,0)</f>
        <v>9</v>
      </c>
      <c r="G28" s="39">
        <v>40</v>
      </c>
      <c r="H28" s="48" cm="1">
        <f t="array" ref="H28">_xlfn.CEILING.MATH(_xlfn.SWITCH(J28, "A", 13.21, "B", 4.86, "C", 10.56, "D", 10.87, "E", 16.75, "F", 22, "G", 13.2, "H", 19.3, "I", 17.5, "J", 12.8, "K", 17.3, "L", 17, -1))</f>
        <v>20</v>
      </c>
      <c r="I28" s="38">
        <f t="shared" si="6"/>
        <v>1188</v>
      </c>
      <c r="J28" s="52" t="s">
        <v>165</v>
      </c>
    </row>
    <row r="29" spans="1:10" x14ac:dyDescent="0.3">
      <c r="A29" s="40" t="s">
        <v>96</v>
      </c>
      <c r="B29" s="40" t="s">
        <v>55</v>
      </c>
      <c r="C29" s="39">
        <v>6.5</v>
      </c>
      <c r="D29" s="39">
        <v>9</v>
      </c>
      <c r="E29" s="9">
        <f t="shared" si="7"/>
        <v>58.5</v>
      </c>
      <c r="F29" s="9">
        <f t="shared" si="8"/>
        <v>6</v>
      </c>
      <c r="G29" s="39">
        <v>12.54</v>
      </c>
      <c r="H29" s="48" cm="1">
        <f t="array" ref="H29">_xlfn.CEILING.MATH(_xlfn.SWITCH(J29, "A", 13.21, "B", 4.86, "C", 10.56, "D", 10.87, "E", 16.75, "F", 22, "G", 13.2, "H", 19.3, "I", 17.5, "J", 12.8, "K", 17.3, "L", 17, -1))</f>
        <v>18</v>
      </c>
      <c r="I29" s="38">
        <f t="shared" si="6"/>
        <v>438.48</v>
      </c>
      <c r="J29" s="52" t="s">
        <v>166</v>
      </c>
    </row>
    <row r="30" spans="1:10" x14ac:dyDescent="0.3">
      <c r="A30" s="40" t="s">
        <v>97</v>
      </c>
      <c r="B30" s="40" t="s">
        <v>55</v>
      </c>
      <c r="C30" s="39">
        <v>6.5</v>
      </c>
      <c r="D30" s="39">
        <v>9</v>
      </c>
      <c r="E30" s="9">
        <f t="shared" ref="E30:E44" si="9">C30*D30</f>
        <v>58.5</v>
      </c>
      <c r="F30" s="9">
        <f t="shared" si="8"/>
        <v>6</v>
      </c>
      <c r="G30" s="39">
        <v>21.88</v>
      </c>
      <c r="H30" s="48" cm="1">
        <f t="array" ref="H30">_xlfn.CEILING.MATH(_xlfn.SWITCH(J30, "A", 13.21, "B", 4.86, "C", 10.56, "D", 10.87, "E", 16.75, "F", 22, "G", 13.2, "H", 19.3, "I", 17.5, "J", 12.8, "K", 17.3, "L", 17, -1))</f>
        <v>18</v>
      </c>
      <c r="I30" s="38">
        <f t="shared" si="6"/>
        <v>550.55999999999995</v>
      </c>
      <c r="J30" s="52" t="s">
        <v>166</v>
      </c>
    </row>
    <row r="31" spans="1:10" x14ac:dyDescent="0.3">
      <c r="A31" s="44" t="s">
        <v>98</v>
      </c>
      <c r="B31" s="70" t="s">
        <v>55</v>
      </c>
      <c r="C31" s="71"/>
      <c r="D31" s="71"/>
      <c r="E31" s="71"/>
      <c r="F31" s="71"/>
      <c r="G31" s="71"/>
      <c r="H31" s="71"/>
      <c r="I31" s="71"/>
      <c r="J31" s="72"/>
    </row>
    <row r="32" spans="1:10" x14ac:dyDescent="0.3">
      <c r="A32" s="40" t="s">
        <v>99</v>
      </c>
      <c r="B32" s="40" t="s">
        <v>55</v>
      </c>
      <c r="C32" s="39">
        <v>4.5</v>
      </c>
      <c r="D32" s="39">
        <v>9.5</v>
      </c>
      <c r="E32" s="9">
        <f t="shared" si="9"/>
        <v>42.75</v>
      </c>
      <c r="F32" s="9">
        <f t="shared" si="8"/>
        <v>5</v>
      </c>
      <c r="G32" s="39">
        <v>11.5</v>
      </c>
      <c r="H32" s="42" cm="1">
        <f t="array" ref="H32">_xlfn.CEILING.MATH(_xlfn.SWITCH(J32, "A", 13.21, "B", 4.86, "C", 10.56, "D", 10.87, "E", 16.75, "F", 22, "G", 13.2, "H", 19.3, "I", 17.5, "J", 12.8, "K", 17.3, "L", 17, -1))</f>
        <v>13</v>
      </c>
      <c r="I32" s="38">
        <f>2*F32*(G32+H32+6)</f>
        <v>305</v>
      </c>
      <c r="J32" s="52" t="s">
        <v>167</v>
      </c>
    </row>
    <row r="33" spans="1:10" x14ac:dyDescent="0.3">
      <c r="A33" s="40" t="s">
        <v>100</v>
      </c>
      <c r="B33" s="40" t="s">
        <v>55</v>
      </c>
      <c r="C33" s="39">
        <v>4.5</v>
      </c>
      <c r="D33" s="39">
        <v>9.5</v>
      </c>
      <c r="E33" s="9">
        <f t="shared" si="9"/>
        <v>42.75</v>
      </c>
      <c r="F33" s="9">
        <f t="shared" si="8"/>
        <v>5</v>
      </c>
      <c r="G33" s="39">
        <v>17</v>
      </c>
      <c r="H33" s="42" cm="1">
        <f t="array" ref="H33">_xlfn.CEILING.MATH(_xlfn.SWITCH(J33, "A", 13.21, "B", 4.86, "C", 10.56, "D", 10.87, "E", 16.75, "F", 22, "G", 13.2, "H", 19.3, "I", 17.5, "J", 12.8, "K", 17.3, "L", 17, -1))</f>
        <v>13</v>
      </c>
      <c r="I33" s="38">
        <f t="shared" ref="I33:I36" si="10">2*F33*(G33+H33+6)</f>
        <v>360</v>
      </c>
      <c r="J33" s="52" t="s">
        <v>167</v>
      </c>
    </row>
    <row r="34" spans="1:10" x14ac:dyDescent="0.3">
      <c r="A34" s="40" t="s">
        <v>101</v>
      </c>
      <c r="B34" s="40" t="s">
        <v>55</v>
      </c>
      <c r="C34" s="39">
        <v>4.5</v>
      </c>
      <c r="D34" s="39">
        <v>9.5</v>
      </c>
      <c r="E34" s="9">
        <f t="shared" si="9"/>
        <v>42.75</v>
      </c>
      <c r="F34" s="9">
        <f t="shared" si="8"/>
        <v>5</v>
      </c>
      <c r="G34" s="39">
        <v>22.5</v>
      </c>
      <c r="H34" s="42" cm="1">
        <f t="array" ref="H34">_xlfn.CEILING.MATH(_xlfn.SWITCH(J34, "A", 13.21, "B", 4.86, "C", 10.56, "D", 10.87, "E", 16.75, "F", 22, "G", 13.2, "H", 19.3, "I", 17.5, "J", 12.8, "K", 17.3, "L", 17, -1))</f>
        <v>13</v>
      </c>
      <c r="I34" s="38">
        <f t="shared" si="10"/>
        <v>415</v>
      </c>
      <c r="J34" s="52" t="s">
        <v>167</v>
      </c>
    </row>
    <row r="35" spans="1:10" x14ac:dyDescent="0.3">
      <c r="A35" s="40" t="s">
        <v>102</v>
      </c>
      <c r="B35" s="40" t="s">
        <v>55</v>
      </c>
      <c r="C35" s="39">
        <v>4.5</v>
      </c>
      <c r="D35" s="39">
        <v>9.5</v>
      </c>
      <c r="E35" s="9">
        <f t="shared" si="9"/>
        <v>42.75</v>
      </c>
      <c r="F35" s="9">
        <f t="shared" si="8"/>
        <v>5</v>
      </c>
      <c r="G35" s="39">
        <v>28</v>
      </c>
      <c r="H35" s="42" cm="1">
        <f t="array" ref="H35">_xlfn.CEILING.MATH(_xlfn.SWITCH(J35, "A", 13.21, "B", 4.86, "C", 10.56, "D", 10.87, "E", 16.75, "F", 22, "G", 13.2, "H", 19.3, "I", 17.5, "J", 12.8, "K", 17.3, "L", 17, -1))</f>
        <v>13</v>
      </c>
      <c r="I35" s="38">
        <f t="shared" si="10"/>
        <v>470</v>
      </c>
      <c r="J35" s="52" t="s">
        <v>167</v>
      </c>
    </row>
    <row r="36" spans="1:10" x14ac:dyDescent="0.3">
      <c r="A36" s="40" t="s">
        <v>103</v>
      </c>
      <c r="B36" s="40" t="s">
        <v>55</v>
      </c>
      <c r="C36" s="39">
        <v>4.5</v>
      </c>
      <c r="D36" s="39">
        <v>9.5</v>
      </c>
      <c r="E36" s="9">
        <f t="shared" si="9"/>
        <v>42.75</v>
      </c>
      <c r="F36" s="9">
        <f t="shared" si="8"/>
        <v>5</v>
      </c>
      <c r="G36" s="39">
        <v>33.5</v>
      </c>
      <c r="H36" s="42" cm="1">
        <f t="array" ref="H36">_xlfn.CEILING.MATH(_xlfn.SWITCH(J36, "A", 13.21, "B", 4.86, "C", 10.56, "D", 10.87, "E", 16.75, "F", 22, "G", 13.2, "H", 19.3, "I", 17.5, "J", 12.8, "K", 17.3, "L", 17, -1))</f>
        <v>13</v>
      </c>
      <c r="I36" s="38">
        <f t="shared" si="10"/>
        <v>525</v>
      </c>
      <c r="J36" s="52" t="s">
        <v>167</v>
      </c>
    </row>
    <row r="37" spans="1:10" x14ac:dyDescent="0.3">
      <c r="A37" s="43" t="s">
        <v>155</v>
      </c>
      <c r="B37" s="64" t="s">
        <v>154</v>
      </c>
      <c r="C37" s="65"/>
      <c r="D37" s="65"/>
      <c r="E37" s="65"/>
      <c r="F37" s="65"/>
      <c r="G37" s="65"/>
      <c r="H37" s="65"/>
      <c r="I37" s="65"/>
      <c r="J37" s="66"/>
    </row>
    <row r="38" spans="1:10" x14ac:dyDescent="0.3">
      <c r="A38" s="43" t="s">
        <v>156</v>
      </c>
      <c r="B38" s="67"/>
      <c r="C38" s="68"/>
      <c r="D38" s="68"/>
      <c r="E38" s="68"/>
      <c r="F38" s="68"/>
      <c r="G38" s="68"/>
      <c r="H38" s="68"/>
      <c r="I38" s="68"/>
      <c r="J38" s="69"/>
    </row>
    <row r="39" spans="1:10" x14ac:dyDescent="0.3">
      <c r="A39" s="40" t="s">
        <v>104</v>
      </c>
      <c r="B39" s="40" t="s">
        <v>55</v>
      </c>
      <c r="C39" s="39">
        <v>6</v>
      </c>
      <c r="D39" s="39">
        <v>12.5</v>
      </c>
      <c r="E39" s="9">
        <f t="shared" si="9"/>
        <v>75</v>
      </c>
      <c r="F39" s="9">
        <f t="shared" si="8"/>
        <v>8</v>
      </c>
      <c r="G39" s="39">
        <v>10.5</v>
      </c>
      <c r="H39" s="42" cm="1">
        <f t="array" ref="H39">_xlfn.CEILING.MATH(_xlfn.SWITCH(J39, "A", 13.21, "B", 4.86, "C", 10.56, "D", 10.87, "E", 16.75, "F", 22, "G", 13.2, "H", 19.3, "I", 17.5, "J", 12.8, "K", 17.3, "L", 17, -1))</f>
        <v>18</v>
      </c>
      <c r="I39" s="38">
        <f>2*F39*(G39+H39+6)</f>
        <v>552</v>
      </c>
      <c r="J39" s="52" t="s">
        <v>168</v>
      </c>
    </row>
    <row r="40" spans="1:10" x14ac:dyDescent="0.3">
      <c r="A40" s="40" t="s">
        <v>105</v>
      </c>
      <c r="B40" s="40" t="s">
        <v>55</v>
      </c>
      <c r="C40" s="39">
        <v>5.5</v>
      </c>
      <c r="D40" s="39">
        <v>12.5</v>
      </c>
      <c r="E40" s="9">
        <f t="shared" si="9"/>
        <v>68.75</v>
      </c>
      <c r="F40" s="9">
        <f t="shared" si="8"/>
        <v>7</v>
      </c>
      <c r="G40" s="39">
        <v>17.5</v>
      </c>
      <c r="H40" s="42" cm="1">
        <f t="array" ref="H40">_xlfn.CEILING.MATH(_xlfn.SWITCH(J40, "A", 13.21, "B", 4.86, "C", 10.56, "D", 10.87, "E", 16.75, "F", 22, "G", 13.2, "H", 19.3, "I", 17.5, "J", 12.8, "K", 17.3, "L", 17, -1))</f>
        <v>18</v>
      </c>
      <c r="I40" s="38">
        <f t="shared" ref="I40:I44" si="11">2*F40*(G40+H40+6)</f>
        <v>581</v>
      </c>
      <c r="J40" s="52" t="s">
        <v>168</v>
      </c>
    </row>
    <row r="41" spans="1:10" x14ac:dyDescent="0.3">
      <c r="A41" s="40" t="s">
        <v>106</v>
      </c>
      <c r="B41" s="40" t="s">
        <v>55</v>
      </c>
      <c r="C41" s="39">
        <v>5.5</v>
      </c>
      <c r="D41" s="39">
        <v>12.5</v>
      </c>
      <c r="E41" s="9">
        <f t="shared" si="9"/>
        <v>68.75</v>
      </c>
      <c r="F41" s="9">
        <f t="shared" si="8"/>
        <v>7</v>
      </c>
      <c r="G41" s="39">
        <v>23.5</v>
      </c>
      <c r="H41" s="42" cm="1">
        <f t="array" ref="H41">_xlfn.CEILING.MATH(_xlfn.SWITCH(J41, "A", 13.21, "B", 4.86, "C", 10.56, "D", 10.87, "E", 16.75, "F", 22, "G", 13.2, "H", 19.3, "I", 17.5, "J", 12.8, "K", 17.3, "L", 17, -1))</f>
        <v>18</v>
      </c>
      <c r="I41" s="38">
        <f t="shared" si="11"/>
        <v>665</v>
      </c>
      <c r="J41" s="52" t="s">
        <v>168</v>
      </c>
    </row>
    <row r="42" spans="1:10" x14ac:dyDescent="0.3">
      <c r="A42" s="40" t="s">
        <v>107</v>
      </c>
      <c r="B42" s="40" t="s">
        <v>55</v>
      </c>
      <c r="C42" s="39">
        <v>5.5</v>
      </c>
      <c r="D42" s="39">
        <v>12.5</v>
      </c>
      <c r="E42" s="9">
        <f t="shared" si="9"/>
        <v>68.75</v>
      </c>
      <c r="F42" s="9">
        <f t="shared" si="8"/>
        <v>7</v>
      </c>
      <c r="G42" s="39">
        <v>29.5</v>
      </c>
      <c r="H42" s="42" cm="1">
        <f t="array" ref="H42">_xlfn.CEILING.MATH(_xlfn.SWITCH(J42, "A", 13.21, "B", 4.86, "C", 10.56, "D", 10.87, "E", 16.75, "F", 22, "G", 13.2, "H", 19.3, "I", 17.5, "J", 12.8, "K", 17.3, "L", 17, -1))</f>
        <v>18</v>
      </c>
      <c r="I42" s="38">
        <f t="shared" si="11"/>
        <v>749</v>
      </c>
      <c r="J42" s="52" t="s">
        <v>168</v>
      </c>
    </row>
    <row r="43" spans="1:10" x14ac:dyDescent="0.3">
      <c r="A43" s="40" t="s">
        <v>108</v>
      </c>
      <c r="B43" s="40" t="s">
        <v>55</v>
      </c>
      <c r="C43" s="39">
        <v>5.5</v>
      </c>
      <c r="D43" s="39">
        <v>12.5</v>
      </c>
      <c r="E43" s="9">
        <f t="shared" si="9"/>
        <v>68.75</v>
      </c>
      <c r="F43" s="9">
        <f t="shared" si="8"/>
        <v>7</v>
      </c>
      <c r="G43" s="39">
        <v>35.5</v>
      </c>
      <c r="H43" s="42" cm="1">
        <f t="array" ref="H43">_xlfn.CEILING.MATH(_xlfn.SWITCH(J43, "A", 13.21, "B", 4.86, "C", 10.56, "D", 10.87, "E", 16.75, "F", 22, "G", 13.2, "H", 19.3, "I", 17.5, "J", 12.8, "K", 17.3, "L", 17, -1))</f>
        <v>18</v>
      </c>
      <c r="I43" s="38">
        <f t="shared" si="11"/>
        <v>833</v>
      </c>
      <c r="J43" s="52" t="s">
        <v>168</v>
      </c>
    </row>
    <row r="44" spans="1:10" x14ac:dyDescent="0.3">
      <c r="A44" s="40" t="s">
        <v>109</v>
      </c>
      <c r="B44" s="40" t="s">
        <v>55</v>
      </c>
      <c r="C44" s="39">
        <v>5.5</v>
      </c>
      <c r="D44" s="39">
        <v>12.5</v>
      </c>
      <c r="E44" s="9">
        <f t="shared" si="9"/>
        <v>68.75</v>
      </c>
      <c r="F44" s="9">
        <f t="shared" si="8"/>
        <v>7</v>
      </c>
      <c r="G44" s="39">
        <v>41.5</v>
      </c>
      <c r="H44" s="42" cm="1">
        <f t="array" ref="H44">_xlfn.CEILING.MATH(_xlfn.SWITCH(J44, "A", 13.21, "B", 4.86, "C", 10.56, "D", 10.87, "E", 16.75, "F", 22, "G", 13.2, "H", 19.3, "I", 17.5, "J", 12.8, "K", 17.3, "L", 17, -1))</f>
        <v>18</v>
      </c>
      <c r="I44" s="38">
        <f t="shared" si="11"/>
        <v>917</v>
      </c>
      <c r="J44" s="52" t="s">
        <v>168</v>
      </c>
    </row>
    <row r="45" spans="1:10" x14ac:dyDescent="0.3">
      <c r="A45" s="29" t="s">
        <v>64</v>
      </c>
      <c r="B45" s="29"/>
      <c r="C45" s="29"/>
      <c r="D45" s="29"/>
      <c r="E45" s="29"/>
      <c r="F45" s="29">
        <f>SUM(F22:F44)</f>
        <v>134</v>
      </c>
      <c r="G45" s="29"/>
      <c r="H45" s="47"/>
      <c r="I45" s="29">
        <f>SUM(I22:I44)</f>
        <v>12327.039999999999</v>
      </c>
    </row>
    <row r="46" spans="1:10" x14ac:dyDescent="0.3">
      <c r="A46" s="29"/>
      <c r="B46" s="29"/>
      <c r="C46" s="29"/>
      <c r="D46" s="29"/>
      <c r="E46" s="29"/>
      <c r="F46" s="29"/>
      <c r="G46" s="29"/>
      <c r="H46" s="47"/>
      <c r="I46" s="29"/>
    </row>
    <row r="47" spans="1:10" x14ac:dyDescent="0.3">
      <c r="A47" s="40" t="s">
        <v>110</v>
      </c>
      <c r="B47" s="39" t="s">
        <v>56</v>
      </c>
      <c r="C47" s="41">
        <v>6.5</v>
      </c>
      <c r="D47" s="41">
        <v>8.5</v>
      </c>
      <c r="E47" s="9">
        <f>C47*D47</f>
        <v>55.25</v>
      </c>
      <c r="F47" s="9">
        <f>ROUNDUP(E47/10,0)</f>
        <v>6</v>
      </c>
      <c r="G47" s="39">
        <v>9.4</v>
      </c>
      <c r="H47" s="48" cm="1">
        <f t="array" ref="H47">_xlfn.CEILING.MATH(_xlfn.SWITCH(J47, "A", 13.21, "B", 4.86, "C", 10.56, "D", 10.87, "E", 16.75, "F", 22, "G", 13.2, "H", 19.3, "I", 17.5, "J", 12.8, "K", 17.3, "L", 17, -1))</f>
        <v>14</v>
      </c>
      <c r="I47" s="38">
        <f>2*F47*(G47+H47+6)</f>
        <v>352.79999999999995</v>
      </c>
      <c r="J47" s="52" t="s">
        <v>158</v>
      </c>
    </row>
    <row r="48" spans="1:10" x14ac:dyDescent="0.3">
      <c r="A48" s="40" t="s">
        <v>111</v>
      </c>
      <c r="B48" s="39" t="s">
        <v>56</v>
      </c>
      <c r="C48" s="41">
        <v>8.5</v>
      </c>
      <c r="D48" s="41">
        <v>6.5</v>
      </c>
      <c r="E48" s="9">
        <f t="shared" ref="E48" si="12">C48*D48</f>
        <v>55.25</v>
      </c>
      <c r="F48" s="9">
        <f t="shared" ref="F48:F64" si="13">ROUNDUP(E48/10,0)</f>
        <v>6</v>
      </c>
      <c r="G48" s="39">
        <v>16.11</v>
      </c>
      <c r="H48" s="48" cm="1">
        <f t="array" ref="H48">_xlfn.CEILING.MATH(_xlfn.SWITCH(J48, "A", 13.21, "B", 4.86, "C", 10.56, "D", 10.87, "E", 16.75, "F", 22, "G", 13.2, "H", 19.3, "I", 17.5, "J", 12.8, "K", 17.3, "L", 17, -1))</f>
        <v>5</v>
      </c>
      <c r="I48" s="38">
        <f>2*F48*(G48+H48+6)</f>
        <v>325.32</v>
      </c>
      <c r="J48" s="52" t="s">
        <v>159</v>
      </c>
    </row>
    <row r="49" spans="1:10" x14ac:dyDescent="0.3">
      <c r="A49" s="44" t="s">
        <v>112</v>
      </c>
      <c r="B49" s="73" t="s">
        <v>56</v>
      </c>
      <c r="C49" s="74"/>
      <c r="D49" s="74"/>
      <c r="E49" s="74"/>
      <c r="F49" s="74"/>
      <c r="G49" s="74"/>
      <c r="H49" s="74"/>
      <c r="I49" s="74"/>
      <c r="J49" s="75"/>
    </row>
    <row r="50" spans="1:10" x14ac:dyDescent="0.3">
      <c r="A50" s="40" t="s">
        <v>113</v>
      </c>
      <c r="B50" s="39" t="s">
        <v>56</v>
      </c>
      <c r="C50" s="41">
        <v>5.5</v>
      </c>
      <c r="D50" s="41">
        <v>8.5</v>
      </c>
      <c r="E50" s="9">
        <f t="shared" ref="E50:E64" si="14">C50*D50</f>
        <v>46.75</v>
      </c>
      <c r="F50" s="9">
        <f t="shared" si="13"/>
        <v>5</v>
      </c>
      <c r="G50" s="39">
        <v>21.82</v>
      </c>
      <c r="H50" s="48" cm="1">
        <f t="array" ref="H50">_xlfn.CEILING.MATH(_xlfn.SWITCH(J50, "A", 13.21, "B", 4.86, "C", 10.56, "D", 10.87, "E", 16.75, "F", 22, "G", 13.2, "H", 19.3, "I", 17.5, "J", 12.8, "K", 17.3, "L", 17, -1))</f>
        <v>11</v>
      </c>
      <c r="I50" s="38">
        <f>2*F50*(G50+H50+6)</f>
        <v>388.2</v>
      </c>
      <c r="J50" s="52" t="s">
        <v>160</v>
      </c>
    </row>
    <row r="51" spans="1:10" x14ac:dyDescent="0.3">
      <c r="A51" s="40" t="s">
        <v>114</v>
      </c>
      <c r="B51" s="39" t="s">
        <v>56</v>
      </c>
      <c r="C51" s="41">
        <v>5.5</v>
      </c>
      <c r="D51" s="41">
        <v>8.5</v>
      </c>
      <c r="E51" s="9">
        <f t="shared" si="14"/>
        <v>46.75</v>
      </c>
      <c r="F51" s="9">
        <f t="shared" si="13"/>
        <v>5</v>
      </c>
      <c r="G51" s="39">
        <v>27.82</v>
      </c>
      <c r="H51" s="48" cm="1">
        <f t="array" ref="H51">_xlfn.CEILING.MATH(_xlfn.SWITCH(J51, "A", 13.21, "B", 4.86, "C", 10.56, "D", 10.87, "E", 16.75, "F", 22, "G", 13.2, "H", 19.3, "I", 17.5, "J", 12.8, "K", 17.3, "L", 17, -1))</f>
        <v>11</v>
      </c>
      <c r="I51" s="38">
        <f t="shared" ref="I51:I54" si="15">2*F51*(G51+H51+6)</f>
        <v>448.2</v>
      </c>
      <c r="J51" s="52" t="s">
        <v>160</v>
      </c>
    </row>
    <row r="52" spans="1:10" x14ac:dyDescent="0.3">
      <c r="A52" s="40" t="s">
        <v>115</v>
      </c>
      <c r="B52" s="39" t="s">
        <v>56</v>
      </c>
      <c r="C52" s="41">
        <v>5.5</v>
      </c>
      <c r="D52" s="41">
        <v>8.5</v>
      </c>
      <c r="E52" s="9">
        <f t="shared" si="14"/>
        <v>46.75</v>
      </c>
      <c r="F52" s="9">
        <f t="shared" si="13"/>
        <v>5</v>
      </c>
      <c r="G52" s="39">
        <v>33.53</v>
      </c>
      <c r="H52" s="48" cm="1">
        <f t="array" ref="H52">_xlfn.CEILING.MATH(_xlfn.SWITCH(J52, "A", 13.21, "B", 4.86, "C", 10.56, "D", 10.87, "E", 16.75, "F", 22, "G", 13.2, "H", 19.3, "I", 17.5, "J", 12.8, "K", 17.3, "L", 17, -1))</f>
        <v>11</v>
      </c>
      <c r="I52" s="38">
        <f t="shared" si="15"/>
        <v>505.3</v>
      </c>
      <c r="J52" s="52" t="s">
        <v>160</v>
      </c>
    </row>
    <row r="53" spans="1:10" x14ac:dyDescent="0.3">
      <c r="A53" s="40" t="s">
        <v>116</v>
      </c>
      <c r="B53" s="39" t="s">
        <v>56</v>
      </c>
      <c r="C53" s="41">
        <v>5.5</v>
      </c>
      <c r="D53" s="41">
        <v>8.5</v>
      </c>
      <c r="E53" s="9">
        <f t="shared" si="14"/>
        <v>46.75</v>
      </c>
      <c r="F53" s="9">
        <f t="shared" si="13"/>
        <v>5</v>
      </c>
      <c r="G53" s="39">
        <v>39.53</v>
      </c>
      <c r="H53" s="48" cm="1">
        <f t="array" ref="H53">_xlfn.CEILING.MATH(_xlfn.SWITCH(J53, "A", 13.21, "B", 4.86, "C", 10.56, "D", 10.87, "E", 16.75, "F", 22, "G", 13.2, "H", 19.3, "I", 17.5, "J", 12.8, "K", 17.3, "L", 17, -1))</f>
        <v>11</v>
      </c>
      <c r="I53" s="38">
        <f t="shared" si="15"/>
        <v>565.29999999999995</v>
      </c>
      <c r="J53" s="52" t="s">
        <v>160</v>
      </c>
    </row>
    <row r="54" spans="1:10" x14ac:dyDescent="0.3">
      <c r="A54" s="40" t="s">
        <v>117</v>
      </c>
      <c r="B54" s="39" t="s">
        <v>56</v>
      </c>
      <c r="C54" s="41">
        <v>5.5</v>
      </c>
      <c r="D54" s="41">
        <v>8.5</v>
      </c>
      <c r="E54" s="9">
        <f t="shared" si="14"/>
        <v>46.75</v>
      </c>
      <c r="F54" s="9">
        <f t="shared" si="13"/>
        <v>5</v>
      </c>
      <c r="G54" s="39">
        <v>45.24</v>
      </c>
      <c r="H54" s="48" cm="1">
        <f t="array" ref="H54">_xlfn.CEILING.MATH(_xlfn.SWITCH(J54, "A", 13.21, "B", 4.86, "C", 10.56, "D", 10.87, "E", 16.75, "F", 22, "G", 13.2, "H", 19.3, "I", 17.5, "J", 12.8, "K", 17.3, "L", 17, -1))</f>
        <v>11</v>
      </c>
      <c r="I54" s="38">
        <f t="shared" si="15"/>
        <v>622.4</v>
      </c>
      <c r="J54" s="52" t="s">
        <v>160</v>
      </c>
    </row>
    <row r="55" spans="1:10" x14ac:dyDescent="0.3">
      <c r="A55" s="43" t="s">
        <v>118</v>
      </c>
      <c r="B55" s="58" t="s">
        <v>154</v>
      </c>
      <c r="C55" s="59"/>
      <c r="D55" s="59"/>
      <c r="E55" s="59"/>
      <c r="F55" s="59"/>
      <c r="G55" s="59"/>
      <c r="H55" s="59"/>
      <c r="I55" s="59"/>
      <c r="J55" s="60"/>
    </row>
    <row r="56" spans="1:10" x14ac:dyDescent="0.3">
      <c r="A56" s="43" t="s">
        <v>119</v>
      </c>
      <c r="B56" s="61"/>
      <c r="C56" s="62"/>
      <c r="D56" s="62"/>
      <c r="E56" s="62"/>
      <c r="F56" s="62"/>
      <c r="G56" s="62"/>
      <c r="H56" s="62"/>
      <c r="I56" s="62"/>
      <c r="J56" s="63"/>
    </row>
    <row r="57" spans="1:10" x14ac:dyDescent="0.3">
      <c r="A57" s="40" t="s">
        <v>120</v>
      </c>
      <c r="B57" s="39" t="s">
        <v>56</v>
      </c>
      <c r="C57" s="41">
        <v>8.5</v>
      </c>
      <c r="D57" s="41">
        <v>11.5</v>
      </c>
      <c r="E57" s="9">
        <f t="shared" si="14"/>
        <v>97.75</v>
      </c>
      <c r="F57" s="9">
        <f t="shared" si="13"/>
        <v>10</v>
      </c>
      <c r="G57" s="39">
        <v>0.5</v>
      </c>
      <c r="H57" s="48" cm="1">
        <f t="array" ref="H57">_xlfn.CEILING.MATH(_xlfn.SWITCH(J57, "A", 13.21, "B", 4.86, "C", 10.56, "D", 10.87, "E", 16.75, "F", 22, "G", 13.2, "H", 19.3, "I", 17.5, "J", 12.8, "K", 17.3, "L", 17, -1))</f>
        <v>11</v>
      </c>
      <c r="I57" s="38">
        <f>2*F57*(G57+H57+6)</f>
        <v>350</v>
      </c>
      <c r="J57" s="52" t="s">
        <v>161</v>
      </c>
    </row>
    <row r="58" spans="1:10" x14ac:dyDescent="0.3">
      <c r="A58" s="40" t="s">
        <v>121</v>
      </c>
      <c r="B58" s="39" t="s">
        <v>56</v>
      </c>
      <c r="C58" s="41">
        <v>20</v>
      </c>
      <c r="D58" s="41">
        <v>16.5</v>
      </c>
      <c r="E58" s="9">
        <f t="shared" si="14"/>
        <v>330</v>
      </c>
      <c r="F58" s="9">
        <f t="shared" si="13"/>
        <v>33</v>
      </c>
      <c r="G58" s="39">
        <v>5</v>
      </c>
      <c r="H58" s="48" cm="1">
        <f t="array" ref="H58">_xlfn.CEILING.MATH(_xlfn.SWITCH(J58, "A", 13.21, "B", 4.86, "C", 10.56, "D", 10.87, "E", 16.75, "F", 22, "G", 13.2, "H", 19.3, "I", 17.5, "J", 12.8, "K", 17.3, "L", 17, -1))</f>
        <v>22</v>
      </c>
      <c r="I58" s="38">
        <f t="shared" ref="I58:I64" si="16">2*F58*(G58+H58+6)</f>
        <v>2178</v>
      </c>
      <c r="J58" s="52" t="s">
        <v>162</v>
      </c>
    </row>
    <row r="59" spans="1:10" x14ac:dyDescent="0.3">
      <c r="A59" s="40" t="s">
        <v>122</v>
      </c>
      <c r="B59" s="39" t="s">
        <v>56</v>
      </c>
      <c r="C59" s="41">
        <v>6.5</v>
      </c>
      <c r="D59" s="41">
        <v>11.5</v>
      </c>
      <c r="E59" s="9">
        <f t="shared" si="14"/>
        <v>74.75</v>
      </c>
      <c r="F59" s="9">
        <f t="shared" si="13"/>
        <v>8</v>
      </c>
      <c r="G59" s="39">
        <v>84.64</v>
      </c>
      <c r="H59" s="48" cm="1">
        <f t="array" ref="H59">_xlfn.CEILING.MATH(_xlfn.SWITCH(J59, "A", 13.21, "B", 4.86, "C", 10.56, "D", 10.87, "E", 16.75, "F", 22, "G", 13.2, "H", 19.3, "I", 17.5, "J", 12.8, "K", 17.3, "L", 17, -1))</f>
        <v>17</v>
      </c>
      <c r="I59" s="38">
        <f t="shared" si="16"/>
        <v>1722.24</v>
      </c>
      <c r="J59" s="52" t="s">
        <v>163</v>
      </c>
    </row>
    <row r="60" spans="1:10" x14ac:dyDescent="0.3">
      <c r="A60" s="40" t="s">
        <v>123</v>
      </c>
      <c r="B60" s="39" t="s">
        <v>56</v>
      </c>
      <c r="C60" s="41">
        <v>6.5</v>
      </c>
      <c r="D60" s="41">
        <v>11.5</v>
      </c>
      <c r="E60" s="9">
        <f t="shared" si="14"/>
        <v>74.75</v>
      </c>
      <c r="F60" s="9">
        <f t="shared" si="13"/>
        <v>8</v>
      </c>
      <c r="G60" s="39">
        <v>91.78</v>
      </c>
      <c r="H60" s="48" cm="1">
        <f t="array" ref="H60">_xlfn.CEILING.MATH(_xlfn.SWITCH(J60, "A", 13.21, "B", 4.86, "C", 10.56, "D", 10.87, "E", 16.75, "F", 22, "G", 13.2, "H", 19.3, "I", 17.5, "J", 12.8, "K", 17.3, "L", 17, -1))</f>
        <v>17</v>
      </c>
      <c r="I60" s="38">
        <f t="shared" si="16"/>
        <v>1836.48</v>
      </c>
      <c r="J60" s="52" t="s">
        <v>163</v>
      </c>
    </row>
    <row r="61" spans="1:10" x14ac:dyDescent="0.3">
      <c r="A61" s="40" t="s">
        <v>124</v>
      </c>
      <c r="B61" s="39" t="s">
        <v>56</v>
      </c>
      <c r="C61" s="41">
        <v>6.5</v>
      </c>
      <c r="D61" s="41">
        <v>11.5</v>
      </c>
      <c r="E61" s="9">
        <f t="shared" si="14"/>
        <v>74.75</v>
      </c>
      <c r="F61" s="9">
        <f t="shared" si="13"/>
        <v>8</v>
      </c>
      <c r="G61" s="39">
        <v>98.78</v>
      </c>
      <c r="H61" s="48" cm="1">
        <f t="array" ref="H61">_xlfn.CEILING.MATH(_xlfn.SWITCH(J61, "A", 13.21, "B", 4.86, "C", 10.56, "D", 10.87, "E", 16.75, "F", 22, "G", 13.2, "H", 19.3, "I", 17.5, "J", 12.8, "K", 17.3, "L", 17, -1))</f>
        <v>17</v>
      </c>
      <c r="I61" s="38">
        <f t="shared" si="16"/>
        <v>1948.48</v>
      </c>
      <c r="J61" s="52" t="s">
        <v>163</v>
      </c>
    </row>
    <row r="62" spans="1:10" x14ac:dyDescent="0.3">
      <c r="A62" s="40" t="s">
        <v>125</v>
      </c>
      <c r="B62" s="39" t="s">
        <v>56</v>
      </c>
      <c r="C62" s="41">
        <v>6.5</v>
      </c>
      <c r="D62" s="41">
        <v>11.5</v>
      </c>
      <c r="E62" s="9">
        <f t="shared" si="14"/>
        <v>74.75</v>
      </c>
      <c r="F62" s="9">
        <f t="shared" si="13"/>
        <v>8</v>
      </c>
      <c r="G62" s="39">
        <v>105.92</v>
      </c>
      <c r="H62" s="48" cm="1">
        <f t="array" ref="H62">_xlfn.CEILING.MATH(_xlfn.SWITCH(J62, "A", 13.21, "B", 4.86, "C", 10.56, "D", 10.87, "E", 16.75, "F", 22, "G", 13.2, "H", 19.3, "I", 17.5, "J", 12.8, "K", 17.3, "L", 17, -1))</f>
        <v>17</v>
      </c>
      <c r="I62" s="38">
        <f t="shared" si="16"/>
        <v>2062.7200000000003</v>
      </c>
      <c r="J62" s="52" t="s">
        <v>163</v>
      </c>
    </row>
    <row r="63" spans="1:10" x14ac:dyDescent="0.3">
      <c r="A63" s="40" t="s">
        <v>126</v>
      </c>
      <c r="B63" s="39" t="s">
        <v>56</v>
      </c>
      <c r="C63" s="41">
        <v>6.5</v>
      </c>
      <c r="D63" s="41">
        <v>11.5</v>
      </c>
      <c r="E63" s="9">
        <f t="shared" si="14"/>
        <v>74.75</v>
      </c>
      <c r="F63" s="9">
        <f t="shared" si="13"/>
        <v>8</v>
      </c>
      <c r="G63" s="39">
        <v>112.92</v>
      </c>
      <c r="H63" s="48" cm="1">
        <f t="array" ref="H63">_xlfn.CEILING.MATH(_xlfn.SWITCH(J63, "A", 13.21, "B", 4.86, "C", 10.56, "D", 10.87, "E", 16.75, "F", 22, "G", 13.2, "H", 19.3, "I", 17.5, "J", 12.8, "K", 17.3, "L", 17, -1))</f>
        <v>17</v>
      </c>
      <c r="I63" s="38">
        <f t="shared" si="16"/>
        <v>2174.7200000000003</v>
      </c>
      <c r="J63" s="52" t="s">
        <v>163</v>
      </c>
    </row>
    <row r="64" spans="1:10" x14ac:dyDescent="0.3">
      <c r="A64" s="40" t="s">
        <v>127</v>
      </c>
      <c r="B64" s="39" t="s">
        <v>56</v>
      </c>
      <c r="C64" s="41">
        <v>10</v>
      </c>
      <c r="D64" s="41">
        <v>20</v>
      </c>
      <c r="E64" s="9">
        <f t="shared" si="14"/>
        <v>200</v>
      </c>
      <c r="F64" s="9">
        <f t="shared" si="13"/>
        <v>20</v>
      </c>
      <c r="G64" s="39">
        <v>17.5</v>
      </c>
      <c r="H64" s="48" cm="1">
        <f t="array" ref="H64">_xlfn.CEILING.MATH(_xlfn.SWITCH(J64, "A", 13.21, "B", 4.86, "C", 10.56, "D", 10.87, "E", 16.75, "F", 22, "G", 13.2, "H", 19.3, "I", 17.5, "J", 12.8, "K", 17.3, "L", 17, -1))</f>
        <v>14</v>
      </c>
      <c r="I64" s="38">
        <f t="shared" si="16"/>
        <v>1500</v>
      </c>
      <c r="J64" s="52" t="s">
        <v>164</v>
      </c>
    </row>
    <row r="65" spans="1:10" x14ac:dyDescent="0.3">
      <c r="A65" s="29" t="s">
        <v>65</v>
      </c>
      <c r="B65" s="29"/>
      <c r="C65" s="29"/>
      <c r="D65" s="29"/>
      <c r="E65" s="29"/>
      <c r="F65" s="29">
        <f>SUM(F47:F64)</f>
        <v>140</v>
      </c>
      <c r="G65" s="29"/>
      <c r="H65" s="47"/>
      <c r="I65" s="29">
        <f>SUM(I47:I64)</f>
        <v>16980.16</v>
      </c>
    </row>
    <row r="66" spans="1:10" x14ac:dyDescent="0.3">
      <c r="A66" s="29"/>
      <c r="B66" s="29"/>
      <c r="C66" s="29"/>
      <c r="D66" s="29"/>
      <c r="E66" s="29"/>
      <c r="F66" s="29"/>
      <c r="G66" s="29"/>
      <c r="H66" s="47"/>
      <c r="I66" s="29"/>
    </row>
    <row r="67" spans="1:10" x14ac:dyDescent="0.3">
      <c r="A67" s="40" t="s">
        <v>147</v>
      </c>
      <c r="B67" s="40" t="s">
        <v>57</v>
      </c>
      <c r="C67" s="41">
        <v>6.5</v>
      </c>
      <c r="D67" s="41">
        <v>11.5</v>
      </c>
      <c r="E67" s="9">
        <f t="shared" ref="E67" si="17">C67*D67</f>
        <v>74.75</v>
      </c>
      <c r="F67" s="9">
        <f t="shared" ref="F67" si="18">ROUNDUP(E67/10,0)</f>
        <v>8</v>
      </c>
      <c r="G67" s="39">
        <v>32</v>
      </c>
      <c r="H67" s="48" cm="1">
        <f t="array" ref="H67">_xlfn.CEILING.MATH(_xlfn.SWITCH(J67, "A", 13.21, "B", 4.86, "C", 10.56, "D", 10.87, "E", 16.75, "F", 22, "G", 13.2, "H", 19.3, "I", 17.5, "J", 12.8, "K", 17.3, "L", 17, -1))</f>
        <v>17</v>
      </c>
      <c r="I67" s="38">
        <f>2*F67*(G67+H67+6)</f>
        <v>880</v>
      </c>
      <c r="J67" s="52" t="s">
        <v>163</v>
      </c>
    </row>
    <row r="68" spans="1:10" x14ac:dyDescent="0.3">
      <c r="A68" s="40" t="s">
        <v>148</v>
      </c>
      <c r="B68" s="40" t="s">
        <v>57</v>
      </c>
      <c r="C68" s="41">
        <v>6.5</v>
      </c>
      <c r="D68" s="41">
        <v>11.5</v>
      </c>
      <c r="E68" s="9">
        <f>C68*D68</f>
        <v>74.75</v>
      </c>
      <c r="F68" s="9">
        <f>ROUNDUP(E68/10,0)</f>
        <v>8</v>
      </c>
      <c r="G68" s="39">
        <v>27</v>
      </c>
      <c r="H68" s="48" cm="1">
        <f t="array" ref="H68">_xlfn.CEILING.MATH(_xlfn.SWITCH(J68, "A", 13.21, "B", 4.86, "C", 10.56, "D", 10.87, "E", 16.75, "F", 22, "G", 13.2, "H", 19.3, "I", 17.5, "J", 12.8, "K", 17.3, "L", 17, -1))</f>
        <v>17</v>
      </c>
      <c r="I68" s="38">
        <f>2*F68*(G68+H68+6)</f>
        <v>800</v>
      </c>
      <c r="J68" s="52" t="s">
        <v>163</v>
      </c>
    </row>
    <row r="69" spans="1:10" x14ac:dyDescent="0.3">
      <c r="A69" s="43" t="s">
        <v>149</v>
      </c>
      <c r="B69" s="58" t="s">
        <v>154</v>
      </c>
      <c r="C69" s="59"/>
      <c r="D69" s="59"/>
      <c r="E69" s="59"/>
      <c r="F69" s="59"/>
      <c r="G69" s="59"/>
      <c r="H69" s="59"/>
      <c r="I69" s="59"/>
      <c r="J69" s="60"/>
    </row>
    <row r="70" spans="1:10" x14ac:dyDescent="0.3">
      <c r="A70" s="43" t="s">
        <v>146</v>
      </c>
      <c r="B70" s="61"/>
      <c r="C70" s="62"/>
      <c r="D70" s="62"/>
      <c r="E70" s="62"/>
      <c r="F70" s="62"/>
      <c r="G70" s="62"/>
      <c r="H70" s="62"/>
      <c r="I70" s="62"/>
      <c r="J70" s="63"/>
    </row>
    <row r="71" spans="1:10" x14ac:dyDescent="0.3">
      <c r="A71" s="40" t="s">
        <v>128</v>
      </c>
      <c r="B71" s="40" t="s">
        <v>57</v>
      </c>
      <c r="C71" s="41">
        <v>10</v>
      </c>
      <c r="D71" s="41">
        <v>20</v>
      </c>
      <c r="E71" s="9">
        <f>C71*D71</f>
        <v>200</v>
      </c>
      <c r="F71" s="9">
        <f>ROUNDUP(E71/10,0)</f>
        <v>20</v>
      </c>
      <c r="G71" s="39">
        <v>0.5</v>
      </c>
      <c r="H71" s="48" cm="1">
        <f t="array" ref="H71">_xlfn.CEILING.MATH(_xlfn.SWITCH(J71, "A", 13.21, "B", 4.86, "C", 10.56, "D", 10.87, "E", 16.75, "F", 22, "G", 13.2, "H", 19.3, "I", 17.5, "J", 12.8, "K", 17.3, "L", 17, -1))</f>
        <v>14</v>
      </c>
      <c r="I71" s="38">
        <f>2*F71*(G71+H71+6)</f>
        <v>820</v>
      </c>
      <c r="J71" s="52" t="s">
        <v>164</v>
      </c>
    </row>
    <row r="72" spans="1:10" x14ac:dyDescent="0.3">
      <c r="A72" s="40" t="s">
        <v>129</v>
      </c>
      <c r="B72" s="40" t="s">
        <v>57</v>
      </c>
      <c r="C72" s="39">
        <v>5</v>
      </c>
      <c r="D72" s="39">
        <v>14</v>
      </c>
      <c r="E72" s="9">
        <f t="shared" ref="E72:E73" si="19">C72*D72</f>
        <v>70</v>
      </c>
      <c r="F72" s="9">
        <f t="shared" ref="F72:F88" si="20">ROUNDUP(E72/10,0)</f>
        <v>7</v>
      </c>
      <c r="G72" s="39">
        <v>56.07</v>
      </c>
      <c r="H72" s="48" cm="1">
        <f t="array" ref="H72">_xlfn.CEILING.MATH(_xlfn.SWITCH(J72, "A", 13.21, "B", 4.86, "C", 10.56, "D", 10.87, "E", 16.75, "F", 22, "G", 13.2, "H", 19.3, "I", 17.5, "J", 12.8, "K", 17.3, "L", 17, -1))</f>
        <v>17</v>
      </c>
      <c r="I72" s="38">
        <f t="shared" ref="I72:I74" si="21">2*F72*(G72+H72+6)</f>
        <v>1106.98</v>
      </c>
      <c r="J72" s="52" t="s">
        <v>169</v>
      </c>
    </row>
    <row r="73" spans="1:10" x14ac:dyDescent="0.3">
      <c r="A73" s="40" t="s">
        <v>130</v>
      </c>
      <c r="B73" s="40" t="s">
        <v>57</v>
      </c>
      <c r="C73" s="39">
        <v>9</v>
      </c>
      <c r="D73" s="39">
        <v>6.5</v>
      </c>
      <c r="E73" s="9">
        <f t="shared" si="19"/>
        <v>58.5</v>
      </c>
      <c r="F73" s="9">
        <f t="shared" si="20"/>
        <v>6</v>
      </c>
      <c r="G73" s="39">
        <v>12.54</v>
      </c>
      <c r="H73" s="48" cm="1">
        <f t="array" ref="H73">_xlfn.CEILING.MATH(_xlfn.SWITCH(J73, "A", 13.21, "B", 4.86, "C", 10.56, "D", 10.87, "E", 16.75, "F", 22, "G", 13.2, "H", 19.3, "I", 17.5, "J", 12.8, "K", 17.3, "L", 17, -1))</f>
        <v>18</v>
      </c>
      <c r="I73" s="38">
        <f t="shared" si="21"/>
        <v>438.48</v>
      </c>
      <c r="J73" s="52" t="s">
        <v>166</v>
      </c>
    </row>
    <row r="74" spans="1:10" x14ac:dyDescent="0.3">
      <c r="A74" s="40" t="s">
        <v>131</v>
      </c>
      <c r="B74" s="40" t="s">
        <v>57</v>
      </c>
      <c r="C74" s="39">
        <v>6.5</v>
      </c>
      <c r="D74" s="39">
        <v>9</v>
      </c>
      <c r="E74" s="9">
        <f t="shared" ref="E74:E80" si="22">C74*D74</f>
        <v>58.5</v>
      </c>
      <c r="F74" s="9">
        <f t="shared" si="20"/>
        <v>6</v>
      </c>
      <c r="G74" s="39">
        <v>21.88</v>
      </c>
      <c r="H74" s="48" cm="1">
        <f t="array" ref="H74">_xlfn.CEILING.MATH(_xlfn.SWITCH(J74, "A", 13.21, "B", 4.86, "C", 10.56, "D", 10.87, "E", 16.75, "F", 22, "G", 13.2, "H", 19.3, "I", 17.5, "J", 12.8, "K", 17.3, "L", 17, -1))</f>
        <v>18</v>
      </c>
      <c r="I74" s="38">
        <f t="shared" si="21"/>
        <v>550.55999999999995</v>
      </c>
      <c r="J74" s="52" t="s">
        <v>166</v>
      </c>
    </row>
    <row r="75" spans="1:10" x14ac:dyDescent="0.3">
      <c r="A75" s="44" t="s">
        <v>132</v>
      </c>
      <c r="B75" s="70" t="s">
        <v>57</v>
      </c>
      <c r="C75" s="71"/>
      <c r="D75" s="71"/>
      <c r="E75" s="71"/>
      <c r="F75" s="71"/>
      <c r="G75" s="71"/>
      <c r="H75" s="71"/>
      <c r="I75" s="71"/>
      <c r="J75" s="72"/>
    </row>
    <row r="76" spans="1:10" x14ac:dyDescent="0.3">
      <c r="A76" s="40" t="s">
        <v>133</v>
      </c>
      <c r="B76" s="40" t="s">
        <v>57</v>
      </c>
      <c r="C76" s="39">
        <v>4</v>
      </c>
      <c r="D76" s="39">
        <v>4</v>
      </c>
      <c r="E76" s="9">
        <f t="shared" si="22"/>
        <v>16</v>
      </c>
      <c r="F76" s="9">
        <f t="shared" si="20"/>
        <v>2</v>
      </c>
      <c r="G76" s="39">
        <v>11.5</v>
      </c>
      <c r="H76" s="48" cm="1">
        <f t="array" ref="H76">_xlfn.CEILING.MATH(_xlfn.SWITCH(J76, "A", 13.21, "B", 4.86, "C", 10.56, "D", 10.87, "E", 16.75, "F", 22, "G", 13.2, "H", 19.3, "I", 17.5, "J", 12.8, "K", 17.3, "L", 17, -1))</f>
        <v>13</v>
      </c>
      <c r="I76" s="38">
        <f>2*F76*(G76+H76+6)</f>
        <v>122</v>
      </c>
      <c r="J76" s="52" t="s">
        <v>167</v>
      </c>
    </row>
    <row r="77" spans="1:10" x14ac:dyDescent="0.3">
      <c r="A77" s="40" t="s">
        <v>134</v>
      </c>
      <c r="B77" s="40" t="s">
        <v>57</v>
      </c>
      <c r="C77" s="39">
        <v>4.5</v>
      </c>
      <c r="D77" s="39">
        <v>9.5</v>
      </c>
      <c r="E77" s="9">
        <f t="shared" si="22"/>
        <v>42.75</v>
      </c>
      <c r="F77" s="9">
        <f t="shared" si="20"/>
        <v>5</v>
      </c>
      <c r="G77" s="39">
        <v>17</v>
      </c>
      <c r="H77" s="48" cm="1">
        <f t="array" ref="H77">_xlfn.CEILING.MATH(_xlfn.SWITCH(J77, "A", 13.21, "B", 4.86, "C", 10.56, "D", 10.87, "E", 16.75, "F", 22, "G", 13.2, "H", 19.3, "I", 17.5, "J", 12.8, "K", 17.3, "L", 17, -1))</f>
        <v>13</v>
      </c>
      <c r="I77" s="38">
        <f t="shared" ref="I77:I80" si="23">2*F77*(G77+H77+6)</f>
        <v>360</v>
      </c>
      <c r="J77" s="52" t="s">
        <v>167</v>
      </c>
    </row>
    <row r="78" spans="1:10" x14ac:dyDescent="0.3">
      <c r="A78" s="40" t="s">
        <v>135</v>
      </c>
      <c r="B78" s="40" t="s">
        <v>57</v>
      </c>
      <c r="C78" s="39">
        <v>4.5</v>
      </c>
      <c r="D78" s="39">
        <v>9.5</v>
      </c>
      <c r="E78" s="9">
        <f t="shared" si="22"/>
        <v>42.75</v>
      </c>
      <c r="F78" s="9">
        <f t="shared" si="20"/>
        <v>5</v>
      </c>
      <c r="G78" s="39">
        <v>22.5</v>
      </c>
      <c r="H78" s="48" cm="1">
        <f t="array" ref="H78">_xlfn.CEILING.MATH(_xlfn.SWITCH(J78, "A", 13.21, "B", 4.86, "C", 10.56, "D", 10.87, "E", 16.75, "F", 22, "G", 13.2, "H", 19.3, "I", 17.5, "J", 12.8, "K", 17.3, "L", 17, -1))</f>
        <v>13</v>
      </c>
      <c r="I78" s="38">
        <f t="shared" si="23"/>
        <v>415</v>
      </c>
      <c r="J78" s="52" t="s">
        <v>167</v>
      </c>
    </row>
    <row r="79" spans="1:10" x14ac:dyDescent="0.3">
      <c r="A79" s="40" t="s">
        <v>136</v>
      </c>
      <c r="B79" s="40" t="s">
        <v>57</v>
      </c>
      <c r="C79" s="39">
        <v>4.5</v>
      </c>
      <c r="D79" s="39">
        <v>9.5</v>
      </c>
      <c r="E79" s="9">
        <f t="shared" si="22"/>
        <v>42.75</v>
      </c>
      <c r="F79" s="9">
        <f t="shared" si="20"/>
        <v>5</v>
      </c>
      <c r="G79" s="39">
        <v>28</v>
      </c>
      <c r="H79" s="48" cm="1">
        <f t="array" ref="H79">_xlfn.CEILING.MATH(_xlfn.SWITCH(J79, "A", 13.21, "B", 4.86, "C", 10.56, "D", 10.87, "E", 16.75, "F", 22, "G", 13.2, "H", 19.3, "I", 17.5, "J", 12.8, "K", 17.3, "L", 17, -1))</f>
        <v>13</v>
      </c>
      <c r="I79" s="38">
        <f t="shared" si="23"/>
        <v>470</v>
      </c>
      <c r="J79" s="52" t="s">
        <v>167</v>
      </c>
    </row>
    <row r="80" spans="1:10" x14ac:dyDescent="0.3">
      <c r="A80" s="40" t="s">
        <v>137</v>
      </c>
      <c r="B80" s="40" t="s">
        <v>57</v>
      </c>
      <c r="C80" s="39">
        <v>4.5</v>
      </c>
      <c r="D80" s="39">
        <v>9.5</v>
      </c>
      <c r="E80" s="9">
        <f t="shared" si="22"/>
        <v>42.75</v>
      </c>
      <c r="F80" s="9">
        <f t="shared" si="20"/>
        <v>5</v>
      </c>
      <c r="G80" s="39">
        <v>33.5</v>
      </c>
      <c r="H80" s="48" cm="1">
        <f t="array" ref="H80">_xlfn.CEILING.MATH(_xlfn.SWITCH(J80, "A", 13.21, "B", 4.86, "C", 10.56, "D", 10.87, "E", 16.75, "F", 22, "G", 13.2, "H", 19.3, "I", 17.5, "J", 12.8, "K", 17.3, "L", 17, -1))</f>
        <v>13</v>
      </c>
      <c r="I80" s="38">
        <f t="shared" si="23"/>
        <v>525</v>
      </c>
      <c r="J80" s="52" t="s">
        <v>167</v>
      </c>
    </row>
    <row r="81" spans="1:10" x14ac:dyDescent="0.3">
      <c r="A81" s="43" t="s">
        <v>138</v>
      </c>
      <c r="B81" s="64" t="s">
        <v>154</v>
      </c>
      <c r="C81" s="65"/>
      <c r="D81" s="65"/>
      <c r="E81" s="65"/>
      <c r="F81" s="65"/>
      <c r="G81" s="65"/>
      <c r="H81" s="65"/>
      <c r="I81" s="65"/>
      <c r="J81" s="66"/>
    </row>
    <row r="82" spans="1:10" x14ac:dyDescent="0.3">
      <c r="A82" s="43" t="s">
        <v>139</v>
      </c>
      <c r="B82" s="67"/>
      <c r="C82" s="68"/>
      <c r="D82" s="68"/>
      <c r="E82" s="68"/>
      <c r="F82" s="68"/>
      <c r="G82" s="68"/>
      <c r="H82" s="68"/>
      <c r="I82" s="68"/>
      <c r="J82" s="69"/>
    </row>
    <row r="83" spans="1:10" x14ac:dyDescent="0.3">
      <c r="A83" s="40" t="s">
        <v>140</v>
      </c>
      <c r="B83" s="40" t="s">
        <v>57</v>
      </c>
      <c r="C83" s="39">
        <v>6.5</v>
      </c>
      <c r="D83" s="39">
        <v>12.5</v>
      </c>
      <c r="E83" s="9">
        <f t="shared" ref="E83:E88" si="24">C83*D83</f>
        <v>81.25</v>
      </c>
      <c r="F83" s="9">
        <f t="shared" si="20"/>
        <v>9</v>
      </c>
      <c r="G83" s="39">
        <v>10.5</v>
      </c>
      <c r="H83" s="48" cm="1">
        <f t="array" ref="H83">_xlfn.CEILING.MATH(_xlfn.SWITCH(J83, "A", 13.21, "B", 4.86, "C", 10.56, "D", 10.87, "E", 16.75, "F", 22, "G", 13.2, "H", 19.3, "I", 17.5, "J", 12.8, "K", 17.3, "L", 17, -1))</f>
        <v>18</v>
      </c>
      <c r="I83" s="38">
        <f>2*F83*(G83+H83+6)</f>
        <v>621</v>
      </c>
      <c r="J83" s="52" t="s">
        <v>168</v>
      </c>
    </row>
    <row r="84" spans="1:10" x14ac:dyDescent="0.3">
      <c r="A84" s="40" t="s">
        <v>141</v>
      </c>
      <c r="B84" s="40" t="s">
        <v>57</v>
      </c>
      <c r="C84" s="39">
        <v>6.5</v>
      </c>
      <c r="D84" s="39">
        <v>12.5</v>
      </c>
      <c r="E84" s="9">
        <f t="shared" si="24"/>
        <v>81.25</v>
      </c>
      <c r="F84" s="9">
        <f t="shared" si="20"/>
        <v>9</v>
      </c>
      <c r="G84" s="39">
        <v>17.5</v>
      </c>
      <c r="H84" s="48" cm="1">
        <f t="array" ref="H84">_xlfn.CEILING.MATH(_xlfn.SWITCH(J84, "A", 13.21, "B", 4.86, "C", 10.56, "D", 10.87, "E", 16.75, "F", 22, "G", 13.2, "H", 19.3, "I", 17.5, "J", 12.8, "K", 17.3, "L", 17, -1))</f>
        <v>18</v>
      </c>
      <c r="I84" s="38">
        <f t="shared" ref="I84:I88" si="25">2*F84*(G84+H84+6)</f>
        <v>747</v>
      </c>
      <c r="J84" s="52" t="s">
        <v>168</v>
      </c>
    </row>
    <row r="85" spans="1:10" x14ac:dyDescent="0.3">
      <c r="A85" s="40" t="s">
        <v>142</v>
      </c>
      <c r="B85" s="40" t="s">
        <v>57</v>
      </c>
      <c r="C85" s="39">
        <v>5.5</v>
      </c>
      <c r="D85" s="39">
        <v>12.5</v>
      </c>
      <c r="E85" s="9">
        <f t="shared" si="24"/>
        <v>68.75</v>
      </c>
      <c r="F85" s="9">
        <f t="shared" si="20"/>
        <v>7</v>
      </c>
      <c r="G85" s="39">
        <v>23.5</v>
      </c>
      <c r="H85" s="48" cm="1">
        <f t="array" ref="H85">_xlfn.CEILING.MATH(_xlfn.SWITCH(J85, "A", 13.21, "B", 4.86, "C", 10.56, "D", 10.87, "E", 16.75, "F", 22, "G", 13.2, "H", 19.3, "I", 17.5, "J", 12.8, "K", 17.3, "L", 17, -1))</f>
        <v>18</v>
      </c>
      <c r="I85" s="38">
        <f t="shared" si="25"/>
        <v>665</v>
      </c>
      <c r="J85" s="52" t="s">
        <v>168</v>
      </c>
    </row>
    <row r="86" spans="1:10" x14ac:dyDescent="0.3">
      <c r="A86" s="40" t="s">
        <v>143</v>
      </c>
      <c r="B86" s="40" t="s">
        <v>57</v>
      </c>
      <c r="C86" s="39">
        <v>5.5</v>
      </c>
      <c r="D86" s="39">
        <v>12.5</v>
      </c>
      <c r="E86" s="9">
        <f t="shared" si="24"/>
        <v>68.75</v>
      </c>
      <c r="F86" s="9">
        <f t="shared" si="20"/>
        <v>7</v>
      </c>
      <c r="G86" s="39">
        <v>29.5</v>
      </c>
      <c r="H86" s="48" cm="1">
        <f t="array" ref="H86">_xlfn.CEILING.MATH(_xlfn.SWITCH(J86, "A", 13.21, "B", 4.86, "C", 10.56, "D", 10.87, "E", 16.75, "F", 22, "G", 13.2, "H", 19.3, "I", 17.5, "J", 12.8, "K", 17.3, "L", 17, -1))</f>
        <v>18</v>
      </c>
      <c r="I86" s="38">
        <f t="shared" si="25"/>
        <v>749</v>
      </c>
      <c r="J86" s="52" t="s">
        <v>168</v>
      </c>
    </row>
    <row r="87" spans="1:10" x14ac:dyDescent="0.3">
      <c r="A87" s="40" t="s">
        <v>144</v>
      </c>
      <c r="B87" s="40" t="s">
        <v>57</v>
      </c>
      <c r="C87" s="39">
        <v>5.5</v>
      </c>
      <c r="D87" s="39">
        <v>12.5</v>
      </c>
      <c r="E87" s="9">
        <f t="shared" si="24"/>
        <v>68.75</v>
      </c>
      <c r="F87" s="9">
        <f t="shared" si="20"/>
        <v>7</v>
      </c>
      <c r="G87" s="39">
        <v>35.5</v>
      </c>
      <c r="H87" s="48" cm="1">
        <f t="array" ref="H87">_xlfn.CEILING.MATH(_xlfn.SWITCH(J87, "A", 13.21, "B", 4.86, "C", 10.56, "D", 10.87, "E", 16.75, "F", 22, "G", 13.2, "H", 19.3, "I", 17.5, "J", 12.8, "K", 17.3, "L", 17, -1))</f>
        <v>18</v>
      </c>
      <c r="I87" s="38">
        <f t="shared" si="25"/>
        <v>833</v>
      </c>
      <c r="J87" s="52" t="s">
        <v>168</v>
      </c>
    </row>
    <row r="88" spans="1:10" x14ac:dyDescent="0.3">
      <c r="A88" s="40" t="s">
        <v>145</v>
      </c>
      <c r="B88" s="40" t="s">
        <v>57</v>
      </c>
      <c r="C88" s="39">
        <v>5.5</v>
      </c>
      <c r="D88" s="39">
        <v>12.5</v>
      </c>
      <c r="E88" s="9">
        <f t="shared" si="24"/>
        <v>68.75</v>
      </c>
      <c r="F88" s="9">
        <f t="shared" si="20"/>
        <v>7</v>
      </c>
      <c r="G88" s="39">
        <v>41.5</v>
      </c>
      <c r="H88" s="48" cm="1">
        <f t="array" ref="H88">_xlfn.CEILING.MATH(_xlfn.SWITCH(J88, "A", 13.21, "B", 4.86, "C", 10.56, "D", 10.87, "E", 16.75, "F", 22, "G", 13.2, "H", 19.3, "I", 17.5, "J", 12.8, "K", 17.3, "L", 17, -1))</f>
        <v>18</v>
      </c>
      <c r="I88" s="38">
        <f t="shared" si="25"/>
        <v>917</v>
      </c>
      <c r="J88" s="52" t="s">
        <v>168</v>
      </c>
    </row>
    <row r="89" spans="1:10" x14ac:dyDescent="0.3">
      <c r="A89" s="29" t="s">
        <v>66</v>
      </c>
      <c r="B89" s="29"/>
      <c r="C89" s="29"/>
      <c r="D89" s="29"/>
      <c r="E89" s="29"/>
      <c r="F89" s="29">
        <f>SUM(F67:F88)</f>
        <v>123</v>
      </c>
      <c r="G89" s="29"/>
      <c r="H89" s="47"/>
      <c r="I89" s="29">
        <f>SUM(I67:I88)</f>
        <v>11020.02</v>
      </c>
    </row>
    <row r="91" spans="1:10" ht="15.6" x14ac:dyDescent="0.3">
      <c r="A91" s="37" t="s">
        <v>67</v>
      </c>
      <c r="B91" s="37"/>
      <c r="C91" s="37"/>
      <c r="D91" s="37"/>
      <c r="E91" s="37"/>
      <c r="F91" s="37">
        <f>F89+F65+F45+F20</f>
        <v>537</v>
      </c>
      <c r="G91" s="37"/>
      <c r="H91" s="49"/>
      <c r="I91" s="37">
        <f>I89+I65+I45+I20</f>
        <v>57307.380000000005</v>
      </c>
    </row>
    <row r="93" spans="1:10" x14ac:dyDescent="0.3">
      <c r="H93" s="47" t="s">
        <v>68</v>
      </c>
      <c r="I93" s="29">
        <f>ROUNDUP(ROUNDUP($I$91/305,0)*1.1,0)</f>
        <v>207</v>
      </c>
    </row>
    <row r="94" spans="1:10" x14ac:dyDescent="0.3">
      <c r="H94" s="47" t="s">
        <v>69</v>
      </c>
      <c r="I94" s="29">
        <f>ROUNDUP($I$91/2000,0)</f>
        <v>29</v>
      </c>
    </row>
    <row r="96" spans="1:10" ht="15.6" x14ac:dyDescent="0.3">
      <c r="A96" s="78" t="s">
        <v>70</v>
      </c>
      <c r="B96" s="78"/>
      <c r="C96" s="37">
        <f>I91/(F91*2)</f>
        <v>53.358826815642459</v>
      </c>
    </row>
    <row r="98" spans="1:8" ht="15.6" x14ac:dyDescent="0.3">
      <c r="A98" s="54" t="s">
        <v>71</v>
      </c>
      <c r="B98" s="54"/>
      <c r="C98" s="54"/>
      <c r="D98" s="54"/>
      <c r="E98" s="54"/>
      <c r="F98" s="54"/>
      <c r="G98" s="54"/>
      <c r="H98" s="54"/>
    </row>
    <row r="99" spans="1:8" ht="15.6" x14ac:dyDescent="0.3">
      <c r="A99" s="55" t="s">
        <v>72</v>
      </c>
      <c r="B99" s="55"/>
    </row>
    <row r="100" spans="1:8" ht="15.6" x14ac:dyDescent="0.3">
      <c r="A100" s="56" t="s">
        <v>73</v>
      </c>
      <c r="B100" s="56"/>
    </row>
    <row r="101" spans="1:8" ht="15.6" x14ac:dyDescent="0.3">
      <c r="A101" s="57" t="s">
        <v>74</v>
      </c>
      <c r="B101" s="57"/>
      <c r="C101" s="57"/>
      <c r="D101" s="57"/>
      <c r="E101" s="57"/>
    </row>
  </sheetData>
  <mergeCells count="15">
    <mergeCell ref="B10:J11"/>
    <mergeCell ref="B4:J4"/>
    <mergeCell ref="B31:J31"/>
    <mergeCell ref="B49:J49"/>
    <mergeCell ref="B75:J75"/>
    <mergeCell ref="B24:J25"/>
    <mergeCell ref="B37:J38"/>
    <mergeCell ref="A98:H98"/>
    <mergeCell ref="A99:B99"/>
    <mergeCell ref="A100:B100"/>
    <mergeCell ref="A101:E101"/>
    <mergeCell ref="B55:J56"/>
    <mergeCell ref="B69:J70"/>
    <mergeCell ref="B81:J82"/>
    <mergeCell ref="A96:B96"/>
  </mergeCells>
  <phoneticPr fontId="4" type="noConversion"/>
  <conditionalFormatting sqref="C96">
    <cfRule type="cellIs" dxfId="1" priority="1" operator="between">
      <formula>30</formula>
      <formula>60</formula>
    </cfRule>
    <cfRule type="expression" dxfId="0" priority="2">
      <formula>"AND(c57&gt;=30;c57&lt;=60)"</formula>
    </cfRule>
  </conditionalFormatting>
  <pageMargins left="0.7" right="0.7" top="0.75" bottom="0.75" header="0.3" footer="0.3"/>
  <ignoredErrors>
    <ignoredError sqref="A14:A19 A26:A36 A59:A64 A39:A44 A71:A88 A67 A68:A70 A22:A23 A24:A25 A37:A38" twoDigitTextYear="1"/>
  </ignoredErrors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A7270-A5B3-4391-AFAC-44F660C9B196}">
  <sheetPr codeName="Sheet2"/>
  <dimension ref="A1:H64"/>
  <sheetViews>
    <sheetView topLeftCell="A12" zoomScaleNormal="100" workbookViewId="0">
      <selection activeCell="D11" sqref="D11"/>
    </sheetView>
  </sheetViews>
  <sheetFormatPr defaultRowHeight="14.4" x14ac:dyDescent="0.3"/>
  <cols>
    <col min="2" max="2" width="15.88671875" bestFit="1" customWidth="1"/>
    <col min="3" max="3" width="24.33203125" bestFit="1" customWidth="1"/>
    <col min="4" max="4" width="22.5546875" customWidth="1"/>
    <col min="5" max="5" width="23.5546875" customWidth="1"/>
    <col min="6" max="6" width="23.109375" customWidth="1"/>
    <col min="7" max="7" width="20.109375" customWidth="1"/>
  </cols>
  <sheetData>
    <row r="1" spans="1:8" ht="15" thickBot="1" x14ac:dyDescent="0.35">
      <c r="A1" s="11" t="s">
        <v>22</v>
      </c>
      <c r="B1" s="3" t="s">
        <v>0</v>
      </c>
      <c r="C1" s="3" t="s">
        <v>1</v>
      </c>
      <c r="D1" s="3" t="s">
        <v>7</v>
      </c>
      <c r="E1" s="3" t="s">
        <v>2</v>
      </c>
      <c r="F1" s="3" t="s">
        <v>11</v>
      </c>
      <c r="G1" s="4" t="s">
        <v>12</v>
      </c>
      <c r="H1" s="11" t="s">
        <v>22</v>
      </c>
    </row>
    <row r="2" spans="1:8" x14ac:dyDescent="0.3">
      <c r="A2" s="76" t="s">
        <v>23</v>
      </c>
      <c r="B2" s="10">
        <v>2</v>
      </c>
      <c r="C2" s="1" t="s">
        <v>8</v>
      </c>
      <c r="D2" s="1"/>
      <c r="E2" s="1" t="s">
        <v>39</v>
      </c>
      <c r="F2" s="1">
        <v>0</v>
      </c>
      <c r="G2" s="5">
        <v>0</v>
      </c>
      <c r="H2" s="76" t="s">
        <v>23</v>
      </c>
    </row>
    <row r="3" spans="1:8" x14ac:dyDescent="0.3">
      <c r="A3" s="77"/>
      <c r="B3" s="10">
        <v>1</v>
      </c>
      <c r="C3" s="1" t="s">
        <v>4</v>
      </c>
      <c r="D3" s="1"/>
      <c r="E3" s="1"/>
      <c r="F3" s="1">
        <v>0</v>
      </c>
      <c r="G3" s="5">
        <v>0</v>
      </c>
      <c r="H3" s="77"/>
    </row>
    <row r="4" spans="1:8" x14ac:dyDescent="0.3">
      <c r="A4" s="77"/>
      <c r="B4" s="10">
        <v>1</v>
      </c>
      <c r="C4" s="1" t="s">
        <v>5</v>
      </c>
      <c r="D4" s="1"/>
      <c r="E4" s="1" t="s">
        <v>6</v>
      </c>
      <c r="F4" s="1">
        <v>750</v>
      </c>
      <c r="G4" s="5">
        <v>200</v>
      </c>
      <c r="H4" s="77"/>
    </row>
    <row r="5" spans="1:8" x14ac:dyDescent="0.3">
      <c r="A5" s="77"/>
      <c r="B5" s="10">
        <v>1</v>
      </c>
      <c r="C5" s="1" t="s">
        <v>4</v>
      </c>
      <c r="D5" s="1"/>
      <c r="G5" s="5">
        <v>0</v>
      </c>
      <c r="H5" s="77"/>
    </row>
    <row r="6" spans="1:8" x14ac:dyDescent="0.3">
      <c r="A6" s="77"/>
      <c r="B6" s="10">
        <v>1</v>
      </c>
      <c r="C6" s="1" t="s">
        <v>9</v>
      </c>
      <c r="D6" s="1"/>
      <c r="E6" s="1" t="s">
        <v>10</v>
      </c>
      <c r="F6" s="1">
        <v>0</v>
      </c>
      <c r="G6" s="5">
        <v>0</v>
      </c>
      <c r="H6" s="77"/>
    </row>
    <row r="7" spans="1:8" ht="15" thickBot="1" x14ac:dyDescent="0.35">
      <c r="A7" s="77"/>
      <c r="B7" s="10">
        <v>1</v>
      </c>
      <c r="C7" s="13" t="s">
        <v>4</v>
      </c>
      <c r="D7" s="1"/>
      <c r="E7" s="1"/>
      <c r="F7" s="1">
        <v>0</v>
      </c>
      <c r="G7" s="5">
        <v>0</v>
      </c>
      <c r="H7" s="77"/>
    </row>
    <row r="8" spans="1:8" ht="16.2" thickBot="1" x14ac:dyDescent="0.35">
      <c r="A8" s="77"/>
      <c r="B8" s="24">
        <v>1</v>
      </c>
      <c r="C8" s="26" t="s">
        <v>37</v>
      </c>
      <c r="D8" s="10"/>
      <c r="E8" s="1" t="s">
        <v>38</v>
      </c>
      <c r="F8" s="1">
        <v>300</v>
      </c>
      <c r="G8" s="5">
        <v>50</v>
      </c>
      <c r="H8" s="77"/>
    </row>
    <row r="9" spans="1:8" ht="15.6" x14ac:dyDescent="0.3">
      <c r="A9" s="77"/>
      <c r="B9" s="24">
        <v>1</v>
      </c>
      <c r="C9" s="26" t="s">
        <v>4</v>
      </c>
      <c r="D9" s="10"/>
      <c r="F9" s="1"/>
      <c r="G9" s="5"/>
      <c r="H9" s="77"/>
    </row>
    <row r="10" spans="1:8" ht="16.2" thickBot="1" x14ac:dyDescent="0.35">
      <c r="A10" s="77"/>
      <c r="B10" s="24">
        <v>1</v>
      </c>
      <c r="C10" s="27" t="s">
        <v>9</v>
      </c>
      <c r="D10" s="10"/>
      <c r="E10" s="1" t="s">
        <v>10</v>
      </c>
      <c r="F10" s="1"/>
      <c r="G10" s="5"/>
      <c r="H10" s="77"/>
    </row>
    <row r="11" spans="1:8" x14ac:dyDescent="0.3">
      <c r="A11" s="77"/>
      <c r="B11" s="10">
        <v>1</v>
      </c>
      <c r="C11" s="25" t="s">
        <v>40</v>
      </c>
      <c r="D11" s="1"/>
      <c r="E11" s="1"/>
      <c r="F11" s="1"/>
      <c r="G11" s="5"/>
      <c r="H11" s="77"/>
    </row>
    <row r="12" spans="1:8" x14ac:dyDescent="0.3">
      <c r="A12" s="77"/>
      <c r="B12" s="10">
        <v>1</v>
      </c>
      <c r="C12" s="23" t="s">
        <v>41</v>
      </c>
      <c r="D12" s="1"/>
      <c r="E12" s="1"/>
      <c r="F12" s="1"/>
      <c r="G12" s="5"/>
      <c r="H12" s="77"/>
    </row>
    <row r="13" spans="1:8" x14ac:dyDescent="0.3">
      <c r="A13" s="77"/>
      <c r="B13" s="10">
        <v>1</v>
      </c>
      <c r="C13" s="23" t="s">
        <v>42</v>
      </c>
      <c r="D13" s="1"/>
      <c r="E13" s="1"/>
      <c r="F13" s="1"/>
      <c r="G13" s="5"/>
      <c r="H13" s="77"/>
    </row>
    <row r="14" spans="1:8" x14ac:dyDescent="0.3">
      <c r="A14" s="77"/>
      <c r="B14" s="10">
        <v>1</v>
      </c>
      <c r="C14" s="1"/>
      <c r="D14" s="1"/>
      <c r="E14" s="1"/>
      <c r="F14" s="1"/>
      <c r="G14" s="5"/>
      <c r="H14" s="77"/>
    </row>
    <row r="15" spans="1:8" x14ac:dyDescent="0.3">
      <c r="A15" s="77"/>
      <c r="B15" s="10">
        <v>1</v>
      </c>
      <c r="C15" s="1" t="s">
        <v>9</v>
      </c>
      <c r="D15" s="1"/>
      <c r="E15" s="1"/>
      <c r="F15" s="1"/>
      <c r="G15" s="5"/>
      <c r="H15" s="77"/>
    </row>
    <row r="16" spans="1:8" ht="15" thickBot="1" x14ac:dyDescent="0.35">
      <c r="A16" s="77"/>
      <c r="B16" s="10">
        <v>1</v>
      </c>
      <c r="C16" s="1" t="s">
        <v>9</v>
      </c>
      <c r="D16" s="1"/>
      <c r="E16" s="1"/>
      <c r="F16" s="1"/>
      <c r="G16" s="5"/>
      <c r="H16" s="77"/>
    </row>
    <row r="17" spans="1:8" x14ac:dyDescent="0.3">
      <c r="A17" s="77"/>
      <c r="B17" s="24">
        <v>7</v>
      </c>
      <c r="C17" s="34"/>
      <c r="D17" s="10"/>
      <c r="E17" s="1"/>
      <c r="F17" s="1"/>
      <c r="G17" s="5"/>
      <c r="H17" s="77"/>
    </row>
    <row r="18" spans="1:8" x14ac:dyDescent="0.3">
      <c r="A18" s="77"/>
      <c r="B18" s="24"/>
      <c r="C18" s="35"/>
      <c r="D18" s="10"/>
      <c r="E18" s="1"/>
      <c r="F18" s="1"/>
      <c r="G18" s="5"/>
      <c r="H18" s="77"/>
    </row>
    <row r="19" spans="1:8" x14ac:dyDescent="0.3">
      <c r="A19" s="77"/>
      <c r="B19" s="24"/>
      <c r="C19" s="35"/>
      <c r="D19" s="10"/>
      <c r="E19" s="1"/>
      <c r="F19" s="1"/>
      <c r="G19" s="5"/>
      <c r="H19" s="77"/>
    </row>
    <row r="20" spans="1:8" x14ac:dyDescent="0.3">
      <c r="A20" s="77"/>
      <c r="B20" s="24"/>
      <c r="C20" s="35"/>
      <c r="D20" s="10"/>
      <c r="E20" s="1"/>
      <c r="F20" s="1"/>
      <c r="G20" s="5"/>
      <c r="H20" s="77"/>
    </row>
    <row r="21" spans="1:8" x14ac:dyDescent="0.3">
      <c r="A21" s="77"/>
      <c r="B21" s="24"/>
      <c r="C21" s="35"/>
      <c r="D21" s="10"/>
      <c r="E21" s="1"/>
      <c r="F21" s="1"/>
      <c r="G21" s="5"/>
      <c r="H21" s="77"/>
    </row>
    <row r="22" spans="1:8" x14ac:dyDescent="0.3">
      <c r="A22" s="77"/>
      <c r="B22" s="24"/>
      <c r="C22" s="35"/>
      <c r="D22" s="10"/>
      <c r="E22" s="1"/>
      <c r="F22" s="1"/>
      <c r="G22" s="5"/>
      <c r="H22" s="77"/>
    </row>
    <row r="23" spans="1:8" ht="15" thickBot="1" x14ac:dyDescent="0.35">
      <c r="A23" s="77"/>
      <c r="B23" s="24"/>
      <c r="C23" s="36"/>
      <c r="D23" s="10"/>
      <c r="E23" s="1"/>
      <c r="F23" s="1"/>
      <c r="G23" s="5"/>
      <c r="H23" s="77"/>
    </row>
    <row r="24" spans="1:8" x14ac:dyDescent="0.3">
      <c r="A24" s="77"/>
      <c r="B24" s="10">
        <v>1</v>
      </c>
      <c r="C24" s="1" t="s">
        <v>9</v>
      </c>
      <c r="D24" s="1"/>
      <c r="E24" s="1"/>
      <c r="F24" s="1"/>
      <c r="G24" s="5"/>
      <c r="H24" s="77"/>
    </row>
    <row r="25" spans="1:8" x14ac:dyDescent="0.3">
      <c r="A25" s="77"/>
      <c r="B25" s="10">
        <v>1</v>
      </c>
      <c r="C25" s="1" t="s">
        <v>9</v>
      </c>
      <c r="D25" s="1"/>
      <c r="E25" s="1"/>
      <c r="F25" s="1"/>
      <c r="G25" s="5"/>
      <c r="H25" s="77"/>
    </row>
    <row r="26" spans="1:8" x14ac:dyDescent="0.3">
      <c r="A26" s="77"/>
      <c r="B26" s="10">
        <v>1</v>
      </c>
      <c r="C26" s="1" t="s">
        <v>9</v>
      </c>
      <c r="D26" s="1"/>
      <c r="E26" s="1"/>
      <c r="F26" s="1"/>
      <c r="G26" s="5"/>
      <c r="H26" s="77"/>
    </row>
    <row r="27" spans="1:8" x14ac:dyDescent="0.3">
      <c r="A27" s="77"/>
      <c r="B27" s="10">
        <v>1</v>
      </c>
      <c r="C27" s="1"/>
      <c r="D27" s="1"/>
      <c r="E27" s="1"/>
      <c r="F27" s="1"/>
      <c r="G27" s="5"/>
      <c r="H27" s="77"/>
    </row>
    <row r="28" spans="1:8" x14ac:dyDescent="0.3">
      <c r="A28" s="77"/>
      <c r="B28" s="10">
        <v>1</v>
      </c>
      <c r="C28" s="1"/>
      <c r="D28" s="1"/>
      <c r="E28" s="1"/>
      <c r="F28" s="1"/>
      <c r="G28" s="5"/>
      <c r="H28" s="77"/>
    </row>
    <row r="29" spans="1:8" x14ac:dyDescent="0.3">
      <c r="A29" s="77"/>
      <c r="B29" s="10">
        <v>1</v>
      </c>
      <c r="C29" s="1" t="s">
        <v>35</v>
      </c>
      <c r="E29" s="1" t="s">
        <v>36</v>
      </c>
      <c r="F29" s="1">
        <v>200</v>
      </c>
      <c r="G29" s="5">
        <v>50</v>
      </c>
      <c r="H29" s="77"/>
    </row>
    <row r="30" spans="1:8" x14ac:dyDescent="0.3">
      <c r="A30" s="77"/>
      <c r="B30" s="10">
        <v>6</v>
      </c>
      <c r="C30" s="9" t="s">
        <v>19</v>
      </c>
      <c r="D30" s="1"/>
      <c r="E30" s="1"/>
      <c r="F30" s="1"/>
      <c r="G30" s="5"/>
      <c r="H30" s="77"/>
    </row>
    <row r="31" spans="1:8" x14ac:dyDescent="0.3">
      <c r="A31" s="77"/>
      <c r="B31" s="10"/>
      <c r="C31" s="1"/>
      <c r="D31" s="1"/>
      <c r="E31" s="1"/>
      <c r="F31" s="1"/>
      <c r="G31" s="5"/>
      <c r="H31" s="77"/>
    </row>
    <row r="32" spans="1:8" x14ac:dyDescent="0.3">
      <c r="A32" s="77"/>
      <c r="B32" s="10"/>
      <c r="C32" s="1"/>
      <c r="D32" s="1"/>
      <c r="E32" s="1"/>
      <c r="F32" s="1"/>
      <c r="G32" s="5"/>
      <c r="H32" s="77"/>
    </row>
    <row r="33" spans="1:8" x14ac:dyDescent="0.3">
      <c r="A33" s="77"/>
      <c r="B33" s="10"/>
      <c r="C33" s="1"/>
      <c r="D33" s="1"/>
      <c r="E33" s="1"/>
      <c r="F33" s="1"/>
      <c r="G33" s="5"/>
      <c r="H33" s="77"/>
    </row>
    <row r="34" spans="1:8" x14ac:dyDescent="0.3">
      <c r="A34" s="77"/>
      <c r="B34" s="10">
        <v>1</v>
      </c>
      <c r="C34" s="1" t="s">
        <v>9</v>
      </c>
      <c r="D34" s="1"/>
      <c r="E34" s="1" t="s">
        <v>38</v>
      </c>
      <c r="F34" s="1"/>
      <c r="G34" s="5"/>
      <c r="H34" s="77"/>
    </row>
    <row r="35" spans="1:8" x14ac:dyDescent="0.3">
      <c r="A35" s="77"/>
      <c r="B35" s="10">
        <v>1</v>
      </c>
      <c r="C35" s="1" t="s">
        <v>13</v>
      </c>
      <c r="D35" s="1"/>
      <c r="E35" s="1"/>
      <c r="F35" s="1"/>
      <c r="G35" s="5"/>
      <c r="H35" s="77"/>
    </row>
    <row r="36" spans="1:8" x14ac:dyDescent="0.3">
      <c r="A36" s="77"/>
      <c r="B36" s="10">
        <v>1</v>
      </c>
      <c r="C36" s="1" t="s">
        <v>14</v>
      </c>
      <c r="D36" s="1"/>
      <c r="E36" s="1" t="s">
        <v>6</v>
      </c>
      <c r="F36" s="1">
        <v>750</v>
      </c>
      <c r="G36" s="5">
        <v>200</v>
      </c>
      <c r="H36" s="77"/>
    </row>
    <row r="37" spans="1:8" x14ac:dyDescent="0.3">
      <c r="A37" s="77"/>
      <c r="B37" s="10">
        <v>2</v>
      </c>
      <c r="C37" s="1" t="s">
        <v>20</v>
      </c>
      <c r="D37" s="1"/>
      <c r="E37" s="1"/>
      <c r="F37" s="1"/>
      <c r="G37" s="5"/>
      <c r="H37" s="77"/>
    </row>
    <row r="38" spans="1:8" x14ac:dyDescent="0.3">
      <c r="A38" s="77"/>
      <c r="B38" s="10">
        <v>4</v>
      </c>
      <c r="C38" s="1" t="s">
        <v>15</v>
      </c>
      <c r="D38" s="1"/>
      <c r="E38" s="1"/>
      <c r="F38" s="18">
        <v>1000</v>
      </c>
      <c r="G38" s="5">
        <v>250</v>
      </c>
      <c r="H38" s="77"/>
    </row>
    <row r="39" spans="1:8" x14ac:dyDescent="0.3">
      <c r="A39" s="77"/>
      <c r="B39" s="10">
        <v>4</v>
      </c>
      <c r="C39" s="1" t="s">
        <v>16</v>
      </c>
      <c r="D39" s="1"/>
      <c r="E39" s="1"/>
      <c r="F39" s="18">
        <v>1000</v>
      </c>
      <c r="G39" s="5">
        <v>250</v>
      </c>
      <c r="H39" s="77"/>
    </row>
    <row r="40" spans="1:8" x14ac:dyDescent="0.3">
      <c r="A40" s="77"/>
      <c r="B40" s="10"/>
      <c r="C40" s="1"/>
      <c r="D40" s="1"/>
      <c r="E40" s="1"/>
      <c r="F40" s="1"/>
      <c r="G40" s="5"/>
      <c r="H40" s="77"/>
    </row>
    <row r="41" spans="1:8" x14ac:dyDescent="0.3">
      <c r="A41" s="77"/>
      <c r="B41" s="10"/>
      <c r="C41" s="1"/>
      <c r="D41" s="1"/>
      <c r="E41" s="1"/>
      <c r="F41" s="1"/>
      <c r="G41" s="5"/>
      <c r="H41" s="77"/>
    </row>
    <row r="42" spans="1:8" ht="15" thickBot="1" x14ac:dyDescent="0.35">
      <c r="A42" s="77"/>
      <c r="B42" s="12"/>
      <c r="C42" s="13"/>
      <c r="D42" s="13"/>
      <c r="E42" s="13"/>
      <c r="F42" s="13"/>
      <c r="G42" s="14"/>
      <c r="H42" s="77"/>
    </row>
    <row r="43" spans="1:8" ht="15" thickBot="1" x14ac:dyDescent="0.35">
      <c r="A43" s="15" t="s">
        <v>3</v>
      </c>
      <c r="B43" s="16">
        <f>SUM(B2:B42)</f>
        <v>48</v>
      </c>
      <c r="C43" s="16"/>
      <c r="D43" s="16"/>
      <c r="E43" s="16"/>
      <c r="F43" s="16">
        <f>SUM(F2:F37)</f>
        <v>2000</v>
      </c>
      <c r="G43" s="16">
        <f>SUM(G2:G42)</f>
        <v>1000</v>
      </c>
      <c r="H43" s="17"/>
    </row>
    <row r="44" spans="1:8" x14ac:dyDescent="0.3">
      <c r="E44" s="19" t="s">
        <v>17</v>
      </c>
      <c r="F44" s="19">
        <f>F38+F39</f>
        <v>2000</v>
      </c>
    </row>
    <row r="45" spans="1:8" ht="15" thickBot="1" x14ac:dyDescent="0.35">
      <c r="F45" t="s">
        <v>34</v>
      </c>
      <c r="G45" t="s">
        <v>33</v>
      </c>
    </row>
    <row r="46" spans="1:8" x14ac:dyDescent="0.3">
      <c r="C46" s="2" t="s">
        <v>31</v>
      </c>
      <c r="D46" s="3"/>
      <c r="E46" s="3"/>
      <c r="F46" s="3">
        <v>2500</v>
      </c>
      <c r="G46" s="4">
        <v>12000</v>
      </c>
    </row>
    <row r="47" spans="1:8" ht="15" thickBot="1" x14ac:dyDescent="0.35">
      <c r="C47" s="6" t="s">
        <v>32</v>
      </c>
      <c r="D47" s="7"/>
      <c r="E47" s="7"/>
      <c r="F47" s="7">
        <v>2500</v>
      </c>
      <c r="G47" s="8">
        <v>12000</v>
      </c>
    </row>
    <row r="49" spans="1:7" x14ac:dyDescent="0.3">
      <c r="E49" s="20" t="s">
        <v>3</v>
      </c>
      <c r="F49" s="20">
        <f>SUM(F46:F47)</f>
        <v>5000</v>
      </c>
      <c r="G49" s="20">
        <f>SUM(G46:G47)</f>
        <v>24000</v>
      </c>
    </row>
    <row r="50" spans="1:7" ht="43.2" customHeight="1" x14ac:dyDescent="0.3">
      <c r="C50" s="31" t="s">
        <v>45</v>
      </c>
      <c r="D50" s="28">
        <v>352</v>
      </c>
      <c r="E50" s="29"/>
      <c r="F50" s="29"/>
      <c r="G50" s="29"/>
    </row>
    <row r="51" spans="1:7" ht="49.2" customHeight="1" x14ac:dyDescent="0.3">
      <c r="C51" s="30" t="s">
        <v>44</v>
      </c>
      <c r="D51" s="32">
        <f>COUNTIF(C1:C43,"Patch Pannel UTP")*24</f>
        <v>192</v>
      </c>
      <c r="E51" s="33" t="s">
        <v>46</v>
      </c>
      <c r="F51" s="29"/>
      <c r="G51" s="29"/>
    </row>
    <row r="52" spans="1:7" x14ac:dyDescent="0.3">
      <c r="E52" s="29"/>
      <c r="F52" s="29"/>
      <c r="G52" s="29"/>
    </row>
    <row r="53" spans="1:7" x14ac:dyDescent="0.3">
      <c r="A53" t="s">
        <v>18</v>
      </c>
      <c r="B53" t="s">
        <v>30</v>
      </c>
    </row>
    <row r="54" spans="1:7" x14ac:dyDescent="0.3">
      <c r="B54" t="s">
        <v>21</v>
      </c>
    </row>
    <row r="55" spans="1:7" x14ac:dyDescent="0.3">
      <c r="B55" t="s">
        <v>26</v>
      </c>
    </row>
    <row r="56" spans="1:7" x14ac:dyDescent="0.3">
      <c r="B56" s="18" t="s">
        <v>24</v>
      </c>
      <c r="C56" s="18"/>
      <c r="D56" s="18"/>
      <c r="E56" s="18"/>
      <c r="F56" s="18"/>
      <c r="G56" s="18"/>
    </row>
    <row r="57" spans="1:7" x14ac:dyDescent="0.3">
      <c r="B57" t="s">
        <v>25</v>
      </c>
    </row>
    <row r="58" spans="1:7" x14ac:dyDescent="0.3">
      <c r="B58" t="s">
        <v>29</v>
      </c>
    </row>
    <row r="59" spans="1:7" x14ac:dyDescent="0.3">
      <c r="B59" s="28" t="s">
        <v>43</v>
      </c>
      <c r="C59" s="28"/>
      <c r="D59" s="28"/>
      <c r="E59" s="28"/>
      <c r="F59" s="28"/>
      <c r="G59" s="28"/>
    </row>
    <row r="60" spans="1:7" x14ac:dyDescent="0.3">
      <c r="B60" s="28" t="s">
        <v>47</v>
      </c>
      <c r="C60" s="28"/>
      <c r="D60" s="28"/>
      <c r="E60" s="28"/>
      <c r="F60" s="28"/>
      <c r="G60" s="28"/>
    </row>
    <row r="61" spans="1:7" x14ac:dyDescent="0.3">
      <c r="B61" s="21" t="s">
        <v>27</v>
      </c>
      <c r="C61" s="21"/>
      <c r="D61" s="21"/>
      <c r="E61" s="21"/>
      <c r="F61" s="21"/>
      <c r="G61" s="21"/>
    </row>
    <row r="62" spans="1:7" x14ac:dyDescent="0.3">
      <c r="B62" t="s">
        <v>28</v>
      </c>
    </row>
    <row r="63" spans="1:7" x14ac:dyDescent="0.3">
      <c r="B63" t="s">
        <v>48</v>
      </c>
    </row>
    <row r="64" spans="1:7" ht="18" x14ac:dyDescent="0.35">
      <c r="B64" s="22" t="s">
        <v>49</v>
      </c>
      <c r="C64" s="22"/>
      <c r="D64" s="22"/>
      <c r="E64" s="22"/>
      <c r="F64" s="22"/>
      <c r="G64" s="22"/>
    </row>
  </sheetData>
  <mergeCells count="2">
    <mergeCell ref="A2:A42"/>
    <mergeCell ref="H2:H4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9A1CC-C4FB-41AD-85DB-3839BA2B7BB9}">
  <sheetPr codeName="Sheet3"/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1F13F-E947-4C1E-BDE3-9A5BE07FD910}">
  <sheetPr codeName="Sheet4"/>
  <dimension ref="A1"/>
  <sheetViews>
    <sheetView workbookViewId="0">
      <selection activeCell="E26" sqref="E26"/>
    </sheetView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4DE2CC379442A4D8483D9D7B1BA3E35" ma:contentTypeVersion="3" ma:contentTypeDescription="Create a new document." ma:contentTypeScope="" ma:versionID="3cbd871ac436bbcd94953c6f74650012">
  <xsd:schema xmlns:xsd="http://www.w3.org/2001/XMLSchema" xmlns:xs="http://www.w3.org/2001/XMLSchema" xmlns:p="http://schemas.microsoft.com/office/2006/metadata/properties" xmlns:ns2="a1b380a0-b262-4a13-9203-497a21b8eee5" targetNamespace="http://schemas.microsoft.com/office/2006/metadata/properties" ma:root="true" ma:fieldsID="f82e0ce2898406bfa558450728792a3e" ns2:_="">
    <xsd:import namespace="a1b380a0-b262-4a13-9203-497a21b8eee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b380a0-b262-4a13-9203-497a21b8eee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A5F86897-A5B3-4CA1-BC45-17E92954BA2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1b380a0-b262-4a13-9203-497a21b8eee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60991D8-BA81-407D-9E91-473AD6B0957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56E5AF3-7BBF-4763-B83A-9DB8001DA7F8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Cable</vt:lpstr>
      <vt:lpstr>MDF</vt:lpstr>
      <vt:lpstr>IDF1</vt:lpstr>
      <vt:lpstr>IDF...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cemil</dc:creator>
  <cp:lastModifiedBy>Grad Laurentiu</cp:lastModifiedBy>
  <dcterms:created xsi:type="dcterms:W3CDTF">2020-03-30T08:46:30Z</dcterms:created>
  <dcterms:modified xsi:type="dcterms:W3CDTF">2026-03-26T11:32:24Z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b58b62f-6f94-46bd-8089-18e64b0a9abb_Enabled">
    <vt:lpwstr>true</vt:lpwstr>
  </property>
  <property fmtid="{D5CDD505-2E9C-101B-9397-08002B2CF9AE}" pid="3" name="MSIP_Label_5b58b62f-6f94-46bd-8089-18e64b0a9abb_SetDate">
    <vt:lpwstr>2025-04-10T07:51:52Z</vt:lpwstr>
  </property>
  <property fmtid="{D5CDD505-2E9C-101B-9397-08002B2CF9AE}" pid="4" name="MSIP_Label_5b58b62f-6f94-46bd-8089-18e64b0a9abb_Method">
    <vt:lpwstr>Standard</vt:lpwstr>
  </property>
  <property fmtid="{D5CDD505-2E9C-101B-9397-08002B2CF9AE}" pid="5" name="MSIP_Label_5b58b62f-6f94-46bd-8089-18e64b0a9abb_Name">
    <vt:lpwstr>defa4170-0d19-0005-0004-bc88714345d2</vt:lpwstr>
  </property>
  <property fmtid="{D5CDD505-2E9C-101B-9397-08002B2CF9AE}" pid="6" name="MSIP_Label_5b58b62f-6f94-46bd-8089-18e64b0a9abb_SiteId">
    <vt:lpwstr>a6eb79fa-c4a9-4cce-818d-b85274d15305</vt:lpwstr>
  </property>
  <property fmtid="{D5CDD505-2E9C-101B-9397-08002B2CF9AE}" pid="7" name="MSIP_Label_5b58b62f-6f94-46bd-8089-18e64b0a9abb_ActionId">
    <vt:lpwstr>b5db2479-941d-4433-b1ae-102c71dd8c2b</vt:lpwstr>
  </property>
  <property fmtid="{D5CDD505-2E9C-101B-9397-08002B2CF9AE}" pid="8" name="MSIP_Label_5b58b62f-6f94-46bd-8089-18e64b0a9abb_ContentBits">
    <vt:lpwstr>0</vt:lpwstr>
  </property>
  <property fmtid="{D5CDD505-2E9C-101B-9397-08002B2CF9AE}" pid="9" name="MSIP_Label_5b58b62f-6f94-46bd-8089-18e64b0a9abb_Tag">
    <vt:lpwstr>10, 3, 0, 1</vt:lpwstr>
  </property>
  <property fmtid="{D5CDD505-2E9C-101B-9397-08002B2CF9AE}" pid="10" name="ContentTypeId">
    <vt:lpwstr>0x010100E4DE2CC379442A4D8483D9D7B1BA3E35</vt:lpwstr>
  </property>
</Properties>
</file>