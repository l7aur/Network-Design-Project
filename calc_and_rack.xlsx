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ble" sheetId="1" r:id="rId5"/>
    <sheet state="visible" name="Fiber" sheetId="2" r:id="rId6"/>
    <sheet state="visible" name="Tech Stack" sheetId="3" r:id="rId7"/>
    <sheet state="visible" name="MDF" sheetId="4" r:id="rId8"/>
    <sheet state="visible" name="IDF1" sheetId="5" r:id="rId9"/>
    <sheet state="visible" name="IDF2" sheetId="6" r:id="rId10"/>
    <sheet state="visible" name="IDF3" sheetId="7" r:id="rId1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">
      <text>
        <t xml:space="preserve">======
ID#AAAB25SOS0w
Emil Cebuc    (2026-04-01 14:28:17)
From detaild design</t>
      </text>
    </comment>
    <comment authorId="0" ref="I1">
      <text>
        <t xml:space="preserve">======
ID#AAAB25SOS00
Emil Cebuc    (2026-04-01 14:28:17)
3m for in rack cabling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5">
      <text>
        <t xml:space="preserve">l7aur:
2 X WS Line Card</t>
      </text>
    </comment>
    <comment authorId="0" ref="D16">
      <text>
        <t xml:space="preserve">l7aur:
2 X WS Line Card</t>
      </text>
    </comment>
    <comment authorId="0" ref="D17">
      <text>
        <t xml:space="preserve">l7aur:
WS Line Card + IP Phone Line Card</t>
      </text>
    </comment>
    <comment authorId="0" ref="D18">
      <text>
        <t xml:space="preserve">l7aur:
Supervisor + OF Line Card</t>
      </text>
    </comment>
    <comment authorId="0" ref="D19">
      <text>
        <t xml:space="preserve">l7aur:
AP Line Card</t>
      </text>
    </comment>
    <comment authorId="0" ref="D20">
      <text>
        <t xml:space="preserve">l7aur:
Redundancy</t>
      </text>
    </comment>
    <comment authorId="0" ref="C39">
      <text>
        <t xml:space="preserve">l7aur:
+2 x APC SRT192BP2
=&gt; 20 minutes running time on failure
</t>
      </text>
    </comment>
    <comment authorId="0" ref="C40">
      <text>
        <t xml:space="preserve">l7aur:
+2 x APC SRT192BP2
=&gt; 20 minutes running time on failure
</t>
      </text>
    </comment>
    <comment authorId="0" ref="C41">
      <text>
        <t xml:space="preserve">l7aur:
+2 x APC SRT192BP2
=&gt; 20 minutes running time on failure
</t>
      </text>
    </comment>
    <comment authorId="0" ref="C42">
      <text>
        <t xml:space="preserve">l7aur:
+2 x APC SRT192BP2
=&gt; 20 minutes running time on failure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5">
      <text>
        <t xml:space="preserve">l7aur:
2 X WS Line Card</t>
      </text>
    </comment>
    <comment authorId="0" ref="D16">
      <text>
        <t xml:space="preserve">l7aur:
2 X WS Line Card</t>
      </text>
    </comment>
    <comment authorId="0" ref="D17">
      <text>
        <t xml:space="preserve">l7aur:
WS Line Card + IP Phone Line Card</t>
      </text>
    </comment>
    <comment authorId="0" ref="D18">
      <text>
        <t xml:space="preserve">l7aur:
Supervisor + OF Line Card</t>
      </text>
    </comment>
    <comment authorId="0" ref="D19">
      <text>
        <t xml:space="preserve">l7aur:
AP Line Card</t>
      </text>
    </comment>
    <comment authorId="0" ref="D20">
      <text>
        <t xml:space="preserve">l7aur:
Redundancy</t>
      </text>
    </comment>
    <comment authorId="0" ref="C31">
      <text>
        <t xml:space="preserve">l7aur:
+2 x APC SRT192BP2
=&gt; 20 minutes running time on failure
</t>
      </text>
    </comment>
    <comment authorId="0" ref="C32">
      <text>
        <t xml:space="preserve">l7aur:
+2 x APC SRT192BP2
=&gt; 20 minutes running time on failure
</t>
      </text>
    </comment>
    <comment authorId="0" ref="C33">
      <text>
        <t xml:space="preserve">l7aur:
+2 x APC SRT192BP2
=&gt; 20 minutes running time on failure
</t>
      </text>
    </comment>
    <comment authorId="0" ref="C34">
      <text>
        <t xml:space="preserve">l7aur:
+2 x APC SRT192BP2
=&gt; 20 minutes running time on failure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5">
      <text>
        <t xml:space="preserve">l7aur:
2 X WS Line Card</t>
      </text>
    </comment>
    <comment authorId="0" ref="D16">
      <text>
        <t xml:space="preserve">l7aur:
2 X WS Line Card</t>
      </text>
    </comment>
    <comment authorId="0" ref="D17">
      <text>
        <t xml:space="preserve">l7aur:
WS Line Card + IP Phone Line Card</t>
      </text>
    </comment>
    <comment authorId="0" ref="D18">
      <text>
        <t xml:space="preserve">l7aur:
Supervisor + OF Line Card</t>
      </text>
    </comment>
    <comment authorId="0" ref="D19">
      <text>
        <t xml:space="preserve">l7aur:
AP Line Card</t>
      </text>
    </comment>
    <comment authorId="0" ref="D20">
      <text>
        <t xml:space="preserve">l7aur:
Redundancy</t>
      </text>
    </comment>
    <comment authorId="0" ref="C31">
      <text>
        <t xml:space="preserve">l7aur:
+2 x APC SRT192BP2
=&gt; 20 minutes running time on failure
</t>
      </text>
    </comment>
    <comment authorId="0" ref="C32">
      <text>
        <t xml:space="preserve">l7aur:
+2 x APC SRT192BP2
=&gt; 20 minutes running time on failure
</t>
      </text>
    </comment>
    <comment authorId="0" ref="C33">
      <text>
        <t xml:space="preserve">l7aur:
+2 x APC SRT192BP2
=&gt; 20 minutes running time on failure
</t>
      </text>
    </comment>
    <comment authorId="0" ref="C34">
      <text>
        <t xml:space="preserve">l7aur:
+2 x APC SRT192BP2
=&gt; 20 minutes running time on failure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5">
      <text>
        <t xml:space="preserve">l7aur:
2 X WS Line Card</t>
      </text>
    </comment>
    <comment authorId="0" ref="D16">
      <text>
        <t xml:space="preserve">l7aur:
2 X WS Line Card</t>
      </text>
    </comment>
    <comment authorId="0" ref="D17">
      <text>
        <t xml:space="preserve">l7aur:
WS Line Card + IP Phone Line Card</t>
      </text>
    </comment>
    <comment authorId="0" ref="D18">
      <text>
        <t xml:space="preserve">l7aur:
Supervisor + OF Line Card</t>
      </text>
    </comment>
    <comment authorId="0" ref="D19">
      <text>
        <t xml:space="preserve">l7aur:
AP Line Card</t>
      </text>
    </comment>
    <comment authorId="0" ref="D20">
      <text>
        <t xml:space="preserve">l7aur:
Redundancy</t>
      </text>
    </comment>
    <comment authorId="0" ref="C31">
      <text>
        <t xml:space="preserve">l7aur:
+2 x APC SRT192BP2
=&gt; 20 minutes running time on failure
</t>
      </text>
    </comment>
    <comment authorId="0" ref="C32">
      <text>
        <t xml:space="preserve">l7aur:
+2 x APC SRT192BP2
=&gt; 20 minutes running time on failure
</t>
      </text>
    </comment>
    <comment authorId="0" ref="C33">
      <text>
        <t xml:space="preserve">l7aur:
+2 x APC SRT192BP2
=&gt; 20 minutes running time on failure
</t>
      </text>
    </comment>
    <comment authorId="0" ref="C34">
      <text>
        <t xml:space="preserve">l7aur:
+2 x APC SRT192BP2
=&gt; 20 minutes running time on failure</t>
      </text>
    </comment>
  </commentList>
</comments>
</file>

<file path=xl/sharedStrings.xml><?xml version="1.0" encoding="utf-8"?>
<sst xmlns="http://schemas.openxmlformats.org/spreadsheetml/2006/main" count="1004" uniqueCount="394">
  <si>
    <t>Room Nr</t>
  </si>
  <si>
    <t>Connected to DF</t>
  </si>
  <si>
    <t>Length m</t>
  </si>
  <si>
    <t>Width m</t>
  </si>
  <si>
    <t>Size sqm</t>
  </si>
  <si>
    <t>Nr Dou_Outlets</t>
  </si>
  <si>
    <t>Dist_To_DF</t>
  </si>
  <si>
    <t>AVG_In Room</t>
  </si>
  <si>
    <t>Cable for room</t>
  </si>
  <si>
    <t>Room Type</t>
  </si>
  <si>
    <t>1.1</t>
  </si>
  <si>
    <t>MDF</t>
  </si>
  <si>
    <t>A</t>
  </si>
  <si>
    <t>1.2</t>
  </si>
  <si>
    <t>B</t>
  </si>
  <si>
    <t>1.3</t>
  </si>
  <si>
    <t>1.4</t>
  </si>
  <si>
    <t>C</t>
  </si>
  <si>
    <t>1.5</t>
  </si>
  <si>
    <t>1.6</t>
  </si>
  <si>
    <t>1.7</t>
  </si>
  <si>
    <t>1.8</t>
  </si>
  <si>
    <t>1.9</t>
  </si>
  <si>
    <t>BATHROOM</t>
  </si>
  <si>
    <t>1.10</t>
  </si>
  <si>
    <t>1.11</t>
  </si>
  <si>
    <t>D</t>
  </si>
  <si>
    <t>1.12</t>
  </si>
  <si>
    <t>F</t>
  </si>
  <si>
    <t>1.13</t>
  </si>
  <si>
    <t>E</t>
  </si>
  <si>
    <t>1.14</t>
  </si>
  <si>
    <t>1.15</t>
  </si>
  <si>
    <t>1.16</t>
  </si>
  <si>
    <t>1.17</t>
  </si>
  <si>
    <t>1.22</t>
  </si>
  <si>
    <t>G</t>
  </si>
  <si>
    <t>Subtotal MDF</t>
  </si>
  <si>
    <t>1.18</t>
  </si>
  <si>
    <t>IDF1</t>
  </si>
  <si>
    <t>1.19</t>
  </si>
  <si>
    <t>1.20</t>
  </si>
  <si>
    <t>1.21</t>
  </si>
  <si>
    <t>1.23</t>
  </si>
  <si>
    <t>1.24</t>
  </si>
  <si>
    <t>H</t>
  </si>
  <si>
    <t>1.25</t>
  </si>
  <si>
    <t>1.26</t>
  </si>
  <si>
    <t>I</t>
  </si>
  <si>
    <t>1.27</t>
  </si>
  <si>
    <t>1.28</t>
  </si>
  <si>
    <t>1.29</t>
  </si>
  <si>
    <t>J</t>
  </si>
  <si>
    <t>1.30</t>
  </si>
  <si>
    <t>1.31</t>
  </si>
  <si>
    <t>1.32</t>
  </si>
  <si>
    <t>1.33</t>
  </si>
  <si>
    <t>1.34</t>
  </si>
  <si>
    <t>1.35</t>
  </si>
  <si>
    <t>1.36</t>
  </si>
  <si>
    <t>K</t>
  </si>
  <si>
    <t>1.37</t>
  </si>
  <si>
    <t>1.38</t>
  </si>
  <si>
    <t>1.39</t>
  </si>
  <si>
    <t>1.40</t>
  </si>
  <si>
    <t>1.41</t>
  </si>
  <si>
    <t>Subtotal IDF1</t>
  </si>
  <si>
    <t>2.1</t>
  </si>
  <si>
    <t>IDF2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</si>
  <si>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</si>
  <si>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</si>
  <si>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</si>
  <si>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</si>
  <si>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</si>
  <si>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</si>
  <si>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</si>
  <si>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</si>
  <si>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</si>
  <si>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</si>
  <si>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</si>
  <si>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</si>
  <si>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</si>
  <si>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</si>
  <si>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</si>
  <si>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</si>
  <si>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2.22</t>
  </si>
  <si>
    <t>Subtotal IDF2</t>
  </si>
  <si>
    <t>2.18</t>
  </si>
  <si>
    <t>IDF3</t>
  </si>
  <si>
    <t>2.19</t>
  </si>
  <si>
    <t>2.20</t>
  </si>
  <si>
    <t>2.21</t>
  </si>
  <si>
    <t>2.23</t>
  </si>
  <si>
    <t>2.24/25</t>
  </si>
  <si>
    <t>L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</si>
  <si>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</si>
  <si>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</si>
  <si>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</si>
  <si>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</si>
  <si>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</si>
  <si>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</si>
  <si>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</si>
  <si>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</si>
  <si>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</si>
  <si>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</si>
  <si>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</si>
  <si>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</si>
  <si>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</si>
  <si>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</si>
  <si>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</si>
  <si>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</si>
  <si>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Subtotal IDF3</t>
  </si>
  <si>
    <t>Total_Build</t>
  </si>
  <si>
    <t>305M Boxes</t>
  </si>
  <si>
    <t>2km Rols</t>
  </si>
  <si>
    <t>To check AVG linkspan</t>
  </si>
  <si>
    <t>Adapt technical reserve amount of cable according to design, example is for 3m, could be more</t>
  </si>
  <si>
    <t>Do not change</t>
  </si>
  <si>
    <t>From your design</t>
  </si>
  <si>
    <t>From detailed calcullus of prototype room/rooms</t>
  </si>
  <si>
    <t>Fiber optic cable length</t>
  </si>
  <si>
    <t>Cable Source</t>
  </si>
  <si>
    <t>Target</t>
  </si>
  <si>
    <t>Length (m)</t>
  </si>
  <si>
    <t>A0</t>
  </si>
  <si>
    <t>B0</t>
  </si>
  <si>
    <t>B1</t>
  </si>
  <si>
    <t>A1</t>
  </si>
  <si>
    <t>C0</t>
  </si>
  <si>
    <t>D0</t>
  </si>
  <si>
    <t>D1</t>
  </si>
  <si>
    <t>C1</t>
  </si>
  <si>
    <t>Total fiber optic cable length</t>
  </si>
  <si>
    <t>Device</t>
  </si>
  <si>
    <t>Estimated Average Traffic [Mpbs]</t>
  </si>
  <si>
    <t>Workstation</t>
  </si>
  <si>
    <t>IP phone</t>
  </si>
  <si>
    <t>Access Point</t>
  </si>
  <si>
    <t>Concurrency factor</t>
  </si>
  <si>
    <t>Floor</t>
  </si>
  <si>
    <t>Number of rooms</t>
  </si>
  <si>
    <t>Total Estimated Traffic [Gbps]</t>
  </si>
  <si>
    <t>Estimated Traffic/Room [Gbps]</t>
  </si>
  <si>
    <t>Number of workstations</t>
  </si>
  <si>
    <t>Number of IP phones</t>
  </si>
  <si>
    <t>Number of access points</t>
  </si>
  <si>
    <t>Number of simple outlets</t>
  </si>
  <si>
    <t>GROUND FLOOR</t>
  </si>
  <si>
    <t>FIRST FLOOR</t>
  </si>
  <si>
    <t>Estimated peak traffic value in network [Gbps]</t>
  </si>
  <si>
    <t>Total number of simple outlets</t>
  </si>
  <si>
    <t>Total number of IP Phones</t>
  </si>
  <si>
    <t>Total number of AP</t>
  </si>
  <si>
    <t>Total number of WS</t>
  </si>
  <si>
    <t>DF</t>
  </si>
  <si>
    <t>Number of WS</t>
  </si>
  <si>
    <t>Number of AP</t>
  </si>
  <si>
    <t>Number of IP Phones</t>
  </si>
  <si>
    <t>Number of Room Types Covered</t>
  </si>
  <si>
    <t>Total outlets</t>
  </si>
  <si>
    <t>Equipment</t>
  </si>
  <si>
    <t>Type</t>
  </si>
  <si>
    <t>Choice 1 (CISCO)</t>
  </si>
  <si>
    <t>Choice 2</t>
  </si>
  <si>
    <t>Name</t>
  </si>
  <si>
    <t>Required number/DF</t>
  </si>
  <si>
    <t>Price</t>
  </si>
  <si>
    <t>Link</t>
  </si>
  <si>
    <t>Wireless Mangement</t>
  </si>
  <si>
    <t>CW9800L</t>
  </si>
  <si>
    <t>link</t>
  </si>
  <si>
    <t>HPE Aruba Networking Central</t>
  </si>
  <si>
    <t>subscription</t>
  </si>
  <si>
    <t>CHASSIS</t>
  </si>
  <si>
    <t>Cisco Catalyst 9410R</t>
  </si>
  <si>
    <t>HPE Aruba Networking CX 6410 v2 Switch</t>
  </si>
  <si>
    <t>SUPERVISOR</t>
  </si>
  <si>
    <t>C9400-SUP-1XL</t>
  </si>
  <si>
    <t>HPE Aruba Networking CX 6400 Management Module</t>
  </si>
  <si>
    <t>LINE CARD (WS)</t>
  </si>
  <si>
    <t>C9400-LC-48P</t>
  </si>
  <si>
    <t>HPE Aruba Networking CX 6400 R0X39C</t>
  </si>
  <si>
    <t>LINE CARD (IPPHONE)</t>
  </si>
  <si>
    <t>OF CONNECTOR</t>
  </si>
  <si>
    <t>QSFP+</t>
  </si>
  <si>
    <t>HP JL310A</t>
  </si>
  <si>
    <t>LINE CARD (OF)</t>
  </si>
  <si>
    <t>C9400-LC-12QC (12x40GE)</t>
  </si>
  <si>
    <t>HPE Aruba Networking CX 6400 R0X45C</t>
  </si>
  <si>
    <t>LINE CARD (AP)</t>
  </si>
  <si>
    <t>C9400-LC-48UX</t>
  </si>
  <si>
    <t>HPE Aruba Networking CX 6400 24p S1T83A</t>
  </si>
  <si>
    <t>ACCESS POINT</t>
  </si>
  <si>
    <t>Cisco Wireless 9178</t>
  </si>
  <si>
    <t>HPE Aruba Networking AP‑765 </t>
  </si>
  <si>
    <t>FIREWALL</t>
  </si>
  <si>
    <t>Cisco Secure Firewall 4245</t>
  </si>
  <si>
    <t>152,257.81</t>
  </si>
  <si>
    <t>PALO-ALTO PA-3440</t>
  </si>
  <si>
    <t>IP PHONES</t>
  </si>
  <si>
    <t>Cisco IP Phone 8861</t>
  </si>
  <si>
    <t>HP 82M93AA</t>
  </si>
  <si>
    <t>C9400-LC-12QC</t>
  </si>
  <si>
    <t>Cisco Wireless 9179F</t>
  </si>
  <si>
    <t>Public Ip</t>
  </si>
  <si>
    <t>Private Ip</t>
  </si>
  <si>
    <t>109.103.42.124</t>
  </si>
  <si>
    <t>10.10.0.0</t>
  </si>
  <si>
    <t>VLAN Name</t>
  </si>
  <si>
    <t>Network ID</t>
  </si>
  <si>
    <t>Gateway</t>
  </si>
  <si>
    <t>Last Usable IP</t>
  </si>
  <si>
    <t>Broadcast</t>
  </si>
  <si>
    <t>Mask</t>
  </si>
  <si>
    <t>Target Use</t>
  </si>
  <si>
    <t>Max Capacity</t>
  </si>
  <si>
    <t>Management</t>
  </si>
  <si>
    <t>10.10.10.0</t>
  </si>
  <si>
    <t>10.10.10.1</t>
  </si>
  <si>
    <t>10.10.10.126</t>
  </si>
  <si>
    <t>10.10.10.127</t>
  </si>
  <si>
    <t>/25</t>
  </si>
  <si>
    <t>IP Phones</t>
  </si>
  <si>
    <t>10.10.20.0</t>
  </si>
  <si>
    <t>10.10.20.1</t>
  </si>
  <si>
    <t>10.10.20.254</t>
  </si>
  <si>
    <t>10.10.20.255</t>
  </si>
  <si>
    <t>/24</t>
  </si>
  <si>
    <t>WLAN</t>
  </si>
  <si>
    <t>10.10.32.0</t>
  </si>
  <si>
    <t>10.10.32.1</t>
  </si>
  <si>
    <t>10.10.35.254</t>
  </si>
  <si>
    <t>10.10.35.255</t>
  </si>
  <si>
    <t>/22</t>
  </si>
  <si>
    <t>HR</t>
  </si>
  <si>
    <t>10.10.100.0</t>
  </si>
  <si>
    <t>10.10.100.1</t>
  </si>
  <si>
    <t>10.10.100.62</t>
  </si>
  <si>
    <t>10.10.100.63</t>
  </si>
  <si>
    <t>/26</t>
  </si>
  <si>
    <t>Finance</t>
  </si>
  <si>
    <t>10.10.100.64</t>
  </si>
  <si>
    <t>10.10.100.65</t>
  </si>
  <si>
    <t>10.10.100.126</t>
  </si>
  <si>
    <t>10.10.100.127</t>
  </si>
  <si>
    <t>IT_Ops</t>
  </si>
  <si>
    <t>10.10.100.128</t>
  </si>
  <si>
    <t>10.10.100.129</t>
  </si>
  <si>
    <t>10.10.100.190</t>
  </si>
  <si>
    <t>10.10.100.191</t>
  </si>
  <si>
    <t>Legal</t>
  </si>
  <si>
    <t>10.10.100.192</t>
  </si>
  <si>
    <t>10.10.100.193</t>
  </si>
  <si>
    <t>10.10.100.254</t>
  </si>
  <si>
    <t>10.10.100.255</t>
  </si>
  <si>
    <t>Sales_A</t>
  </si>
  <si>
    <t>10.10.101.0</t>
  </si>
  <si>
    <t>10.10.101.1</t>
  </si>
  <si>
    <t>10.10.101.62</t>
  </si>
  <si>
    <t>10.10.101.63</t>
  </si>
  <si>
    <t>Sales_B</t>
  </si>
  <si>
    <t>10.10.101.64</t>
  </si>
  <si>
    <t>10.10.101.65</t>
  </si>
  <si>
    <t>10.10.101.126</t>
  </si>
  <si>
    <t>10.10.101.127</t>
  </si>
  <si>
    <t>Sales_C</t>
  </si>
  <si>
    <t>10.10.101.128</t>
  </si>
  <si>
    <t>10.10.101.129</t>
  </si>
  <si>
    <t>10.10.101.190</t>
  </si>
  <si>
    <t>10.10.101.191</t>
  </si>
  <si>
    <t>Sales_D</t>
  </si>
  <si>
    <t>10.10.101.192</t>
  </si>
  <si>
    <t>10.10.101.193</t>
  </si>
  <si>
    <t>10.10.101.254</t>
  </si>
  <si>
    <t>10.10.101.255</t>
  </si>
  <si>
    <t>Marketing_A</t>
  </si>
  <si>
    <t>10.10.102.0</t>
  </si>
  <si>
    <t>10.10.102.1</t>
  </si>
  <si>
    <t>10.10.102.62</t>
  </si>
  <si>
    <t>10.10.102.63</t>
  </si>
  <si>
    <t>Marketing_B</t>
  </si>
  <si>
    <t>10.10.102.64</t>
  </si>
  <si>
    <t>10.10.102.65</t>
  </si>
  <si>
    <t>10.10.102.126</t>
  </si>
  <si>
    <t>10.10.102.127</t>
  </si>
  <si>
    <t>Frontend_Dev</t>
  </si>
  <si>
    <t>10.10.102.128</t>
  </si>
  <si>
    <t>10.10.102.129</t>
  </si>
  <si>
    <t>10.10.102.190</t>
  </si>
  <si>
    <t>10.10.102.191</t>
  </si>
  <si>
    <t>Backend_Dev</t>
  </si>
  <si>
    <t>10.10.102.192</t>
  </si>
  <si>
    <t>10.10.102.193</t>
  </si>
  <si>
    <t>10.10.102.254</t>
  </si>
  <si>
    <t>10.10.102.255</t>
  </si>
  <si>
    <t>QA_Test</t>
  </si>
  <si>
    <t>10.10.103.0</t>
  </si>
  <si>
    <t>10.10.103.1</t>
  </si>
  <si>
    <t>10.10.103.62</t>
  </si>
  <si>
    <t>10.10.103.63</t>
  </si>
  <si>
    <t>Logistics</t>
  </si>
  <si>
    <t>10.10.103.64</t>
  </si>
  <si>
    <t>10.10.103.65</t>
  </si>
  <si>
    <t>10.10.103.126</t>
  </si>
  <si>
    <t>10.10.103.127</t>
  </si>
  <si>
    <t>Purchasing</t>
  </si>
  <si>
    <t>10.10.103.128</t>
  </si>
  <si>
    <t>10.10.103.129</t>
  </si>
  <si>
    <t>10.10.103.190</t>
  </si>
  <si>
    <t>10.10.103.191</t>
  </si>
  <si>
    <t>Exec_Suite</t>
  </si>
  <si>
    <t>10.10.103.192</t>
  </si>
  <si>
    <t>10.10.103.193</t>
  </si>
  <si>
    <t>10.10.103.254</t>
  </si>
  <si>
    <t>10.10.103.255</t>
  </si>
  <si>
    <t>DevOps_A</t>
  </si>
  <si>
    <t>10.10.104.0</t>
  </si>
  <si>
    <t>10.10.104.1</t>
  </si>
  <si>
    <t>10.10.104.62</t>
  </si>
  <si>
    <t>10.10.104.63</t>
  </si>
  <si>
    <t>DevOps_B</t>
  </si>
  <si>
    <t>10.10.104.64</t>
  </si>
  <si>
    <t>10.10.104.65</t>
  </si>
  <si>
    <t>10.10.104.126</t>
  </si>
  <si>
    <t>10.10.104.127</t>
  </si>
  <si>
    <t>SRE_Internal</t>
  </si>
  <si>
    <t>10.10.104.128</t>
  </si>
  <si>
    <t>10.10.104.129</t>
  </si>
  <si>
    <t>10.10.104.190</t>
  </si>
  <si>
    <t>10.10.104.191</t>
  </si>
  <si>
    <t>Security_Ops</t>
  </si>
  <si>
    <t>10.10.104.192</t>
  </si>
  <si>
    <t>10.10.104.193</t>
  </si>
  <si>
    <t>10.10.104.254</t>
  </si>
  <si>
    <t>10.10.104.255</t>
  </si>
  <si>
    <t>Training_Lab</t>
  </si>
  <si>
    <t>10.10.105.0</t>
  </si>
  <si>
    <t>10.10.105.1</t>
  </si>
  <si>
    <t>10.10.105.62</t>
  </si>
  <si>
    <t>10.10.105.63</t>
  </si>
  <si>
    <t>Total target Use</t>
  </si>
  <si>
    <t>Max IP capacity</t>
  </si>
  <si>
    <t>Open Frame Server 55U Rack</t>
  </si>
  <si>
    <t>ORG Vert</t>
  </si>
  <si>
    <t>Spatiu ocupat in U</t>
  </si>
  <si>
    <t>Denumire/ tip echipament</t>
  </si>
  <si>
    <t xml:space="preserve">Model </t>
  </si>
  <si>
    <t>Scurta descriere/ nr porturi</t>
  </si>
  <si>
    <t>Putere electrica W</t>
  </si>
  <si>
    <t>Caldura disipata BTU/h</t>
  </si>
  <si>
    <t>Organizator de cabluri vertical</t>
  </si>
  <si>
    <t>OF Patch Panel</t>
  </si>
  <si>
    <t>PP-72X100G-MMF</t>
  </si>
  <si>
    <t>Chassis</t>
  </si>
  <si>
    <t>Supervisor</t>
  </si>
  <si>
    <t>OF Line Card</t>
  </si>
  <si>
    <t>Line Card (WS)</t>
  </si>
  <si>
    <t>Line Card (IP Phone)</t>
  </si>
  <si>
    <t>Line Card (AP)</t>
  </si>
  <si>
    <t>Power Supply</t>
  </si>
  <si>
    <t>PWR-C4-3200WAC</t>
  </si>
  <si>
    <t>Catalyst 9410R Fan Tray</t>
  </si>
  <si>
    <t>C9410-FAN</t>
  </si>
  <si>
    <t>UTP Patch Panel</t>
  </si>
  <si>
    <t>CPPKL6ATG48WBL</t>
  </si>
  <si>
    <t>EMPTY SPACE FOR VENTILATION</t>
  </si>
  <si>
    <t>Firewall</t>
  </si>
  <si>
    <t>Firewall 4245 Fan Module</t>
  </si>
  <si>
    <t>FPR4200-FAN</t>
  </si>
  <si>
    <t>UPS</t>
  </si>
  <si>
    <t>SRT10KXLT</t>
  </si>
  <si>
    <t>Total</t>
  </si>
  <si>
    <t>Required UPS power [W]</t>
  </si>
  <si>
    <t>Available UPS power [W]</t>
  </si>
  <si>
    <t>Consum  electric AC</t>
  </si>
  <si>
    <t>Racire AC</t>
  </si>
  <si>
    <t>AC 1</t>
  </si>
  <si>
    <t>Daikin DFC090</t>
  </si>
  <si>
    <t>AC 2</t>
  </si>
  <si>
    <t>Nr prize simple de conectat la acest DF, valoarea se ia din etapa 2</t>
  </si>
  <si>
    <t>Nr prize disponibil in PP UTP in acest rack</t>
  </si>
  <si>
    <t>Note</t>
  </si>
  <si>
    <t>Se lasa loc liber in Rack cca 10-20% din spatiu pentru dezvoltari ulterioare</t>
  </si>
  <si>
    <t>Daca nu incape intrun singur Rack se pot pune mai multe in fieacre DF, UPS /uri se pun in fiecare Rack</t>
  </si>
  <si>
    <t>Rack sunt de maxim 48 U sau 52 U inaltime</t>
  </si>
  <si>
    <t>Puterea disponibila in UPS sa fie cu 30% mai mare decat total putere necesar</t>
  </si>
  <si>
    <t>Daca sunt mai multe UPS-uri se distribuie sarcina intre ele</t>
  </si>
  <si>
    <t>Capacitatea bateriilor/acumultorilor din UPS se determina in asa fel incat sa asigure o functionare de 30 la 60 minute la sarcina medie</t>
  </si>
  <si>
    <t>Total porturi UTP din Switchuri intre 70 si 100 % din nr de prize simple care se conecteaza la un DF, functie de strategia aleasa</t>
  </si>
  <si>
    <t xml:space="preserve"> nr de porturi total din Patch Pannel UTP trebuie sa fie mai mare sau egal cu nr de prize simple care se conecteaza la un DF</t>
  </si>
  <si>
    <t>Echipamentele de racire se pun in fiecare DF si vor trebuii sa aibe capacitatea de racire cu cca 30% mai mare decat total Caldura dispata</t>
  </si>
  <si>
    <t>Echipamentele de racire, Aer Conditionat de uz industrial nu sunt alimentate din UPS</t>
  </si>
  <si>
    <t>Foia de calcul se replica pentru fiecare DF in parte</t>
  </si>
  <si>
    <t>Open Frame Server 52U Rack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</si>
</sst>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EUR]"/>
  </numFmts>
  <fonts count="26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/>
    <font>
      <b/>
      <sz val="12.0"/>
      <color theme="1"/>
      <name val="Calibri"/>
    </font>
    <font>
      <b/>
      <sz val="12.0"/>
      <color rgb="FF000000"/>
      <name val="Calibri"/>
    </font>
    <font>
      <sz val="12.0"/>
      <color rgb="FF000000"/>
      <name val="Calibri"/>
    </font>
    <font>
      <sz val="12.0"/>
      <color theme="1"/>
      <name val="Calibri"/>
    </font>
    <font>
      <u/>
      <sz val="11.0"/>
      <color theme="10"/>
      <name val="Calibri"/>
    </font>
    <font>
      <u/>
      <sz val="11.0"/>
      <color theme="10"/>
      <name val="Calibri"/>
    </font>
    <font>
      <u/>
      <sz val="11.0"/>
      <color theme="10"/>
      <name val="Calibri"/>
    </font>
    <font>
      <u/>
      <sz val="11.0"/>
      <color theme="10"/>
      <name val="Calibri"/>
    </font>
    <font>
      <u/>
      <sz val="11.0"/>
      <color theme="10"/>
      <name val="Calibri"/>
    </font>
    <font>
      <u/>
      <sz val="11.0"/>
      <color theme="10"/>
      <name val="Calibri"/>
    </font>
    <font>
      <u/>
      <sz val="11.0"/>
      <color theme="10"/>
      <name val="Calibri"/>
    </font>
    <font>
      <u/>
      <sz val="11.0"/>
      <color theme="10"/>
      <name val="Calibri"/>
    </font>
    <font>
      <u/>
      <sz val="11.0"/>
      <color theme="10"/>
      <name val="Calibri"/>
    </font>
    <font>
      <u/>
      <sz val="11.0"/>
      <color theme="10"/>
      <name val="Calibri"/>
    </font>
    <font>
      <color rgb="FF1F1F1F"/>
      <name val="&quot;Google Sans Text&quot;"/>
    </font>
    <font>
      <b/>
      <color rgb="FF1F1F1F"/>
      <name val="&quot;Google Sans Text&quot;"/>
    </font>
    <font>
      <u/>
      <sz val="11.0"/>
      <color theme="0"/>
      <name val="Calibri"/>
    </font>
    <font>
      <u/>
      <sz val="11.0"/>
      <color theme="10"/>
      <name val="Calibri"/>
    </font>
    <font>
      <u/>
      <sz val="11.0"/>
      <color theme="10"/>
      <name val="Calibri"/>
    </font>
    <font>
      <u/>
      <sz val="11.0"/>
      <color theme="10"/>
      <name val="Calibri"/>
    </font>
    <font>
      <b/>
      <sz val="14.0"/>
      <color theme="1"/>
      <name val="Calibri"/>
    </font>
    <font>
      <u/>
      <sz val="11.0"/>
      <color theme="10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B4C6E7"/>
        <bgColor rgb="FFB4C6E7"/>
      </patternFill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rgb="FFD6DCE4"/>
        <bgColor rgb="FFD6DCE4"/>
      </patternFill>
    </fill>
    <fill>
      <patternFill patternType="solid">
        <fgColor rgb="FFC5E0B3"/>
        <bgColor rgb="FFC5E0B3"/>
      </patternFill>
    </fill>
    <fill>
      <patternFill patternType="solid">
        <fgColor rgb="FF9999FF"/>
        <bgColor rgb="FF9999FF"/>
      </patternFill>
    </fill>
    <fill>
      <patternFill patternType="solid">
        <fgColor rgb="FFC00000"/>
        <bgColor rgb="FFC00000"/>
      </patternFill>
    </fill>
    <fill>
      <patternFill patternType="solid">
        <fgColor rgb="FFF7CAAC"/>
        <bgColor rgb="FFF7CAAC"/>
      </patternFill>
    </fill>
    <fill>
      <patternFill patternType="solid">
        <fgColor rgb="FF7030A0"/>
        <bgColor rgb="FF7030A0"/>
      </patternFill>
    </fill>
    <fill>
      <patternFill patternType="solid">
        <fgColor rgb="FFA5A5A5"/>
        <bgColor rgb="FFA5A5A5"/>
      </patternFill>
    </fill>
    <fill>
      <patternFill patternType="solid">
        <fgColor rgb="FFF4B083"/>
        <bgColor rgb="FFF4B083"/>
      </patternFill>
    </fill>
    <fill>
      <patternFill patternType="solid">
        <fgColor rgb="FFA8D08D"/>
        <bgColor rgb="FFA8D08D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FF0000"/>
      </patternFill>
    </fill>
    <fill>
      <patternFill patternType="solid">
        <fgColor rgb="FFFF6400"/>
        <bgColor rgb="FFFF6400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D8D8D8"/>
        <bgColor rgb="FFD8D8D8"/>
      </patternFill>
    </fill>
  </fills>
  <borders count="1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/>
      <right style="thin">
        <color rgb="FF000000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bottom/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</border>
    <border>
      <left style="thin">
        <color rgb="FF000000"/>
      </left>
      <top/>
    </border>
    <border>
      <top/>
    </border>
    <border>
      <right/>
      <top/>
    </border>
    <border>
      <left/>
      <right/>
      <bottom style="medium">
        <color rgb="FF000000"/>
      </bottom>
    </border>
    <border>
      <bottom style="medium">
        <color rgb="FF000000"/>
      </bottom>
    </border>
    <border>
      <right/>
      <bottom style="medium">
        <color rgb="FF000000"/>
      </bottom>
    </border>
    <border>
      <left/>
      <right style="thin">
        <color rgb="FF000000"/>
      </right>
      <bottom style="medium">
        <color rgb="FF000000"/>
      </bottom>
    </border>
    <border>
      <left/>
      <right style="thin">
        <color rgb="FF000000"/>
      </right>
      <top/>
      <bottom style="medium">
        <color rgb="FF000000"/>
      </bottom>
    </border>
    <border>
      <left/>
      <right/>
      <top style="medium">
        <color rgb="FF000000"/>
      </top>
    </border>
    <border>
      <right/>
      <top style="medium">
        <color rgb="FF000000"/>
      </top>
    </border>
    <border>
      <left style="medium">
        <color rgb="FF000000"/>
      </left>
      <right/>
      <top/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234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1" numFmtId="2" xfId="0" applyBorder="1" applyFont="1" applyNumberFormat="1"/>
    <xf borderId="1" fillId="0" fontId="1" numFmtId="49" xfId="0" applyBorder="1" applyFont="1" applyNumberFormat="1"/>
    <xf borderId="1" fillId="2" fontId="2" numFmtId="49" xfId="0" applyBorder="1" applyFill="1" applyFont="1" applyNumberFormat="1"/>
    <xf borderId="1" fillId="2" fontId="2" numFmtId="2" xfId="0" applyBorder="1" applyFont="1" applyNumberFormat="1"/>
    <xf borderId="1" fillId="3" fontId="2" numFmtId="0" xfId="0" applyBorder="1" applyFill="1" applyFont="1"/>
    <xf borderId="1" fillId="2" fontId="2" numFmtId="0" xfId="0" applyBorder="1" applyFont="1"/>
    <xf borderId="1" fillId="4" fontId="2" numFmtId="2" xfId="0" applyBorder="1" applyFill="1" applyFont="1" applyNumberFormat="1"/>
    <xf borderId="1" fillId="5" fontId="2" numFmtId="0" xfId="0" applyBorder="1" applyFill="1" applyFont="1"/>
    <xf borderId="1" fillId="6" fontId="2" numFmtId="49" xfId="0" applyBorder="1" applyFill="1" applyFont="1" applyNumberFormat="1"/>
    <xf borderId="1" fillId="7" fontId="2" numFmtId="49" xfId="0" applyBorder="1" applyFill="1" applyFont="1" applyNumberFormat="1"/>
    <xf borderId="2" fillId="7" fontId="2" numFmtId="49" xfId="0" applyAlignment="1" applyBorder="1" applyFont="1" applyNumberForma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1" fillId="8" fontId="2" numFmtId="49" xfId="0" applyBorder="1" applyFill="1" applyFont="1" applyNumberFormat="1"/>
    <xf borderId="5" fillId="8" fontId="1" numFmtId="49" xfId="0" applyAlignment="1" applyBorder="1" applyFont="1" applyNumberFormat="1">
      <alignment horizontal="center" vertical="center"/>
    </xf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0" fillId="0" fontId="1" numFmtId="0" xfId="0" applyFont="1"/>
    <xf borderId="0" fillId="0" fontId="1" numFmtId="2" xfId="0" applyFont="1" applyNumberFormat="1"/>
    <xf borderId="0" fillId="0" fontId="2" numFmtId="49" xfId="0" applyFont="1" applyNumberFormat="1"/>
    <xf borderId="1" fillId="9" fontId="2" numFmtId="2" xfId="0" applyBorder="1" applyFill="1" applyFont="1" applyNumberFormat="1"/>
    <xf borderId="5" fillId="8" fontId="1" numFmtId="0" xfId="0" applyAlignment="1" applyBorder="1" applyFont="1">
      <alignment horizontal="center" vertical="center"/>
    </xf>
    <xf borderId="2" fillId="7" fontId="2" numFmtId="0" xfId="0" applyAlignment="1" applyBorder="1" applyFont="1">
      <alignment horizontal="center" vertical="center"/>
    </xf>
    <xf borderId="0" fillId="0" fontId="2" numFmtId="2" xfId="0" applyFont="1" applyNumberFormat="1"/>
    <xf borderId="0" fillId="0" fontId="4" numFmtId="0" xfId="0" applyFont="1"/>
    <xf borderId="0" fillId="0" fontId="4" numFmtId="2" xfId="0" applyFont="1" applyNumberFormat="1"/>
    <xf borderId="0" fillId="0" fontId="2" numFmtId="0" xfId="0" applyAlignment="1" applyFont="1">
      <alignment horizontal="center"/>
    </xf>
    <xf borderId="11" fillId="5" fontId="4" numFmtId="0" xfId="0" applyAlignment="1" applyBorder="1" applyFont="1">
      <alignment horizontal="center" vertical="center"/>
    </xf>
    <xf borderId="12" fillId="0" fontId="3" numFmtId="0" xfId="0" applyBorder="1" applyFont="1"/>
    <xf borderId="13" fillId="0" fontId="3" numFmtId="0" xfId="0" applyBorder="1" applyFont="1"/>
    <xf borderId="11" fillId="3" fontId="4" numFmtId="0" xfId="0" applyAlignment="1" applyBorder="1" applyFont="1">
      <alignment horizontal="center" vertical="center"/>
    </xf>
    <xf borderId="11" fillId="2" fontId="4" numFmtId="0" xfId="0" applyAlignment="1" applyBorder="1" applyFont="1">
      <alignment horizontal="center" vertical="center"/>
    </xf>
    <xf borderId="11" fillId="4" fontId="4" numFmtId="0" xfId="0" applyAlignment="1" applyBorder="1" applyFont="1">
      <alignment horizontal="center" vertical="center"/>
    </xf>
    <xf borderId="14" fillId="0" fontId="5" numFmtId="0" xfId="0" applyAlignment="1" applyBorder="1" applyFont="1">
      <alignment horizontal="center" vertical="center"/>
    </xf>
    <xf borderId="15" fillId="0" fontId="3" numFmtId="0" xfId="0" applyBorder="1" applyFont="1"/>
    <xf borderId="16" fillId="0" fontId="3" numFmtId="0" xfId="0" applyBorder="1" applyFont="1"/>
    <xf borderId="0" fillId="0" fontId="5" numFmtId="0" xfId="0" applyAlignment="1" applyFont="1">
      <alignment vertical="center"/>
    </xf>
    <xf borderId="0" fillId="0" fontId="2" numFmtId="0" xfId="0" applyFont="1"/>
    <xf borderId="17" fillId="0" fontId="6" numFmtId="0" xfId="0" applyAlignment="1" applyBorder="1" applyFont="1">
      <alignment horizontal="center"/>
    </xf>
    <xf borderId="18" fillId="0" fontId="3" numFmtId="0" xfId="0" applyBorder="1" applyFont="1"/>
    <xf borderId="17" fillId="0" fontId="7" numFmtId="0" xfId="0" applyAlignment="1" applyBorder="1" applyFont="1">
      <alignment horizontal="center"/>
    </xf>
    <xf borderId="19" fillId="0" fontId="3" numFmtId="0" xfId="0" applyBorder="1" applyFont="1"/>
    <xf borderId="20" fillId="0" fontId="6" numFmtId="0" xfId="0" applyAlignment="1" applyBorder="1" applyFont="1">
      <alignment horizontal="center"/>
    </xf>
    <xf borderId="0" fillId="0" fontId="7" numFmtId="0" xfId="0" applyFont="1"/>
    <xf borderId="21" fillId="0" fontId="6" numFmtId="0" xfId="0" applyAlignment="1" applyBorder="1" applyFont="1">
      <alignment horizontal="center"/>
    </xf>
    <xf borderId="22" fillId="0" fontId="3" numFmtId="0" xfId="0" applyBorder="1" applyFont="1"/>
    <xf borderId="9" fillId="0" fontId="6" numFmtId="0" xfId="0" applyAlignment="1" applyBorder="1" applyFont="1">
      <alignment horizontal="center"/>
    </xf>
    <xf borderId="23" fillId="0" fontId="6" numFmtId="0" xfId="0" applyAlignment="1" applyBorder="1" applyFont="1">
      <alignment horizontal="center"/>
    </xf>
    <xf borderId="24" fillId="0" fontId="3" numFmtId="0" xfId="0" applyBorder="1" applyFont="1"/>
    <xf borderId="3" fillId="0" fontId="6" numFmtId="0" xfId="0" applyAlignment="1" applyBorder="1" applyFont="1">
      <alignment horizontal="center"/>
    </xf>
    <xf borderId="25" fillId="0" fontId="6" numFmtId="0" xfId="0" applyAlignment="1" applyBorder="1" applyFont="1">
      <alignment horizontal="center"/>
    </xf>
    <xf borderId="26" fillId="0" fontId="3" numFmtId="0" xfId="0" applyBorder="1" applyFont="1"/>
    <xf borderId="27" fillId="0" fontId="3" numFmtId="0" xfId="0" applyBorder="1" applyFont="1"/>
    <xf borderId="28" fillId="0" fontId="6" numFmtId="0" xfId="0" applyAlignment="1" applyBorder="1" applyFont="1">
      <alignment horizontal="center"/>
    </xf>
    <xf borderId="0" fillId="0" fontId="6" numFmtId="0" xfId="0" applyAlignment="1" applyFont="1">
      <alignment horizontal="center"/>
    </xf>
    <xf borderId="17" fillId="0" fontId="2" numFmtId="0" xfId="0" applyAlignment="1" applyBorder="1" applyFont="1">
      <alignment horizontal="center" vertical="center"/>
    </xf>
    <xf borderId="29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center" vertical="center"/>
    </xf>
    <xf borderId="21" fillId="0" fontId="2" numFmtId="0" xfId="0" applyAlignment="1" applyBorder="1" applyFont="1">
      <alignment horizontal="center" vertical="center"/>
    </xf>
    <xf borderId="30" fillId="0" fontId="2" numFmtId="0" xfId="0" applyAlignment="1" applyBorder="1" applyFont="1">
      <alignment horizontal="center" vertical="center"/>
    </xf>
    <xf borderId="23" fillId="0" fontId="2" numFmtId="0" xfId="0" applyAlignment="1" applyBorder="1" applyFont="1">
      <alignment horizontal="center" vertical="center"/>
    </xf>
    <xf borderId="31" fillId="0" fontId="2" numFmtId="0" xfId="0" applyAlignment="1" applyBorder="1" applyFont="1">
      <alignment horizontal="center" vertical="center"/>
    </xf>
    <xf borderId="25" fillId="0" fontId="2" numFmtId="0" xfId="0" applyAlignment="1" applyBorder="1" applyFont="1">
      <alignment horizontal="center" vertical="center"/>
    </xf>
    <xf borderId="32" fillId="0" fontId="2" numFmtId="0" xfId="0" applyAlignment="1" applyBorder="1" applyFont="1">
      <alignment horizontal="center" vertical="center"/>
    </xf>
    <xf borderId="14" fillId="0" fontId="2" numFmtId="0" xfId="0" applyAlignment="1" applyBorder="1" applyFont="1">
      <alignment horizontal="center" vertical="center"/>
    </xf>
    <xf borderId="33" fillId="0" fontId="2" numFmtId="0" xfId="0" applyAlignment="1" applyBorder="1" applyFont="1">
      <alignment horizontal="center" vertical="center"/>
    </xf>
    <xf borderId="15" fillId="0" fontId="2" numFmtId="0" xfId="0" applyAlignment="1" applyBorder="1" applyFont="1">
      <alignment horizontal="center" vertical="center"/>
    </xf>
    <xf borderId="34" fillId="0" fontId="2" numFmtId="0" xfId="0" applyAlignment="1" applyBorder="1" applyFont="1">
      <alignment horizontal="center" vertical="center"/>
    </xf>
    <xf borderId="35" fillId="0" fontId="3" numFmtId="0" xfId="0" applyBorder="1" applyFont="1"/>
    <xf borderId="36" fillId="0" fontId="2" numFmtId="0" xfId="0" applyAlignment="1" applyBorder="1" applyFont="1">
      <alignment horizontal="center" vertical="center"/>
    </xf>
    <xf borderId="37" fillId="0" fontId="2" numFmtId="0" xfId="0" applyAlignment="1" applyBorder="1" applyFont="1">
      <alignment horizontal="center" vertical="center"/>
    </xf>
    <xf borderId="38" fillId="0" fontId="3" numFmtId="0" xfId="0" applyBorder="1" applyFont="1"/>
    <xf borderId="3" fillId="0" fontId="2" numFmtId="0" xfId="0" applyAlignment="1" applyBorder="1" applyFont="1">
      <alignment horizontal="center" vertical="center"/>
    </xf>
    <xf borderId="39" fillId="0" fontId="3" numFmtId="0" xfId="0" applyBorder="1" applyFont="1"/>
    <xf borderId="28" fillId="0" fontId="2" numFmtId="0" xfId="0" applyAlignment="1" applyBorder="1" applyFont="1">
      <alignment horizontal="center" vertical="center"/>
    </xf>
    <xf borderId="40" fillId="0" fontId="2" numFmtId="0" xfId="0" applyAlignment="1" applyBorder="1" applyFont="1">
      <alignment horizontal="center" vertical="center"/>
    </xf>
    <xf borderId="41" fillId="0" fontId="2" numFmtId="0" xfId="0" applyAlignment="1" applyBorder="1" applyFont="1">
      <alignment horizontal="center" vertical="center"/>
    </xf>
    <xf borderId="42" fillId="0" fontId="2" numFmtId="0" xfId="0" applyAlignment="1" applyBorder="1" applyFont="1">
      <alignment horizontal="center" vertical="center"/>
    </xf>
    <xf borderId="43" fillId="0" fontId="3" numFmtId="0" xfId="0" applyBorder="1" applyFont="1"/>
    <xf borderId="44" fillId="0" fontId="2" numFmtId="0" xfId="0" applyAlignment="1" applyBorder="1" applyFont="1">
      <alignment horizontal="center" vertical="center"/>
    </xf>
    <xf borderId="45" fillId="0" fontId="2" numFmtId="0" xfId="0" applyAlignment="1" applyBorder="1" applyFont="1">
      <alignment horizontal="center" vertical="center"/>
    </xf>
    <xf borderId="37" fillId="0" fontId="3" numFmtId="0" xfId="0" applyBorder="1" applyFont="1"/>
    <xf borderId="46" fillId="0" fontId="3" numFmtId="0" xfId="0" applyBorder="1" applyFont="1"/>
    <xf borderId="47" fillId="0" fontId="3" numFmtId="0" xfId="0" applyBorder="1" applyFont="1"/>
    <xf borderId="48" fillId="0" fontId="3" numFmtId="0" xfId="0" applyBorder="1" applyFont="1"/>
    <xf borderId="49" fillId="0" fontId="3" numFmtId="0" xfId="0" applyBorder="1" applyFont="1"/>
    <xf borderId="50" fillId="0" fontId="2" numFmtId="0" xfId="0" applyAlignment="1" applyBorder="1" applyFont="1">
      <alignment horizontal="center" vertical="center"/>
    </xf>
    <xf borderId="51" fillId="0" fontId="2" numFmtId="0" xfId="0" applyAlignment="1" applyBorder="1" applyFont="1">
      <alignment horizontal="center" vertical="center"/>
    </xf>
    <xf borderId="9" fillId="0" fontId="2" numFmtId="0" xfId="0" applyAlignment="1" applyBorder="1" applyFont="1">
      <alignment horizontal="center" vertical="center"/>
    </xf>
    <xf borderId="52" fillId="0" fontId="2" numFmtId="0" xfId="0" applyAlignment="1" applyBorder="1" applyFont="1">
      <alignment horizontal="center" vertical="center"/>
    </xf>
    <xf borderId="53" fillId="0" fontId="2" numFmtId="0" xfId="0" applyAlignment="1" applyBorder="1" applyFont="1">
      <alignment horizontal="center" vertical="center"/>
    </xf>
    <xf borderId="21" fillId="0" fontId="3" numFmtId="0" xfId="0" applyBorder="1" applyFont="1"/>
    <xf borderId="54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vertical="center"/>
    </xf>
    <xf borderId="55" fillId="0" fontId="2" numFmtId="0" xfId="0" applyAlignment="1" applyBorder="1" applyFont="1">
      <alignment horizontal="center" vertical="center"/>
    </xf>
    <xf borderId="56" fillId="0" fontId="2" numFmtId="0" xfId="0" applyAlignment="1" applyBorder="1" applyFont="1">
      <alignment horizontal="center" vertical="center"/>
    </xf>
    <xf borderId="57" fillId="0" fontId="2" numFmtId="0" xfId="0" applyAlignment="1" applyBorder="1" applyFont="1">
      <alignment horizontal="center" vertical="center"/>
    </xf>
    <xf borderId="57" fillId="0" fontId="8" numFmtId="164" xfId="0" applyAlignment="1" applyBorder="1" applyFont="1" applyNumberFormat="1">
      <alignment horizontal="center" vertical="center"/>
    </xf>
    <xf borderId="58" fillId="0" fontId="9" numFmtId="0" xfId="0" applyAlignment="1" applyBorder="1" applyFont="1">
      <alignment horizontal="center" vertical="center"/>
    </xf>
    <xf borderId="57" fillId="0" fontId="2" numFmtId="164" xfId="0" applyAlignment="1" applyBorder="1" applyFont="1" applyNumberFormat="1">
      <alignment horizontal="center" vertical="center"/>
    </xf>
    <xf borderId="59" fillId="0" fontId="2" numFmtId="0" xfId="0" applyAlignment="1" applyBorder="1" applyFont="1">
      <alignment horizontal="center" vertical="center"/>
    </xf>
    <xf borderId="60" fillId="0" fontId="2" numFmtId="0" xfId="0" applyAlignment="1" applyBorder="1" applyFont="1">
      <alignment horizontal="center" vertical="center"/>
    </xf>
    <xf borderId="60" fillId="0" fontId="10" numFmtId="164" xfId="0" applyAlignment="1" applyBorder="1" applyFont="1" applyNumberFormat="1">
      <alignment horizontal="center" vertical="center"/>
    </xf>
    <xf borderId="61" fillId="0" fontId="11" numFmtId="0" xfId="0" applyAlignment="1" applyBorder="1" applyFont="1">
      <alignment horizontal="center" vertical="center"/>
    </xf>
    <xf borderId="16" fillId="0" fontId="2" numFmtId="0" xfId="0" applyAlignment="1" applyBorder="1" applyFont="1">
      <alignment horizontal="center" vertical="center"/>
    </xf>
    <xf borderId="1" fillId="0" fontId="12" numFmtId="164" xfId="0" applyAlignment="1" applyBorder="1" applyFont="1" applyNumberFormat="1">
      <alignment horizontal="center" vertical="center"/>
    </xf>
    <xf borderId="55" fillId="0" fontId="13" numFmtId="0" xfId="0" applyAlignment="1" applyBorder="1" applyFont="1">
      <alignment horizontal="center" vertical="center"/>
    </xf>
    <xf borderId="62" fillId="0" fontId="3" numFmtId="0" xfId="0" applyBorder="1" applyFont="1"/>
    <xf borderId="63" fillId="0" fontId="3" numFmtId="0" xfId="0" applyBorder="1" applyFont="1"/>
    <xf borderId="64" fillId="0" fontId="3" numFmtId="0" xfId="0" applyBorder="1" applyFont="1"/>
    <xf borderId="65" fillId="0" fontId="3" numFmtId="0" xfId="0" applyBorder="1" applyFont="1"/>
    <xf borderId="66" fillId="0" fontId="2" numFmtId="0" xfId="0" applyAlignment="1" applyBorder="1" applyFont="1">
      <alignment horizontal="center" vertical="center"/>
    </xf>
    <xf borderId="50" fillId="0" fontId="14" numFmtId="164" xfId="0" applyAlignment="1" applyBorder="1" applyFont="1" applyNumberFormat="1">
      <alignment horizontal="center" vertical="center"/>
    </xf>
    <xf borderId="51" fillId="0" fontId="15" numFmtId="0" xfId="0" applyAlignment="1" applyBorder="1" applyFont="1">
      <alignment horizontal="center" vertical="center"/>
    </xf>
    <xf borderId="67" fillId="0" fontId="3" numFmtId="0" xfId="0" applyBorder="1" applyFont="1"/>
    <xf borderId="63" fillId="0" fontId="2" numFmtId="0" xfId="0" applyAlignment="1" applyBorder="1" applyFont="1">
      <alignment horizontal="center" vertical="center"/>
    </xf>
    <xf borderId="64" fillId="0" fontId="2" numFmtId="0" xfId="0" applyAlignment="1" applyBorder="1" applyFont="1">
      <alignment horizontal="center" vertical="center"/>
    </xf>
    <xf borderId="64" fillId="0" fontId="16" numFmtId="164" xfId="0" applyAlignment="1" applyBorder="1" applyFont="1" applyNumberFormat="1">
      <alignment horizontal="center" vertical="center"/>
    </xf>
    <xf borderId="65" fillId="0" fontId="17" numFmtId="0" xfId="0" applyAlignment="1" applyBorder="1" applyFont="1">
      <alignment horizontal="center" vertical="center"/>
    </xf>
    <xf borderId="62" fillId="0" fontId="2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29" fillId="0" fontId="18" numFmtId="0" xfId="0" applyAlignment="1" applyBorder="1" applyFont="1">
      <alignment horizontal="center" readingOrder="0"/>
    </xf>
    <xf borderId="64" fillId="0" fontId="19" numFmtId="0" xfId="0" applyAlignment="1" applyBorder="1" applyFont="1">
      <alignment horizontal="center" readingOrder="0"/>
    </xf>
    <xf borderId="64" fillId="0" fontId="18" numFmtId="0" xfId="0" applyAlignment="1" applyBorder="1" applyFont="1">
      <alignment horizontal="center" readingOrder="0"/>
    </xf>
    <xf borderId="1" fillId="0" fontId="19" numFmtId="0" xfId="0" applyAlignment="1" applyBorder="1" applyFont="1">
      <alignment horizontal="center" readingOrder="0"/>
    </xf>
    <xf borderId="1" fillId="0" fontId="18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68" fillId="10" fontId="20" numFmtId="0" xfId="0" applyAlignment="1" applyBorder="1" applyFill="1" applyFont="1">
      <alignment horizontal="center" vertical="center"/>
    </xf>
    <xf borderId="69" fillId="0" fontId="3" numFmtId="0" xfId="0" applyBorder="1" applyFont="1"/>
    <xf borderId="70" fillId="0" fontId="3" numFmtId="0" xfId="0" applyBorder="1" applyFont="1"/>
    <xf borderId="71" fillId="0" fontId="2" numFmtId="0" xfId="0" applyAlignment="1" applyBorder="1" applyFont="1">
      <alignment horizontal="center" vertical="center"/>
    </xf>
    <xf borderId="72" fillId="0" fontId="2" numFmtId="0" xfId="0" applyAlignment="1" applyBorder="1" applyFont="1">
      <alignment horizontal="center" vertical="center"/>
    </xf>
    <xf borderId="73" fillId="0" fontId="2" numFmtId="0" xfId="0" applyAlignment="1" applyBorder="1" applyFont="1">
      <alignment horizontal="center" vertical="center"/>
    </xf>
    <xf borderId="33" fillId="0" fontId="2" numFmtId="0" xfId="0" applyAlignment="1" applyBorder="1" applyFont="1">
      <alignment horizontal="center" textRotation="255" vertical="center"/>
    </xf>
    <xf borderId="74" fillId="11" fontId="2" numFmtId="0" xfId="0" applyAlignment="1" applyBorder="1" applyFill="1" applyFont="1">
      <alignment horizontal="center" vertical="center"/>
    </xf>
    <xf borderId="75" fillId="11" fontId="2" numFmtId="0" xfId="0" applyAlignment="1" applyBorder="1" applyFont="1">
      <alignment horizontal="center" vertical="center"/>
    </xf>
    <xf borderId="76" fillId="11" fontId="2" numFmtId="0" xfId="0" applyAlignment="1" applyBorder="1" applyFont="1">
      <alignment horizontal="center" vertical="center"/>
    </xf>
    <xf borderId="77" fillId="12" fontId="2" numFmtId="0" xfId="0" applyAlignment="1" applyBorder="1" applyFill="1" applyFont="1">
      <alignment horizontal="center" vertical="center"/>
    </xf>
    <xf borderId="78" fillId="12" fontId="2" numFmtId="0" xfId="0" applyAlignment="1" applyBorder="1" applyFont="1">
      <alignment horizontal="center" vertical="center"/>
    </xf>
    <xf borderId="79" fillId="12" fontId="2" numFmtId="0" xfId="0" applyAlignment="1" applyBorder="1" applyFont="1">
      <alignment horizontal="center" vertical="center"/>
    </xf>
    <xf borderId="80" fillId="0" fontId="3" numFmtId="0" xfId="0" applyBorder="1" applyFont="1"/>
    <xf borderId="1" fillId="13" fontId="2" numFmtId="0" xfId="0" applyAlignment="1" applyBorder="1" applyFill="1" applyFont="1">
      <alignment horizontal="center" vertical="center"/>
    </xf>
    <xf borderId="81" fillId="13" fontId="2" numFmtId="0" xfId="0" applyAlignment="1" applyBorder="1" applyFont="1">
      <alignment horizontal="center" vertical="center"/>
    </xf>
    <xf borderId="82" fillId="14" fontId="2" numFmtId="0" xfId="0" applyAlignment="1" applyBorder="1" applyFill="1" applyFont="1">
      <alignment horizontal="center" vertical="center"/>
    </xf>
    <xf borderId="83" fillId="14" fontId="2" numFmtId="0" xfId="0" applyAlignment="1" applyBorder="1" applyFont="1">
      <alignment horizontal="center" vertical="center"/>
    </xf>
    <xf borderId="84" fillId="14" fontId="2" numFmtId="0" xfId="0" applyAlignment="1" applyBorder="1" applyFont="1">
      <alignment horizontal="center" vertical="center"/>
    </xf>
    <xf borderId="85" fillId="14" fontId="2" numFmtId="0" xfId="0" applyAlignment="1" applyBorder="1" applyFont="1">
      <alignment horizontal="center" vertical="center"/>
    </xf>
    <xf borderId="81" fillId="14" fontId="2" numFmtId="0" xfId="0" applyAlignment="1" applyBorder="1" applyFont="1">
      <alignment horizontal="center" vertical="center"/>
    </xf>
    <xf borderId="1" fillId="14" fontId="2" numFmtId="0" xfId="0" applyAlignment="1" applyBorder="1" applyFont="1">
      <alignment horizontal="center" vertical="center"/>
    </xf>
    <xf borderId="75" fillId="14" fontId="2" numFmtId="0" xfId="0" applyAlignment="1" applyBorder="1" applyFont="1">
      <alignment horizontal="center" vertical="center"/>
    </xf>
    <xf borderId="86" fillId="14" fontId="2" numFmtId="0" xfId="0" applyAlignment="1" applyBorder="1" applyFont="1">
      <alignment horizontal="center" vertical="center"/>
    </xf>
    <xf borderId="87" fillId="14" fontId="2" numFmtId="0" xfId="0" applyAlignment="1" applyBorder="1" applyFont="1">
      <alignment horizontal="center" vertical="center"/>
    </xf>
    <xf borderId="88" fillId="14" fontId="2" numFmtId="0" xfId="0" applyAlignment="1" applyBorder="1" applyFont="1">
      <alignment horizontal="center" vertical="center"/>
    </xf>
    <xf borderId="89" fillId="0" fontId="3" numFmtId="0" xfId="0" applyBorder="1" applyFont="1"/>
    <xf borderId="87" fillId="2" fontId="2" numFmtId="0" xfId="0" applyAlignment="1" applyBorder="1" applyFont="1">
      <alignment horizontal="center" vertical="center"/>
    </xf>
    <xf borderId="50" fillId="2" fontId="2" numFmtId="0" xfId="0" applyAlignment="1" applyBorder="1" applyFont="1">
      <alignment horizontal="center" vertical="center"/>
    </xf>
    <xf borderId="90" fillId="2" fontId="2" numFmtId="0" xfId="0" applyAlignment="1" applyBorder="1" applyFont="1">
      <alignment horizontal="center" vertical="center"/>
    </xf>
    <xf borderId="59" fillId="11" fontId="2" numFmtId="0" xfId="0" applyAlignment="1" applyBorder="1" applyFont="1">
      <alignment horizontal="center" vertical="center"/>
    </xf>
    <xf borderId="60" fillId="11" fontId="2" numFmtId="0" xfId="0" applyAlignment="1" applyBorder="1" applyFont="1">
      <alignment horizontal="center" vertical="center"/>
    </xf>
    <xf borderId="91" fillId="11" fontId="2" numFmtId="0" xfId="0" applyAlignment="1" applyBorder="1" applyFont="1">
      <alignment horizontal="center" vertical="center"/>
    </xf>
    <xf borderId="92" fillId="11" fontId="2" numFmtId="0" xfId="0" applyAlignment="1" applyBorder="1" applyFont="1">
      <alignment horizontal="center" vertical="center"/>
    </xf>
    <xf borderId="54" fillId="11" fontId="2" numFmtId="0" xfId="0" applyAlignment="1" applyBorder="1" applyFont="1">
      <alignment horizontal="center" vertical="center"/>
    </xf>
    <xf borderId="82" fillId="11" fontId="2" numFmtId="0" xfId="0" applyAlignment="1" applyBorder="1" applyFont="1">
      <alignment horizontal="center" vertical="center"/>
    </xf>
    <xf borderId="83" fillId="11" fontId="2" numFmtId="0" xfId="0" applyAlignment="1" applyBorder="1" applyFont="1">
      <alignment horizontal="center" vertical="center"/>
    </xf>
    <xf borderId="1" fillId="11" fontId="2" numFmtId="0" xfId="0" applyAlignment="1" applyBorder="1" applyFont="1">
      <alignment horizontal="center" vertical="center"/>
    </xf>
    <xf borderId="81" fillId="11" fontId="2" numFmtId="0" xfId="0" applyAlignment="1" applyBorder="1" applyFont="1">
      <alignment horizontal="center" vertical="center"/>
    </xf>
    <xf borderId="87" fillId="11" fontId="2" numFmtId="0" xfId="0" applyAlignment="1" applyBorder="1" applyFont="1">
      <alignment horizontal="center" vertical="center"/>
    </xf>
    <xf borderId="88" fillId="11" fontId="2" numFmtId="0" xfId="0" applyAlignment="1" applyBorder="1" applyFont="1">
      <alignment horizontal="center" vertical="center"/>
    </xf>
    <xf borderId="85" fillId="11" fontId="2" numFmtId="0" xfId="0" applyAlignment="1" applyBorder="1" applyFont="1">
      <alignment horizontal="center" vertical="center"/>
    </xf>
    <xf borderId="66" fillId="11" fontId="2" numFmtId="0" xfId="0" applyAlignment="1" applyBorder="1" applyFont="1">
      <alignment horizontal="center" vertical="center"/>
    </xf>
    <xf borderId="50" fillId="11" fontId="2" numFmtId="0" xfId="0" applyAlignment="1" applyBorder="1" applyFont="1">
      <alignment horizontal="center" vertical="center"/>
    </xf>
    <xf borderId="93" fillId="11" fontId="2" numFmtId="0" xfId="0" applyAlignment="1" applyBorder="1" applyFont="1">
      <alignment horizontal="center" vertical="center"/>
    </xf>
    <xf borderId="90" fillId="11" fontId="2" numFmtId="0" xfId="0" applyAlignment="1" applyBorder="1" applyFont="1">
      <alignment horizontal="center" vertical="center"/>
    </xf>
    <xf borderId="94" fillId="15" fontId="2" numFmtId="0" xfId="0" applyAlignment="1" applyBorder="1" applyFill="1" applyFont="1">
      <alignment horizontal="center" vertical="center"/>
    </xf>
    <xf borderId="95" fillId="15" fontId="2" numFmtId="0" xfId="0" applyAlignment="1" applyBorder="1" applyFont="1">
      <alignment horizontal="center" vertical="center"/>
    </xf>
    <xf borderId="96" fillId="0" fontId="3" numFmtId="0" xfId="0" applyBorder="1" applyFont="1"/>
    <xf borderId="97" fillId="0" fontId="3" numFmtId="0" xfId="0" applyBorder="1" applyFont="1"/>
    <xf borderId="98" fillId="0" fontId="3" numFmtId="0" xfId="0" applyBorder="1" applyFont="1"/>
    <xf borderId="99" fillId="0" fontId="3" numFmtId="0" xfId="0" applyBorder="1" applyFont="1"/>
    <xf borderId="100" fillId="0" fontId="3" numFmtId="0" xfId="0" applyBorder="1" applyFont="1"/>
    <xf borderId="77" fillId="16" fontId="2" numFmtId="0" xfId="0" applyAlignment="1" applyBorder="1" applyFill="1" applyFont="1">
      <alignment horizontal="center" vertical="center"/>
    </xf>
    <xf borderId="60" fillId="16" fontId="2" numFmtId="0" xfId="0" applyAlignment="1" applyBorder="1" applyFont="1">
      <alignment horizontal="center" vertical="center"/>
    </xf>
    <xf borderId="91" fillId="16" fontId="2" numFmtId="0" xfId="0" applyAlignment="1" applyBorder="1" applyFont="1">
      <alignment horizontal="center" vertical="center"/>
    </xf>
    <xf borderId="79" fillId="16" fontId="2" numFmtId="0" xfId="0" applyAlignment="1" applyBorder="1" applyFont="1">
      <alignment horizontal="center" vertical="center"/>
    </xf>
    <xf borderId="1" fillId="2" fontId="2" numFmtId="0" xfId="0" applyAlignment="1" applyBorder="1" applyFont="1">
      <alignment horizontal="center" vertical="center"/>
    </xf>
    <xf borderId="83" fillId="2" fontId="2" numFmtId="0" xfId="0" applyAlignment="1" applyBorder="1" applyFont="1">
      <alignment horizontal="center" vertical="center"/>
    </xf>
    <xf borderId="82" fillId="2" fontId="2" numFmtId="0" xfId="0" applyAlignment="1" applyBorder="1" applyFont="1">
      <alignment horizontal="center" vertical="center"/>
    </xf>
    <xf borderId="88" fillId="2" fontId="2" numFmtId="0" xfId="0" applyAlignment="1" applyBorder="1" applyFont="1">
      <alignment horizontal="center" vertical="center"/>
    </xf>
    <xf borderId="101" fillId="0" fontId="3" numFmtId="0" xfId="0" applyBorder="1" applyFont="1"/>
    <xf borderId="102" fillId="2" fontId="2" numFmtId="0" xfId="0" applyAlignment="1" applyBorder="1" applyFont="1">
      <alignment horizontal="center" vertical="center"/>
    </xf>
    <xf borderId="103" fillId="15" fontId="2" numFmtId="0" xfId="0" applyAlignment="1" applyBorder="1" applyFont="1">
      <alignment horizontal="center" vertical="center"/>
    </xf>
    <xf borderId="42" fillId="15" fontId="2" numFmtId="0" xfId="0" applyAlignment="1" applyBorder="1" applyFont="1">
      <alignment horizontal="center" vertical="center"/>
    </xf>
    <xf borderId="104" fillId="0" fontId="3" numFmtId="0" xfId="0" applyBorder="1" applyFont="1"/>
    <xf borderId="85" fillId="3" fontId="2" numFmtId="0" xfId="0" applyAlignment="1" applyBorder="1" applyFont="1">
      <alignment horizontal="center" vertical="center"/>
    </xf>
    <xf borderId="1" fillId="3" fontId="2" numFmtId="0" xfId="0" applyAlignment="1" applyBorder="1" applyFont="1">
      <alignment horizontal="center" vertical="center"/>
    </xf>
    <xf borderId="1" fillId="3" fontId="21" numFmtId="0" xfId="0" applyAlignment="1" applyBorder="1" applyFont="1">
      <alignment horizontal="center" vertical="center"/>
    </xf>
    <xf borderId="81" fillId="3" fontId="2" numFmtId="0" xfId="0" applyAlignment="1" applyBorder="1" applyFont="1">
      <alignment horizontal="center" vertical="center"/>
    </xf>
    <xf borderId="105" fillId="17" fontId="1" numFmtId="0" xfId="0" applyAlignment="1" applyBorder="1" applyFill="1" applyFont="1">
      <alignment horizontal="center" vertical="center"/>
    </xf>
    <xf borderId="71" fillId="17" fontId="1" numFmtId="0" xfId="0" applyAlignment="1" applyBorder="1" applyFont="1">
      <alignment horizontal="center" vertical="center"/>
    </xf>
    <xf borderId="72" fillId="17" fontId="1" numFmtId="0" xfId="0" applyAlignment="1" applyBorder="1" applyFont="1">
      <alignment horizontal="center" vertical="center"/>
    </xf>
    <xf borderId="106" fillId="17" fontId="1" numFmtId="0" xfId="0" applyAlignment="1" applyBorder="1" applyFont="1">
      <alignment horizontal="center" vertical="center"/>
    </xf>
    <xf borderId="107" fillId="14" fontId="2" numFmtId="0" xfId="0" applyAlignment="1" applyBorder="1" applyFont="1">
      <alignment horizontal="center" vertical="center"/>
    </xf>
    <xf borderId="107" fillId="3" fontId="2" numFmtId="0" xfId="0" applyAlignment="1" applyBorder="1" applyFont="1">
      <alignment horizontal="center" vertical="center"/>
    </xf>
    <xf borderId="59" fillId="0" fontId="2" numFmtId="0" xfId="0" applyBorder="1" applyFont="1"/>
    <xf borderId="60" fillId="0" fontId="22" numFmtId="0" xfId="0" applyBorder="1" applyFont="1"/>
    <xf borderId="60" fillId="0" fontId="2" numFmtId="0" xfId="0" applyBorder="1" applyFont="1"/>
    <xf borderId="61" fillId="0" fontId="2" numFmtId="0" xfId="0" applyBorder="1" applyFont="1"/>
    <xf borderId="66" fillId="0" fontId="2" numFmtId="0" xfId="0" applyBorder="1" applyFont="1"/>
    <xf borderId="50" fillId="0" fontId="23" numFmtId="0" xfId="0" applyBorder="1" applyFont="1"/>
    <xf borderId="51" fillId="0" fontId="2" numFmtId="0" xfId="0" applyBorder="1" applyFont="1"/>
    <xf borderId="107" fillId="18" fontId="1" numFmtId="0" xfId="0" applyBorder="1" applyFill="1" applyFont="1"/>
    <xf borderId="107" fillId="19" fontId="2" numFmtId="0" xfId="0" applyAlignment="1" applyBorder="1" applyFill="1" applyFont="1">
      <alignment shrinkToFit="0" vertical="top" wrapText="1"/>
    </xf>
    <xf borderId="107" fillId="19" fontId="2" numFmtId="0" xfId="0" applyBorder="1" applyFont="1"/>
    <xf borderId="0" fillId="0" fontId="1" numFmtId="0" xfId="0" applyAlignment="1" applyFont="1">
      <alignment shrinkToFit="0" wrapText="1"/>
    </xf>
    <xf borderId="107" fillId="19" fontId="2" numFmtId="0" xfId="0" applyAlignment="1" applyBorder="1" applyFont="1">
      <alignment shrinkToFit="0" wrapText="1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vertical="center"/>
    </xf>
    <xf borderId="0" fillId="0" fontId="24" numFmtId="0" xfId="0" applyAlignment="1" applyFont="1">
      <alignment horizontal="left" vertical="center"/>
    </xf>
    <xf borderId="108" fillId="11" fontId="2" numFmtId="0" xfId="0" applyAlignment="1" applyBorder="1" applyFont="1">
      <alignment horizontal="center" vertical="center"/>
    </xf>
    <xf borderId="61" fillId="11" fontId="2" numFmtId="0" xfId="0" applyAlignment="1" applyBorder="1" applyFont="1">
      <alignment horizontal="center" vertical="center"/>
    </xf>
    <xf borderId="55" fillId="11" fontId="2" numFmtId="0" xfId="0" applyAlignment="1" applyBorder="1" applyFont="1">
      <alignment horizontal="center" vertical="center"/>
    </xf>
    <xf borderId="109" fillId="11" fontId="2" numFmtId="0" xfId="0" applyAlignment="1" applyBorder="1" applyFont="1">
      <alignment horizontal="center" vertical="center"/>
    </xf>
    <xf borderId="105" fillId="11" fontId="2" numFmtId="0" xfId="0" applyAlignment="1" applyBorder="1" applyFont="1">
      <alignment horizontal="center" vertical="center"/>
    </xf>
    <xf borderId="51" fillId="11" fontId="2" numFmtId="0" xfId="0" applyAlignment="1" applyBorder="1" applyFont="1">
      <alignment horizontal="center" vertical="center"/>
    </xf>
    <xf borderId="83" fillId="3" fontId="2" numFmtId="0" xfId="0" applyAlignment="1" applyBorder="1" applyFont="1">
      <alignment horizontal="center" vertical="center"/>
    </xf>
    <xf borderId="82" fillId="3" fontId="2" numFmtId="0" xfId="0" applyAlignment="1" applyBorder="1" applyFont="1">
      <alignment horizontal="center" vertical="center"/>
    </xf>
    <xf borderId="82" fillId="3" fontId="25" numFmtId="0" xfId="0" applyAlignment="1" applyBorder="1" applyFont="1">
      <alignment horizontal="center" vertical="center"/>
    </xf>
    <xf borderId="84" fillId="3" fontId="2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hpe.com/us/en/collaterals/collateral.a00073541enw.html" TargetMode="External"/><Relationship Id="rId42" Type="http://schemas.openxmlformats.org/officeDocument/2006/relationships/hyperlink" Target="https://www.cisco.com/c/en/us/products/collateral/switches/catalyst-9400-series-switches/nb-06-cat9400-ser-sup-eng-data-sheet-cte-en.html" TargetMode="External"/><Relationship Id="rId41" Type="http://schemas.openxmlformats.org/officeDocument/2006/relationships/hyperlink" Target="https://www.router-switch.com/c9400-sup-1xl.html" TargetMode="External"/><Relationship Id="rId44" Type="http://schemas.openxmlformats.org/officeDocument/2006/relationships/hyperlink" Target="https://buy.hpe.com/us/en/options/modules/switch-modules/hpe-aruba-networking-cx-6400-management-module/p/r0x31a" TargetMode="External"/><Relationship Id="rId43" Type="http://schemas.openxmlformats.org/officeDocument/2006/relationships/hyperlink" Target="https://edshop.edsystem.eu/hpe-aruba-networking-cx-6400-management-module/product-1686459" TargetMode="External"/><Relationship Id="rId46" Type="http://schemas.openxmlformats.org/officeDocument/2006/relationships/hyperlink" Target="https://www.router-switch.com/c9400-lc-12qc.html" TargetMode="External"/><Relationship Id="rId45" Type="http://schemas.openxmlformats.org/officeDocument/2006/relationships/hyperlink" Target="https://www.cisco.com/c/en/us/products/collateral/switches/catalyst-9400-series-switches/nb-06-cat9400-series-line-data-sheet-cte-en.html" TargetMode="External"/><Relationship Id="rId107" Type="http://schemas.openxmlformats.org/officeDocument/2006/relationships/hyperlink" Target="https://buy.hpe.com/us/en/options/modules/switch-modules/hpe-aruba-networking-cx-6400-12%e2%80%91port-40-100gbe-qsfp28-v2-extended-tables-module/p/r0x45c" TargetMode="External"/><Relationship Id="rId106" Type="http://schemas.openxmlformats.org/officeDocument/2006/relationships/hyperlink" Target="https://it-planet.com/en/p/hpearuba-r0x45c-462673.html" TargetMode="External"/><Relationship Id="rId105" Type="http://schemas.openxmlformats.org/officeDocument/2006/relationships/hyperlink" Target="https://www.cisco.com/c/en/us/products/collateral/switches/catalyst-9400-series-switches/nb-06-cat9400-series-line-data-sheet-cte-en.html" TargetMode="External"/><Relationship Id="rId104" Type="http://schemas.openxmlformats.org/officeDocument/2006/relationships/hyperlink" Target="https://www.router-switch.com/c9400-lc-12qc.html" TargetMode="External"/><Relationship Id="rId109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108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48" Type="http://schemas.openxmlformats.org/officeDocument/2006/relationships/hyperlink" Target="https://it-planet.com/en/p/hpearuba-r0x45c-462673.html" TargetMode="External"/><Relationship Id="rId47" Type="http://schemas.openxmlformats.org/officeDocument/2006/relationships/hyperlink" Target="https://www.cisco.com/c/en/us/products/collateral/switches/catalyst-9400-series-switches/nb-06-cat9400-series-line-data-sheet-cte-en.html" TargetMode="External"/><Relationship Id="rId49" Type="http://schemas.openxmlformats.org/officeDocument/2006/relationships/hyperlink" Target="https://buy.hpe.com/us/en/options/modules/switch-modules/hpe-aruba-networking-cx-6400-12%e2%80%91port-40-100gbe-qsfp28-v2-extended-tables-module/p/r0x45c" TargetMode="External"/><Relationship Id="rId103" Type="http://schemas.openxmlformats.org/officeDocument/2006/relationships/hyperlink" Target="https://www.cisco.com/c/en/us/products/collateral/switches/catalyst-9400-series-switches/nb-06-cat9400-series-line-data-sheet-cte-en.html" TargetMode="External"/><Relationship Id="rId102" Type="http://schemas.openxmlformats.org/officeDocument/2006/relationships/hyperlink" Target="https://buy.hpe.com/us/en/options/modules/switch-modules/hpe-aruba-networking-cx-6400-management-module/p/r0x31a" TargetMode="External"/><Relationship Id="rId101" Type="http://schemas.openxmlformats.org/officeDocument/2006/relationships/hyperlink" Target="https://edshop.edsystem.eu/hpe-aruba-networking-cx-6400-management-module/product-1686459" TargetMode="External"/><Relationship Id="rId100" Type="http://schemas.openxmlformats.org/officeDocument/2006/relationships/hyperlink" Target="https://www.cisco.com/c/en/us/products/collateral/switches/catalyst-9400-series-switches/nb-06-cat9400-ser-sup-eng-data-sheet-cte-en.html" TargetMode="External"/><Relationship Id="rId31" Type="http://schemas.openxmlformats.org/officeDocument/2006/relationships/hyperlink" Target="https://it-planet.com/en/p/paloaltonetworks-pan-pa-3440-493898.html" TargetMode="External"/><Relationship Id="rId30" Type="http://schemas.openxmlformats.org/officeDocument/2006/relationships/hyperlink" Target="https://www.cisco.com/c/en/us/products/collateral/security/firewalls/secure-firewall-4200-ds.html" TargetMode="External"/><Relationship Id="rId33" Type="http://schemas.openxmlformats.org/officeDocument/2006/relationships/hyperlink" Target="https://www.router-switch.com/cp-8861-k9-p-21580.html" TargetMode="External"/><Relationship Id="rId32" Type="http://schemas.openxmlformats.org/officeDocument/2006/relationships/hyperlink" Target="https://www.paloguard.com/firewall-pa-3440.asp" TargetMode="External"/><Relationship Id="rId35" Type="http://schemas.openxmlformats.org/officeDocument/2006/relationships/hyperlink" Target="https://www.cdw.com/product/poly-edge-ip-phone-corded-corded-desktop/7597468" TargetMode="External"/><Relationship Id="rId34" Type="http://schemas.openxmlformats.org/officeDocument/2006/relationships/hyperlink" Target="https://www.cisco.com/c/en/us/products/collateral/collaboration-endpoints/unified-ip-phone-8800-series/datasheet-c78-731668.html" TargetMode="External"/><Relationship Id="rId37" Type="http://schemas.openxmlformats.org/officeDocument/2006/relationships/hyperlink" Target="https://www.router-switch.com/c9410r.html" TargetMode="External"/><Relationship Id="rId36" Type="http://schemas.openxmlformats.org/officeDocument/2006/relationships/hyperlink" Target="https://www.hp.com/ro-ro/products/accessories/product-details/2101722231" TargetMode="External"/><Relationship Id="rId39" Type="http://schemas.openxmlformats.org/officeDocument/2006/relationships/hyperlink" Target="https://www.bechtle.com/de-en/shop/hpe-aruba-6410-v2-switch--4660077--p" TargetMode="External"/><Relationship Id="rId38" Type="http://schemas.openxmlformats.org/officeDocument/2006/relationships/hyperlink" Target="https://www.router-switch.com/pdf/c9407r-datasheet.pdf" TargetMode="External"/><Relationship Id="rId20" Type="http://schemas.openxmlformats.org/officeDocument/2006/relationships/hyperlink" Target="https://buy.hpe.com/us/en/options/modules/switch-modules/hpe-aruba-networking-cx-6400-12%e2%80%91port-40-100gbe-qsfp28-v2-extended-tables-module/p/r0x45c" TargetMode="External"/><Relationship Id="rId22" Type="http://schemas.openxmlformats.org/officeDocument/2006/relationships/hyperlink" Target="https://www.cisco.com/c/en/us/products/collateral/switches/catalyst-9400-series-switches/nb-06-cat9400-series-line-data-sheet-cte-en.html" TargetMode="External"/><Relationship Id="rId21" Type="http://schemas.openxmlformats.org/officeDocument/2006/relationships/hyperlink" Target="https://www.router-switch.com/c9400-lc-48ux.html" TargetMode="External"/><Relationship Id="rId24" Type="http://schemas.openxmlformats.org/officeDocument/2006/relationships/hyperlink" Target="https://buy.hpe.com/us/en/options/modules/switch-modules/hpe-aruba-networking-cx-6400-v2-24p-smart-rate-1g-2-5g-5g-10g-class8-poe-4p-sfp56-50g-module/p/s1t83a" TargetMode="External"/><Relationship Id="rId23" Type="http://schemas.openxmlformats.org/officeDocument/2006/relationships/hyperlink" Target="https://it-planet.com/en/p/hpearuba-s1t83a-462820.html" TargetMode="External"/><Relationship Id="rId26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121" Type="http://schemas.openxmlformats.org/officeDocument/2006/relationships/hyperlink" Target="https://www.cisco.com/c/en/us/products/collateral/collaboration-endpoints/unified-ip-phone-8800-series/datasheet-c78-731668.html" TargetMode="External"/><Relationship Id="rId25" Type="http://schemas.openxmlformats.org/officeDocument/2006/relationships/hyperlink" Target="https://www.rhinonetworks.com/product/device/cisco-cw9179f" TargetMode="External"/><Relationship Id="rId120" Type="http://schemas.openxmlformats.org/officeDocument/2006/relationships/hyperlink" Target="https://www.router-switch.com/cp-8861-k9-p-21580.html" TargetMode="External"/><Relationship Id="rId28" Type="http://schemas.openxmlformats.org/officeDocument/2006/relationships/hyperlink" Target="https://buy.hpe.com/us/en/networking/wireless-devices/wlan-access-points/hpe-aruba-networking-ap%E2%80%91765-us-flex-radio-2x2-wi%E2%80%91fi-7-dynamic-omni%E2%80%91directional-outdoor-ap/p/s4k19a" TargetMode="External"/><Relationship Id="rId27" Type="http://schemas.openxmlformats.org/officeDocument/2006/relationships/hyperlink" Target="https://www.cdw.com/product/hpe-aruba-networking-ap-765-us-flex-wireless-access-point-built-in-dy/8538207" TargetMode="External"/><Relationship Id="rId29" Type="http://schemas.openxmlformats.org/officeDocument/2006/relationships/hyperlink" Target="https://www.router-switch.com/fpr4245-asa-k9.html" TargetMode="External"/><Relationship Id="rId124" Type="http://schemas.openxmlformats.org/officeDocument/2006/relationships/drawing" Target="../drawings/drawing3.xml"/><Relationship Id="rId123" Type="http://schemas.openxmlformats.org/officeDocument/2006/relationships/hyperlink" Target="https://www.hp.com/ro-ro/products/accessories/product-details/2101722231" TargetMode="External"/><Relationship Id="rId122" Type="http://schemas.openxmlformats.org/officeDocument/2006/relationships/hyperlink" Target="https://www.cdw.com/product/poly-edge-ip-phone-corded-corded-desktop/7597468" TargetMode="External"/><Relationship Id="rId95" Type="http://schemas.openxmlformats.org/officeDocument/2006/relationships/hyperlink" Target="https://www.router-switch.com/c9410r.html" TargetMode="External"/><Relationship Id="rId94" Type="http://schemas.openxmlformats.org/officeDocument/2006/relationships/hyperlink" Target="https://www.hp.com/ro-ro/products/accessories/product-details/2101722231" TargetMode="External"/><Relationship Id="rId97" Type="http://schemas.openxmlformats.org/officeDocument/2006/relationships/hyperlink" Target="https://www.bechtle.com/de-en/shop/hpe-aruba-6410-v2-switch--4660077--p" TargetMode="External"/><Relationship Id="rId96" Type="http://schemas.openxmlformats.org/officeDocument/2006/relationships/hyperlink" Target="https://www.router-switch.com/pdf/c9407r-datasheet.pdf" TargetMode="External"/><Relationship Id="rId11" Type="http://schemas.openxmlformats.org/officeDocument/2006/relationships/hyperlink" Target="https://buy.hpe.com/us/en/options/modules/switch-modules/hpe-aruba-networking-cx-6400-management-module/p/r0x31a" TargetMode="External"/><Relationship Id="rId99" Type="http://schemas.openxmlformats.org/officeDocument/2006/relationships/hyperlink" Target="https://www.router-switch.com/c9400-sup-1xl.html" TargetMode="External"/><Relationship Id="rId10" Type="http://schemas.openxmlformats.org/officeDocument/2006/relationships/hyperlink" Target="https://edshop.edsystem.eu/hpe-aruba-networking-cx-6400-management-module/product-1686459" TargetMode="External"/><Relationship Id="rId98" Type="http://schemas.openxmlformats.org/officeDocument/2006/relationships/hyperlink" Target="https://www.hpe.com/us/en/collaterals/collateral.a00073541enw.html" TargetMode="External"/><Relationship Id="rId13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12" Type="http://schemas.openxmlformats.org/officeDocument/2006/relationships/hyperlink" Target="https://www.cisco.com/c/en/us/products/collateral/switches/catalyst-9400-series-switches/nb-06-cat9400-series-line-data-sheet-cte-en.html" TargetMode="External"/><Relationship Id="rId91" Type="http://schemas.openxmlformats.org/officeDocument/2006/relationships/hyperlink" Target="https://www.router-switch.com/cp-8861-k9-p-21580.html" TargetMode="External"/><Relationship Id="rId90" Type="http://schemas.openxmlformats.org/officeDocument/2006/relationships/hyperlink" Target="https://buy.hpe.com/us/en/networking/wireless-devices/wlan-access-points/hpe-aruba-networking-ap%E2%80%91765-us-flex-radio-2x2-wi%E2%80%91fi-7-dynamic-omni%E2%80%91directional-outdoor-ap/p/s4k19a" TargetMode="External"/><Relationship Id="rId93" Type="http://schemas.openxmlformats.org/officeDocument/2006/relationships/hyperlink" Target="https://www.cdw.com/product/poly-edge-ip-phone-corded-corded-desktop/7597468" TargetMode="External"/><Relationship Id="rId92" Type="http://schemas.openxmlformats.org/officeDocument/2006/relationships/hyperlink" Target="https://www.cisco.com/c/en/us/products/collateral/collaboration-endpoints/unified-ip-phone-8800-series/datasheet-c78-731668.html" TargetMode="External"/><Relationship Id="rId118" Type="http://schemas.openxmlformats.org/officeDocument/2006/relationships/hyperlink" Target="https://www.cdw.com/product/hpe-aruba-networking-ap-765-us-flex-wireless-access-point-built-in-dy/8538207" TargetMode="External"/><Relationship Id="rId117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116" Type="http://schemas.openxmlformats.org/officeDocument/2006/relationships/hyperlink" Target="https://www.rhinonetworks.com/product/device/cisco-cw9179f" TargetMode="External"/><Relationship Id="rId115" Type="http://schemas.openxmlformats.org/officeDocument/2006/relationships/hyperlink" Target="https://buy.hpe.com/us/en/options/modules/switch-modules/hpe-aruba-networking-cx-6400-v2-24p-smart-rate-1g-2-5g-5g-10g-class8-poe-4p-sfp56-50g-module/p/s1t83a" TargetMode="External"/><Relationship Id="rId119" Type="http://schemas.openxmlformats.org/officeDocument/2006/relationships/hyperlink" Target="https://buy.hpe.com/us/en/networking/wireless-devices/wlan-access-points/hpe-aruba-networking-ap%E2%80%91765-us-flex-radio-2x2-wi%E2%80%91fi-7-dynamic-omni%E2%80%91directional-outdoor-ap/p/s4k19a" TargetMode="External"/><Relationship Id="rId15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110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14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17" Type="http://schemas.openxmlformats.org/officeDocument/2006/relationships/hyperlink" Target="https://www.router-switch.com/c9400-lc-12qc.html" TargetMode="External"/><Relationship Id="rId16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19" Type="http://schemas.openxmlformats.org/officeDocument/2006/relationships/hyperlink" Target="https://it-planet.com/en/p/hpearuba-r0x45c-462673.html" TargetMode="External"/><Relationship Id="rId114" Type="http://schemas.openxmlformats.org/officeDocument/2006/relationships/hyperlink" Target="https://it-planet.com/en/p/hpearuba-s1t83a-462820.html" TargetMode="External"/><Relationship Id="rId18" Type="http://schemas.openxmlformats.org/officeDocument/2006/relationships/hyperlink" Target="https://www.cisco.com/c/en/us/products/collateral/switches/catalyst-9400-series-switches/nb-06-cat9400-series-line-data-sheet-cte-en.html" TargetMode="External"/><Relationship Id="rId113" Type="http://schemas.openxmlformats.org/officeDocument/2006/relationships/hyperlink" Target="https://www.cisco.com/c/en/us/products/collateral/switches/catalyst-9400-series-switches/nb-06-cat9400-series-line-data-sheet-cte-en.html" TargetMode="External"/><Relationship Id="rId112" Type="http://schemas.openxmlformats.org/officeDocument/2006/relationships/hyperlink" Target="https://www.router-switch.com/c9400-lc-48ux.html" TargetMode="External"/><Relationship Id="rId111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84" Type="http://schemas.openxmlformats.org/officeDocument/2006/relationships/hyperlink" Target="https://www.cisco.com/c/en/us/products/collateral/switches/catalyst-9400-series-switches/nb-06-cat9400-series-line-data-sheet-cte-en.html" TargetMode="External"/><Relationship Id="rId83" Type="http://schemas.openxmlformats.org/officeDocument/2006/relationships/hyperlink" Target="https://www.router-switch.com/c9400-lc-48ux.html" TargetMode="External"/><Relationship Id="rId86" Type="http://schemas.openxmlformats.org/officeDocument/2006/relationships/hyperlink" Target="https://buy.hpe.com/us/en/options/modules/switch-modules/hpe-aruba-networking-cx-6400-v2-24p-smart-rate-1g-2-5g-5g-10g-class8-poe-4p-sfp56-50g-module/p/s1t83a" TargetMode="External"/><Relationship Id="rId85" Type="http://schemas.openxmlformats.org/officeDocument/2006/relationships/hyperlink" Target="https://it-planet.com/en/p/hpearuba-s1t83a-462820.html" TargetMode="External"/><Relationship Id="rId88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87" Type="http://schemas.openxmlformats.org/officeDocument/2006/relationships/hyperlink" Target="https://www.rhinonetworks.com/product/device/cisco-cw9179f" TargetMode="External"/><Relationship Id="rId89" Type="http://schemas.openxmlformats.org/officeDocument/2006/relationships/hyperlink" Target="https://www.cdw.com/product/hpe-aruba-networking-ap-765-us-flex-wireless-access-point-built-in-dy/8538207" TargetMode="External"/><Relationship Id="rId80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82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81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1" Type="http://schemas.openxmlformats.org/officeDocument/2006/relationships/hyperlink" Target="https://www.router-switch.com/c9800-l-c-k9.html" TargetMode="External"/><Relationship Id="rId2" Type="http://schemas.openxmlformats.org/officeDocument/2006/relationships/hyperlink" Target="https://www.cisco.com/c/en/us/products/collateral/wireless/cisco-cw9800l-wireless-controller-platform-aag.html" TargetMode="External"/><Relationship Id="rId3" Type="http://schemas.openxmlformats.org/officeDocument/2006/relationships/hyperlink" Target="https://www.hpe.com/emea_europe/en/aruba-central.html" TargetMode="External"/><Relationship Id="rId4" Type="http://schemas.openxmlformats.org/officeDocument/2006/relationships/hyperlink" Target="https://www.router-switch.com/c9410r.html" TargetMode="External"/><Relationship Id="rId9" Type="http://schemas.openxmlformats.org/officeDocument/2006/relationships/hyperlink" Target="https://www.cisco.com/c/en/us/products/collateral/switches/catalyst-9400-series-switches/nb-06-cat9400-ser-sup-eng-data-sheet-cte-en.html" TargetMode="External"/><Relationship Id="rId5" Type="http://schemas.openxmlformats.org/officeDocument/2006/relationships/hyperlink" Target="https://www.router-switch.com/pdf/c9407r-datasheet.pdf" TargetMode="External"/><Relationship Id="rId6" Type="http://schemas.openxmlformats.org/officeDocument/2006/relationships/hyperlink" Target="https://www.bechtle.com/de-en/shop/hpe-aruba-6410-v2-switch--4660077--p" TargetMode="External"/><Relationship Id="rId7" Type="http://schemas.openxmlformats.org/officeDocument/2006/relationships/hyperlink" Target="https://www.hpe.com/us/en/collaterals/collateral.a00073541enw.html" TargetMode="External"/><Relationship Id="rId8" Type="http://schemas.openxmlformats.org/officeDocument/2006/relationships/hyperlink" Target="https://www.router-switch.com/c9400-sup-1xl.html" TargetMode="External"/><Relationship Id="rId73" Type="http://schemas.openxmlformats.org/officeDocument/2006/relationships/hyperlink" Target="https://buy.hpe.com/us/en/options/modules/switch-modules/hpe-aruba-networking-cx-6400-management-module/p/r0x31a" TargetMode="External"/><Relationship Id="rId72" Type="http://schemas.openxmlformats.org/officeDocument/2006/relationships/hyperlink" Target="https://edshop.edsystem.eu/hpe-aruba-networking-cx-6400-management-module/product-1686459" TargetMode="External"/><Relationship Id="rId75" Type="http://schemas.openxmlformats.org/officeDocument/2006/relationships/hyperlink" Target="https://www.router-switch.com/c9400-lc-12qc.html" TargetMode="External"/><Relationship Id="rId74" Type="http://schemas.openxmlformats.org/officeDocument/2006/relationships/hyperlink" Target="https://www.cisco.com/c/en/us/products/collateral/switches/catalyst-9400-series-switches/nb-06-cat9400-series-line-data-sheet-cte-en.html" TargetMode="External"/><Relationship Id="rId77" Type="http://schemas.openxmlformats.org/officeDocument/2006/relationships/hyperlink" Target="https://it-planet.com/en/p/hpearuba-r0x45c-462673.html" TargetMode="External"/><Relationship Id="rId76" Type="http://schemas.openxmlformats.org/officeDocument/2006/relationships/hyperlink" Target="https://www.cisco.com/c/en/us/products/collateral/switches/catalyst-9400-series-switches/nb-06-cat9400-series-line-data-sheet-cte-en.html" TargetMode="External"/><Relationship Id="rId79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78" Type="http://schemas.openxmlformats.org/officeDocument/2006/relationships/hyperlink" Target="https://buy.hpe.com/us/en/options/modules/switch-modules/hpe-aruba-networking-cx-6400-12%e2%80%91port-40-100gbe-qsfp28-v2-extended-tables-module/p/r0x45c" TargetMode="External"/><Relationship Id="rId71" Type="http://schemas.openxmlformats.org/officeDocument/2006/relationships/hyperlink" Target="https://www.cisco.com/c/en/us/products/collateral/switches/catalyst-9400-series-switches/nb-06-cat9400-ser-sup-eng-data-sheet-cte-en.html" TargetMode="External"/><Relationship Id="rId70" Type="http://schemas.openxmlformats.org/officeDocument/2006/relationships/hyperlink" Target="https://www.router-switch.com/c9400-sup-1xl.html" TargetMode="External"/><Relationship Id="rId62" Type="http://schemas.openxmlformats.org/officeDocument/2006/relationships/hyperlink" Target="https://www.router-switch.com/cp-8861-k9-p-21580.html" TargetMode="External"/><Relationship Id="rId61" Type="http://schemas.openxmlformats.org/officeDocument/2006/relationships/hyperlink" Target="https://buy.hpe.com/us/en/networking/wireless-devices/wlan-access-points/hpe-aruba-networking-ap%E2%80%91765-us-flex-radio-2x2-wi%E2%80%91fi-7-dynamic-omni%E2%80%91directional-outdoor-ap/p/s4k19a" TargetMode="External"/><Relationship Id="rId64" Type="http://schemas.openxmlformats.org/officeDocument/2006/relationships/hyperlink" Target="https://www.cdw.com/product/poly-edge-ip-phone-corded-corded-desktop/7597468" TargetMode="External"/><Relationship Id="rId63" Type="http://schemas.openxmlformats.org/officeDocument/2006/relationships/hyperlink" Target="https://www.cisco.com/c/en/us/products/collateral/collaboration-endpoints/unified-ip-phone-8800-series/datasheet-c78-731668.html" TargetMode="External"/><Relationship Id="rId66" Type="http://schemas.openxmlformats.org/officeDocument/2006/relationships/hyperlink" Target="https://www.router-switch.com/c9410r.html" TargetMode="External"/><Relationship Id="rId65" Type="http://schemas.openxmlformats.org/officeDocument/2006/relationships/hyperlink" Target="https://www.hp.com/ro-ro/products/accessories/product-details/2101722231" TargetMode="External"/><Relationship Id="rId68" Type="http://schemas.openxmlformats.org/officeDocument/2006/relationships/hyperlink" Target="https://www.bechtle.com/de-en/shop/hpe-aruba-6410-v2-switch--4660077--p" TargetMode="External"/><Relationship Id="rId67" Type="http://schemas.openxmlformats.org/officeDocument/2006/relationships/hyperlink" Target="https://www.router-switch.com/pdf/c9407r-datasheet.pdf" TargetMode="External"/><Relationship Id="rId60" Type="http://schemas.openxmlformats.org/officeDocument/2006/relationships/hyperlink" Target="https://www.cdw.com/product/hpe-aruba-networking-ap-765-us-flex-wireless-access-point-built-in-dy/8538207" TargetMode="External"/><Relationship Id="rId69" Type="http://schemas.openxmlformats.org/officeDocument/2006/relationships/hyperlink" Target="https://www.hpe.com/us/en/collaterals/collateral.a00073541enw.html" TargetMode="External"/><Relationship Id="rId51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50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53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52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55" Type="http://schemas.openxmlformats.org/officeDocument/2006/relationships/hyperlink" Target="https://www.cisco.com/c/en/us/products/collateral/switches/catalyst-9400-series-switches/nb-06-cat9400-series-line-data-sheet-cte-en.html" TargetMode="External"/><Relationship Id="rId54" Type="http://schemas.openxmlformats.org/officeDocument/2006/relationships/hyperlink" Target="https://www.router-switch.com/c9400-lc-48ux.html" TargetMode="External"/><Relationship Id="rId57" Type="http://schemas.openxmlformats.org/officeDocument/2006/relationships/hyperlink" Target="https://buy.hpe.com/us/en/options/modules/switch-modules/hpe-aruba-networking-cx-6400-v2-24p-smart-rate-1g-2-5g-5g-10g-class8-poe-4p-sfp56-50g-module/p/s1t83a" TargetMode="External"/><Relationship Id="rId56" Type="http://schemas.openxmlformats.org/officeDocument/2006/relationships/hyperlink" Target="https://it-planet.com/en/p/hpearuba-s1t83a-462820.html" TargetMode="External"/><Relationship Id="rId59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58" Type="http://schemas.openxmlformats.org/officeDocument/2006/relationships/hyperlink" Target="https://www.rhinonetworks.com/product/device/cisco-cw9179f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se.com/us/en/products-runtime-graph/SRT10KXLT/apc-smartups-online-10kva-10kw-tower-208v-4x-l620r+2x-l630r-nema-outlets-network-card+smartslot-extended-runtime-w-o-rail-kit/" TargetMode="External"/><Relationship Id="rId3" Type="http://schemas.openxmlformats.org/officeDocument/2006/relationships/hyperlink" Target="https://daikincomfort.com/docs/default-source/dfc-series-7-5-12-5-tons/ss-dfc7.pdf" TargetMode="External"/><Relationship Id="rId4" Type="http://schemas.openxmlformats.org/officeDocument/2006/relationships/hyperlink" Target="https://daikincomfort.com/docs/default-source/dfc-series-7-5-12-5-tons/ss-dfc7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www.se.com/us/en/products-runtime-graph/SRT10KXLT/apc-smartups-online-10kva-10kw-tower-208v-4x-l620r+2x-l630r-nema-outlets-network-card+smartslot-extended-runtime-w-o-rail-kit/" TargetMode="External"/><Relationship Id="rId3" Type="http://schemas.openxmlformats.org/officeDocument/2006/relationships/hyperlink" Target="https://daikincomfort.com/docs/default-source/dfc-series-7-5-12-5-tons/ss-dfc7.pdf" TargetMode="External"/><Relationship Id="rId4" Type="http://schemas.openxmlformats.org/officeDocument/2006/relationships/hyperlink" Target="https://daikincomfort.com/docs/default-source/dfc-series-7-5-12-5-tons/ss-dfc7.pdf" TargetMode="External"/><Relationship Id="rId5" Type="http://schemas.openxmlformats.org/officeDocument/2006/relationships/drawing" Target="../drawings/drawing5.xml"/><Relationship Id="rId6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s://www.se.com/us/en/products-runtime-graph/SRT10KXLT/apc-smartups-online-10kva-10kw-tower-208v-4x-l620r+2x-l630r-nema-outlets-network-card+smartslot-extended-runtime-w-o-rail-kit/" TargetMode="External"/><Relationship Id="rId3" Type="http://schemas.openxmlformats.org/officeDocument/2006/relationships/hyperlink" Target="https://daikincomfort.com/docs/default-source/dfc-series-7-5-12-5-tons/ss-dfc7.pdf" TargetMode="External"/><Relationship Id="rId4" Type="http://schemas.openxmlformats.org/officeDocument/2006/relationships/hyperlink" Target="https://daikincomfort.com/docs/default-source/dfc-series-7-5-12-5-tons/ss-dfc7.pdf" TargetMode="External"/><Relationship Id="rId5" Type="http://schemas.openxmlformats.org/officeDocument/2006/relationships/drawing" Target="../drawings/drawing6.xml"/><Relationship Id="rId6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s://www.se.com/us/en/products-runtime-graph/SRT10KXLT/apc-smartups-online-10kva-10kw-tower-208v-4x-l620r+2x-l630r-nema-outlets-network-card+smartslot-extended-runtime-w-o-rail-kit/" TargetMode="External"/><Relationship Id="rId3" Type="http://schemas.openxmlformats.org/officeDocument/2006/relationships/hyperlink" Target="https://daikincomfort.com/docs/default-source/dfc-series-7-5-12-5-tons/ss-dfc7.pdf" TargetMode="External"/><Relationship Id="rId4" Type="http://schemas.openxmlformats.org/officeDocument/2006/relationships/hyperlink" Target="https://daikincomfort.com/docs/default-source/dfc-series-7-5-12-5-tons/ss-dfc7.pdf" TargetMode="External"/><Relationship Id="rId5" Type="http://schemas.openxmlformats.org/officeDocument/2006/relationships/drawing" Target="../drawings/drawing7.xml"/><Relationship Id="rId6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43"/>
    <col customWidth="1" min="2" max="2" width="15.0"/>
    <col customWidth="1" min="3" max="3" width="8.71"/>
    <col customWidth="1" min="4" max="5" width="8.29"/>
    <col customWidth="1" min="6" max="6" width="14.0"/>
    <col customWidth="1" min="7" max="7" width="10.29"/>
    <col customWidth="1" min="8" max="8" width="12.71"/>
    <col customWidth="1" min="9" max="9" width="13.71"/>
    <col customWidth="1" min="10" max="10" width="12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 t="s">
        <v>9</v>
      </c>
    </row>
    <row r="2" ht="14.25" customHeight="1">
      <c r="A2" s="4" t="s">
        <v>10</v>
      </c>
      <c r="B2" s="4" t="s">
        <v>11</v>
      </c>
      <c r="C2" s="5">
        <v>6.5</v>
      </c>
      <c r="D2" s="5">
        <v>8.5</v>
      </c>
      <c r="E2" s="6">
        <f t="shared" ref="E2:E3" si="1">C2*D2</f>
        <v>55.25</v>
      </c>
      <c r="F2" s="6">
        <f t="shared" ref="F2:F3" si="2">ROUNDUP(E2/10,0)</f>
        <v>6</v>
      </c>
      <c r="G2" s="7">
        <v>9.4</v>
      </c>
      <c r="H2" s="8">
        <f t="array" ref="H2">_xlfn.CEILING.MATH(SWITCH(J2, "A", 13.21, "B", 4.86, "C", 10.56, "D", 10.87, "E", 16.75, "F", 22, "G", 13.2, "H", 19.3, "I", 17.5, "J", 12.8, "K", 17.3, "L", 17, -1))</f>
        <v>14</v>
      </c>
      <c r="I2" s="9">
        <f t="shared" ref="I2:I3" si="3">2*F2*(G2+H2+6)</f>
        <v>352.8</v>
      </c>
      <c r="J2" s="10" t="s">
        <v>12</v>
      </c>
    </row>
    <row r="3" ht="14.25" customHeight="1">
      <c r="A3" s="4" t="s">
        <v>13</v>
      </c>
      <c r="B3" s="4" t="s">
        <v>11</v>
      </c>
      <c r="C3" s="5">
        <v>8.5</v>
      </c>
      <c r="D3" s="5">
        <v>6.5</v>
      </c>
      <c r="E3" s="6">
        <f t="shared" si="1"/>
        <v>55.25</v>
      </c>
      <c r="F3" s="6">
        <f t="shared" si="2"/>
        <v>6</v>
      </c>
      <c r="G3" s="7">
        <v>16.11</v>
      </c>
      <c r="H3" s="8">
        <f t="array" ref="H3">_xlfn.CEILING.MATH(SWITCH(J3, "A", 13.21, "B", 4.86, "C", 10.56, "D", 10.87, "E", 16.75, "F", 22, "G", 13.2, "H", 19.3, "I", 17.5, "J", 12.8, "K", 17.3, "L", 17, -1))</f>
        <v>5</v>
      </c>
      <c r="I3" s="9">
        <f t="shared" si="3"/>
        <v>325.32</v>
      </c>
      <c r="J3" s="10" t="s">
        <v>14</v>
      </c>
    </row>
    <row r="4" ht="14.25" customHeight="1">
      <c r="A4" s="11" t="s">
        <v>15</v>
      </c>
      <c r="B4" s="12" t="s">
        <v>11</v>
      </c>
      <c r="C4" s="13"/>
      <c r="D4" s="13"/>
      <c r="E4" s="13"/>
      <c r="F4" s="13"/>
      <c r="G4" s="13"/>
      <c r="H4" s="13"/>
      <c r="I4" s="13"/>
      <c r="J4" s="14"/>
    </row>
    <row r="5" ht="14.25" customHeight="1">
      <c r="A5" s="4" t="s">
        <v>16</v>
      </c>
      <c r="B5" s="4" t="s">
        <v>11</v>
      </c>
      <c r="C5" s="5">
        <v>5.5</v>
      </c>
      <c r="D5" s="5">
        <v>8.5</v>
      </c>
      <c r="E5" s="6">
        <f t="shared" ref="E5:E9" si="4">C5*D5</f>
        <v>46.75</v>
      </c>
      <c r="F5" s="6">
        <f t="shared" ref="F5:F9" si="5">ROUNDUP(E5/10,0)</f>
        <v>5</v>
      </c>
      <c r="G5" s="7">
        <v>21.82</v>
      </c>
      <c r="H5" s="8">
        <f t="array" ref="H5">_xlfn.CEILING.MATH(SWITCH(J5, "A", 13.21, "B", 4.86, "C", 10.56, "D", 10.87, "E", 16.75, "F", 22, "G", 13.2, "H", 19.3, "I", 17.5, "J", 12.8, "K", 17.3, "L", 17, -1))</f>
        <v>11</v>
      </c>
      <c r="I5" s="9">
        <f t="shared" ref="I5:I9" si="6">2*F5*(G5+H5+6)</f>
        <v>388.2</v>
      </c>
      <c r="J5" s="10" t="s">
        <v>17</v>
      </c>
    </row>
    <row r="6" ht="14.25" customHeight="1">
      <c r="A6" s="4" t="s">
        <v>18</v>
      </c>
      <c r="B6" s="4" t="s">
        <v>11</v>
      </c>
      <c r="C6" s="5">
        <v>5.5</v>
      </c>
      <c r="D6" s="5">
        <v>8.5</v>
      </c>
      <c r="E6" s="6">
        <f t="shared" si="4"/>
        <v>46.75</v>
      </c>
      <c r="F6" s="6">
        <f t="shared" si="5"/>
        <v>5</v>
      </c>
      <c r="G6" s="7">
        <v>27.82</v>
      </c>
      <c r="H6" s="8">
        <f t="array" ref="H6">_xlfn.CEILING.MATH(SWITCH(J6, "A", 13.21, "B", 4.86, "C", 10.56, "D", 10.87, "E", 16.75, "F", 22, "G", 13.2, "H", 19.3, "I", 17.5, "J", 12.8, "K", 17.3, "L", 17, -1))</f>
        <v>11</v>
      </c>
      <c r="I6" s="9">
        <f t="shared" si="6"/>
        <v>448.2</v>
      </c>
      <c r="J6" s="10" t="s">
        <v>17</v>
      </c>
    </row>
    <row r="7" ht="14.25" customHeight="1">
      <c r="A7" s="4" t="s">
        <v>19</v>
      </c>
      <c r="B7" s="4" t="s">
        <v>11</v>
      </c>
      <c r="C7" s="5">
        <v>5.5</v>
      </c>
      <c r="D7" s="5">
        <v>8.5</v>
      </c>
      <c r="E7" s="6">
        <f t="shared" si="4"/>
        <v>46.75</v>
      </c>
      <c r="F7" s="6">
        <f t="shared" si="5"/>
        <v>5</v>
      </c>
      <c r="G7" s="7">
        <v>33.53</v>
      </c>
      <c r="H7" s="8">
        <f t="array" ref="H7">_xlfn.CEILING.MATH(SWITCH(J7, "A", 13.21, "B", 4.86, "C", 10.56, "D", 10.87, "E", 16.75, "F", 22, "G", 13.2, "H", 19.3, "I", 17.5, "J", 12.8, "K", 17.3, "L", 17, -1))</f>
        <v>11</v>
      </c>
      <c r="I7" s="9">
        <f t="shared" si="6"/>
        <v>505.3</v>
      </c>
      <c r="J7" s="10" t="s">
        <v>17</v>
      </c>
    </row>
    <row r="8" ht="14.25" customHeight="1">
      <c r="A8" s="4" t="s">
        <v>20</v>
      </c>
      <c r="B8" s="4" t="s">
        <v>11</v>
      </c>
      <c r="C8" s="5">
        <v>5.5</v>
      </c>
      <c r="D8" s="5">
        <v>8.5</v>
      </c>
      <c r="E8" s="6">
        <f t="shared" si="4"/>
        <v>46.75</v>
      </c>
      <c r="F8" s="6">
        <f t="shared" si="5"/>
        <v>5</v>
      </c>
      <c r="G8" s="7">
        <v>39.53</v>
      </c>
      <c r="H8" s="8">
        <f t="array" ref="H8">_xlfn.CEILING.MATH(SWITCH(J8, "A", 13.21, "B", 4.86, "C", 10.56, "D", 10.87, "E", 16.75, "F", 22, "G", 13.2, "H", 19.3, "I", 17.5, "J", 12.8, "K", 17.3, "L", 17, -1))</f>
        <v>11</v>
      </c>
      <c r="I8" s="9">
        <f t="shared" si="6"/>
        <v>565.3</v>
      </c>
      <c r="J8" s="10" t="s">
        <v>17</v>
      </c>
    </row>
    <row r="9" ht="14.25" customHeight="1">
      <c r="A9" s="4" t="s">
        <v>21</v>
      </c>
      <c r="B9" s="4" t="s">
        <v>11</v>
      </c>
      <c r="C9" s="5">
        <v>5.5</v>
      </c>
      <c r="D9" s="5">
        <v>8.5</v>
      </c>
      <c r="E9" s="6">
        <f t="shared" si="4"/>
        <v>46.75</v>
      </c>
      <c r="F9" s="6">
        <f t="shared" si="5"/>
        <v>5</v>
      </c>
      <c r="G9" s="7">
        <v>45.24</v>
      </c>
      <c r="H9" s="8">
        <f t="array" ref="H9">_xlfn.CEILING.MATH(SWITCH(J9, "A", 13.21, "B", 4.86, "C", 10.56, "D", 10.87, "E", 16.75, "F", 22, "G", 13.2, "H", 19.3, "I", 17.5, "J", 12.8, "K", 17.3, "L", 17, -1))</f>
        <v>11</v>
      </c>
      <c r="I9" s="9">
        <f t="shared" si="6"/>
        <v>622.4</v>
      </c>
      <c r="J9" s="10" t="s">
        <v>17</v>
      </c>
    </row>
    <row r="10" ht="14.25" customHeight="1">
      <c r="A10" s="15" t="s">
        <v>22</v>
      </c>
      <c r="B10" s="16" t="s">
        <v>23</v>
      </c>
      <c r="C10" s="17"/>
      <c r="D10" s="17"/>
      <c r="E10" s="17"/>
      <c r="F10" s="17"/>
      <c r="G10" s="17"/>
      <c r="H10" s="17"/>
      <c r="I10" s="17"/>
      <c r="J10" s="18"/>
    </row>
    <row r="11" ht="14.25" customHeight="1">
      <c r="A11" s="15" t="s">
        <v>24</v>
      </c>
      <c r="B11" s="19"/>
      <c r="C11" s="20"/>
      <c r="D11" s="20"/>
      <c r="E11" s="20"/>
      <c r="F11" s="20"/>
      <c r="G11" s="20"/>
      <c r="H11" s="20"/>
      <c r="I11" s="20"/>
      <c r="J11" s="21"/>
    </row>
    <row r="12" ht="14.25" customHeight="1">
      <c r="A12" s="4" t="s">
        <v>25</v>
      </c>
      <c r="B12" s="4" t="s">
        <v>11</v>
      </c>
      <c r="C12" s="5">
        <v>8.5</v>
      </c>
      <c r="D12" s="5">
        <v>11.5</v>
      </c>
      <c r="E12" s="6">
        <f t="shared" ref="E12:E19" si="7">C12*D12</f>
        <v>97.75</v>
      </c>
      <c r="F12" s="6">
        <f t="shared" ref="F12:F19" si="8">ROUNDUP(E12/10,0)</f>
        <v>10</v>
      </c>
      <c r="G12" s="7">
        <v>0.5</v>
      </c>
      <c r="H12" s="8">
        <f t="array" ref="H12">_xlfn.CEILING.MATH(SWITCH(J12, "A", 13.21, "B", 4.86, "C", 10.56, "D", 10.87, "E", 16.75, "F", 22, "G", 13.2, "H", 19.3, "I", 17.5, "J", 12.8, "K", 17.3, "L", 17, -1))</f>
        <v>11</v>
      </c>
      <c r="I12" s="9">
        <f t="shared" ref="I12:I19" si="9">2*F12*(G12+H12+6)</f>
        <v>350</v>
      </c>
      <c r="J12" s="10" t="s">
        <v>26</v>
      </c>
    </row>
    <row r="13" ht="14.25" customHeight="1">
      <c r="A13" s="4" t="s">
        <v>27</v>
      </c>
      <c r="B13" s="4" t="s">
        <v>11</v>
      </c>
      <c r="C13" s="5">
        <v>20.0</v>
      </c>
      <c r="D13" s="5">
        <v>16.5</v>
      </c>
      <c r="E13" s="6">
        <f t="shared" si="7"/>
        <v>330</v>
      </c>
      <c r="F13" s="6">
        <f t="shared" si="8"/>
        <v>33</v>
      </c>
      <c r="G13" s="7">
        <v>5.0</v>
      </c>
      <c r="H13" s="8">
        <f t="array" ref="H13">_xlfn.CEILING.MATH(SWITCH(J13, "A", 13.21, "B", 4.86, "C", 10.56, "D", 10.87, "E", 16.75, "F", 22, "G", 13.2, "H", 19.3, "I", 17.5, "J", 12.8, "K", 17.3, "L", 17, -1))</f>
        <v>22</v>
      </c>
      <c r="I13" s="9">
        <f t="shared" si="9"/>
        <v>2178</v>
      </c>
      <c r="J13" s="10" t="s">
        <v>28</v>
      </c>
    </row>
    <row r="14" ht="14.25" customHeight="1">
      <c r="A14" s="4" t="s">
        <v>29</v>
      </c>
      <c r="B14" s="4" t="s">
        <v>11</v>
      </c>
      <c r="C14" s="5">
        <v>6.5</v>
      </c>
      <c r="D14" s="5">
        <v>11.5</v>
      </c>
      <c r="E14" s="6">
        <f t="shared" si="7"/>
        <v>74.75</v>
      </c>
      <c r="F14" s="6">
        <f t="shared" si="8"/>
        <v>8</v>
      </c>
      <c r="G14" s="7">
        <v>84.64</v>
      </c>
      <c r="H14" s="8">
        <f t="array" ref="H14">_xlfn.CEILING.MATH(SWITCH(J14, "A", 13.21, "B", 4.86, "C", 10.56, "D", 10.87, "E", 16.75, "F", 22, "G", 13.2, "H", 19.3, "I", 17.5, "J", 12.8, "K", 17.3, "L", 17, -1))</f>
        <v>17</v>
      </c>
      <c r="I14" s="9">
        <f t="shared" si="9"/>
        <v>1722.24</v>
      </c>
      <c r="J14" s="10" t="s">
        <v>30</v>
      </c>
    </row>
    <row r="15" ht="14.25" customHeight="1">
      <c r="A15" s="4" t="s">
        <v>31</v>
      </c>
      <c r="B15" s="4" t="s">
        <v>11</v>
      </c>
      <c r="C15" s="5">
        <v>6.5</v>
      </c>
      <c r="D15" s="5">
        <v>11.5</v>
      </c>
      <c r="E15" s="6">
        <f t="shared" si="7"/>
        <v>74.75</v>
      </c>
      <c r="F15" s="6">
        <f t="shared" si="8"/>
        <v>8</v>
      </c>
      <c r="G15" s="7">
        <v>91.78</v>
      </c>
      <c r="H15" s="8">
        <f t="array" ref="H15">_xlfn.CEILING.MATH(SWITCH(J15, "A", 13.21, "B", 4.86, "C", 10.56, "D", 10.87, "E", 16.75, "F", 22, "G", 13.2, "H", 19.3, "I", 17.5, "J", 12.8, "K", 17.3, "L", 17, -1))</f>
        <v>17</v>
      </c>
      <c r="I15" s="9">
        <f t="shared" si="9"/>
        <v>1836.48</v>
      </c>
      <c r="J15" s="10" t="s">
        <v>30</v>
      </c>
    </row>
    <row r="16" ht="14.25" customHeight="1">
      <c r="A16" s="4" t="s">
        <v>32</v>
      </c>
      <c r="B16" s="4" t="s">
        <v>11</v>
      </c>
      <c r="C16" s="5">
        <v>6.5</v>
      </c>
      <c r="D16" s="5">
        <v>11.5</v>
      </c>
      <c r="E16" s="6">
        <f t="shared" si="7"/>
        <v>74.75</v>
      </c>
      <c r="F16" s="6">
        <f t="shared" si="8"/>
        <v>8</v>
      </c>
      <c r="G16" s="7">
        <v>98.78</v>
      </c>
      <c r="H16" s="8">
        <f t="array" ref="H16">_xlfn.CEILING.MATH(SWITCH(J16, "A", 13.21, "B", 4.86, "C", 10.56, "D", 10.87, "E", 16.75, "F", 22, "G", 13.2, "H", 19.3, "I", 17.5, "J", 12.8, "K", 17.3, "L", 17, -1))</f>
        <v>17</v>
      </c>
      <c r="I16" s="9">
        <f t="shared" si="9"/>
        <v>1948.48</v>
      </c>
      <c r="J16" s="10" t="s">
        <v>30</v>
      </c>
    </row>
    <row r="17" ht="14.25" customHeight="1">
      <c r="A17" s="4" t="s">
        <v>33</v>
      </c>
      <c r="B17" s="4" t="s">
        <v>11</v>
      </c>
      <c r="C17" s="5">
        <v>6.5</v>
      </c>
      <c r="D17" s="5">
        <v>11.5</v>
      </c>
      <c r="E17" s="6">
        <f t="shared" si="7"/>
        <v>74.75</v>
      </c>
      <c r="F17" s="6">
        <f t="shared" si="8"/>
        <v>8</v>
      </c>
      <c r="G17" s="7">
        <v>105.92</v>
      </c>
      <c r="H17" s="8">
        <f t="array" ref="H17">_xlfn.CEILING.MATH(SWITCH(J17, "A", 13.21, "B", 4.86, "C", 10.56, "D", 10.87, "E", 16.75, "F", 22, "G", 13.2, "H", 19.3, "I", 17.5, "J", 12.8, "K", 17.3, "L", 17, -1))</f>
        <v>17</v>
      </c>
      <c r="I17" s="9">
        <f t="shared" si="9"/>
        <v>2062.72</v>
      </c>
      <c r="J17" s="10" t="s">
        <v>30</v>
      </c>
    </row>
    <row r="18" ht="14.25" customHeight="1">
      <c r="A18" s="4" t="s">
        <v>34</v>
      </c>
      <c r="B18" s="4" t="s">
        <v>11</v>
      </c>
      <c r="C18" s="5">
        <v>6.5</v>
      </c>
      <c r="D18" s="5">
        <v>11.5</v>
      </c>
      <c r="E18" s="6">
        <f t="shared" si="7"/>
        <v>74.75</v>
      </c>
      <c r="F18" s="6">
        <f t="shared" si="8"/>
        <v>8</v>
      </c>
      <c r="G18" s="7">
        <v>112.92</v>
      </c>
      <c r="H18" s="8">
        <f t="array" ref="H18">_xlfn.CEILING.MATH(SWITCH(J18, "A", 13.21, "B", 4.86, "C", 10.56, "D", 10.87, "E", 16.75, "F", 22, "G", 13.2, "H", 19.3, "I", 17.5, "J", 12.8, "K", 17.3, "L", 17, -1))</f>
        <v>17</v>
      </c>
      <c r="I18" s="9">
        <f t="shared" si="9"/>
        <v>2174.72</v>
      </c>
      <c r="J18" s="10" t="s">
        <v>30</v>
      </c>
    </row>
    <row r="19" ht="14.25" customHeight="1">
      <c r="A19" s="4" t="s">
        <v>35</v>
      </c>
      <c r="B19" s="4" t="s">
        <v>11</v>
      </c>
      <c r="C19" s="5">
        <v>10.0</v>
      </c>
      <c r="D19" s="5">
        <v>20.0</v>
      </c>
      <c r="E19" s="6">
        <f t="shared" si="7"/>
        <v>200</v>
      </c>
      <c r="F19" s="6">
        <f t="shared" si="8"/>
        <v>20</v>
      </c>
      <c r="G19" s="7">
        <v>17.5</v>
      </c>
      <c r="H19" s="8">
        <f t="array" ref="H19">_xlfn.CEILING.MATH(SWITCH(J19, "A", 13.21, "B", 4.86, "C", 10.56, "D", 10.87, "E", 16.75, "F", 22, "G", 13.2, "H", 19.3, "I", 17.5, "J", 12.8, "K", 17.3, "L", 17, -1))</f>
        <v>14</v>
      </c>
      <c r="I19" s="9">
        <f t="shared" si="9"/>
        <v>1500</v>
      </c>
      <c r="J19" s="10" t="s">
        <v>36</v>
      </c>
    </row>
    <row r="20" ht="14.25" customHeight="1">
      <c r="A20" s="22" t="s">
        <v>37</v>
      </c>
      <c r="B20" s="22"/>
      <c r="C20" s="22"/>
      <c r="D20" s="22"/>
      <c r="E20" s="22"/>
      <c r="F20" s="22">
        <f>SUM(F2:F19)</f>
        <v>140</v>
      </c>
      <c r="G20" s="22"/>
      <c r="H20" s="23"/>
      <c r="I20" s="22">
        <f>SUM(I2:I19)</f>
        <v>16980.16</v>
      </c>
      <c r="J20" s="24"/>
    </row>
    <row r="21" ht="14.25" customHeight="1">
      <c r="A21" s="22"/>
      <c r="B21" s="22"/>
      <c r="C21" s="22"/>
      <c r="D21" s="22"/>
      <c r="E21" s="22"/>
      <c r="F21" s="22"/>
      <c r="G21" s="22"/>
      <c r="H21" s="23"/>
      <c r="I21" s="22"/>
      <c r="J21" s="24"/>
    </row>
    <row r="22" ht="14.25" customHeight="1">
      <c r="A22" s="4" t="s">
        <v>38</v>
      </c>
      <c r="B22" s="4" t="s">
        <v>39</v>
      </c>
      <c r="C22" s="5">
        <v>6.5</v>
      </c>
      <c r="D22" s="5">
        <v>11.5</v>
      </c>
      <c r="E22" s="6">
        <f t="shared" ref="E22:E23" si="10">C22*D22</f>
        <v>74.75</v>
      </c>
      <c r="F22" s="6">
        <f t="shared" ref="F22:F23" si="11">ROUNDUP(E22/10,0)</f>
        <v>8</v>
      </c>
      <c r="G22" s="7">
        <v>32.0</v>
      </c>
      <c r="H22" s="25">
        <f t="array" ref="H22">_xlfn.CEILING.MATH(SWITCH(J22, "A", 13.21, "B", 4.86, "C", 10.56, "D", 10.87, "E", 16.75, "F", 22, "G", 13.2, "H", 19.3, "I", 17.5, "J", 12.8, "K", 17.3, "L", 17, -1))</f>
        <v>17</v>
      </c>
      <c r="I22" s="9">
        <f t="shared" ref="I22:I23" si="12">2*F22*(G22+H22+6)</f>
        <v>880</v>
      </c>
      <c r="J22" s="10" t="s">
        <v>30</v>
      </c>
    </row>
    <row r="23" ht="14.25" customHeight="1">
      <c r="A23" s="4" t="s">
        <v>40</v>
      </c>
      <c r="B23" s="4" t="s">
        <v>39</v>
      </c>
      <c r="C23" s="5">
        <v>6.5</v>
      </c>
      <c r="D23" s="5">
        <v>11.5</v>
      </c>
      <c r="E23" s="6">
        <f t="shared" si="10"/>
        <v>74.75</v>
      </c>
      <c r="F23" s="6">
        <f t="shared" si="11"/>
        <v>8</v>
      </c>
      <c r="G23" s="7">
        <v>27.0</v>
      </c>
      <c r="H23" s="25">
        <f t="array" ref="H23">_xlfn.CEILING.MATH(SWITCH(J23, "A", 13.21, "B", 4.86, "C", 10.56, "D", 10.87, "E", 16.75, "F", 22, "G", 13.2, "H", 19.3, "I", 17.5, "J", 12.8, "K", 17.3, "L", 17, -1))</f>
        <v>17</v>
      </c>
      <c r="I23" s="9">
        <f t="shared" si="12"/>
        <v>800</v>
      </c>
      <c r="J23" s="10" t="s">
        <v>30</v>
      </c>
    </row>
    <row r="24" ht="14.25" customHeight="1">
      <c r="A24" s="15" t="s">
        <v>41</v>
      </c>
      <c r="B24" s="16" t="s">
        <v>23</v>
      </c>
      <c r="C24" s="17"/>
      <c r="D24" s="17"/>
      <c r="E24" s="17"/>
      <c r="F24" s="17"/>
      <c r="G24" s="17"/>
      <c r="H24" s="17"/>
      <c r="I24" s="17"/>
      <c r="J24" s="18"/>
    </row>
    <row r="25" ht="14.25" customHeight="1">
      <c r="A25" s="15" t="s">
        <v>42</v>
      </c>
      <c r="B25" s="19"/>
      <c r="C25" s="20"/>
      <c r="D25" s="20"/>
      <c r="E25" s="20"/>
      <c r="F25" s="20"/>
      <c r="G25" s="20"/>
      <c r="H25" s="20"/>
      <c r="I25" s="20"/>
      <c r="J25" s="21"/>
    </row>
    <row r="26" ht="14.25" customHeight="1">
      <c r="A26" s="4" t="s">
        <v>43</v>
      </c>
      <c r="B26" s="4" t="s">
        <v>39</v>
      </c>
      <c r="C26" s="5">
        <v>10.0</v>
      </c>
      <c r="D26" s="5">
        <v>20.0</v>
      </c>
      <c r="E26" s="6">
        <f t="shared" ref="E26:E30" si="13">C26*D26</f>
        <v>200</v>
      </c>
      <c r="F26" s="6">
        <f t="shared" ref="F26:F30" si="14">ROUNDUP(E26/10,0)</f>
        <v>20</v>
      </c>
      <c r="G26" s="7">
        <v>0.5</v>
      </c>
      <c r="H26" s="25">
        <f t="array" ref="H26">_xlfn.CEILING.MATH(SWITCH(J26, "A", 13.21, "B", 4.86, "C", 10.56, "D", 10.87, "E", 16.75, "F", 22, "G", 13.2, "H", 19.3, "I", 17.5, "J", 12.8, "K", 17.3, "L", 17, -1))</f>
        <v>14</v>
      </c>
      <c r="I26" s="9">
        <f t="shared" ref="I26:I30" si="15">2*F26*(G26+H26+6)</f>
        <v>820</v>
      </c>
      <c r="J26" s="10" t="s">
        <v>36</v>
      </c>
    </row>
    <row r="27" ht="14.25" customHeight="1">
      <c r="A27" s="4" t="s">
        <v>44</v>
      </c>
      <c r="B27" s="4" t="s">
        <v>39</v>
      </c>
      <c r="C27" s="7">
        <v>9.0</v>
      </c>
      <c r="D27" s="7">
        <v>10.0</v>
      </c>
      <c r="E27" s="6">
        <f t="shared" si="13"/>
        <v>90</v>
      </c>
      <c r="F27" s="6">
        <f t="shared" si="14"/>
        <v>9</v>
      </c>
      <c r="G27" s="7">
        <v>45.0</v>
      </c>
      <c r="H27" s="25">
        <f t="array" ref="H27">_xlfn.CEILING.MATH(SWITCH(J27, "A", 13.21, "B", 4.86, "C", 10.56, "D", 10.87, "E", 16.75, "F", 22, "G", 13.2, "H", 19.3, "I", 17.5, "J", 12.8, "K", 17.3, "L", 17, -1))</f>
        <v>20</v>
      </c>
      <c r="I27" s="9">
        <f t="shared" si="15"/>
        <v>1278</v>
      </c>
      <c r="J27" s="10" t="s">
        <v>45</v>
      </c>
    </row>
    <row r="28" ht="14.25" customHeight="1">
      <c r="A28" s="4" t="s">
        <v>46</v>
      </c>
      <c r="B28" s="4" t="s">
        <v>39</v>
      </c>
      <c r="C28" s="7">
        <v>9.0</v>
      </c>
      <c r="D28" s="7">
        <v>10.0</v>
      </c>
      <c r="E28" s="6">
        <f t="shared" si="13"/>
        <v>90</v>
      </c>
      <c r="F28" s="6">
        <f t="shared" si="14"/>
        <v>9</v>
      </c>
      <c r="G28" s="7">
        <v>40.0</v>
      </c>
      <c r="H28" s="25">
        <f t="array" ref="H28">_xlfn.CEILING.MATH(SWITCH(J28, "A", 13.21, "B", 4.86, "C", 10.56, "D", 10.87, "E", 16.75, "F", 22, "G", 13.2, "H", 19.3, "I", 17.5, "J", 12.8, "K", 17.3, "L", 17, -1))</f>
        <v>20</v>
      </c>
      <c r="I28" s="9">
        <f t="shared" si="15"/>
        <v>1188</v>
      </c>
      <c r="J28" s="10" t="s">
        <v>45</v>
      </c>
    </row>
    <row r="29" ht="14.25" customHeight="1">
      <c r="A29" s="4" t="s">
        <v>47</v>
      </c>
      <c r="B29" s="4" t="s">
        <v>39</v>
      </c>
      <c r="C29" s="7">
        <v>6.5</v>
      </c>
      <c r="D29" s="7">
        <v>9.0</v>
      </c>
      <c r="E29" s="6">
        <f t="shared" si="13"/>
        <v>58.5</v>
      </c>
      <c r="F29" s="6">
        <f t="shared" si="14"/>
        <v>6</v>
      </c>
      <c r="G29" s="7">
        <v>12.54</v>
      </c>
      <c r="H29" s="25">
        <f t="array" ref="H29">_xlfn.CEILING.MATH(SWITCH(J29, "A", 13.21, "B", 4.86, "C", 10.56, "D", 10.87, "E", 16.75, "F", 22, "G", 13.2, "H", 19.3, "I", 17.5, "J", 12.8, "K", 17.3, "L", 17, -1))</f>
        <v>18</v>
      </c>
      <c r="I29" s="9">
        <f t="shared" si="15"/>
        <v>438.48</v>
      </c>
      <c r="J29" s="10" t="s">
        <v>48</v>
      </c>
    </row>
    <row r="30" ht="14.25" customHeight="1">
      <c r="A30" s="4" t="s">
        <v>49</v>
      </c>
      <c r="B30" s="4" t="s">
        <v>39</v>
      </c>
      <c r="C30" s="7">
        <v>6.5</v>
      </c>
      <c r="D30" s="7">
        <v>9.0</v>
      </c>
      <c r="E30" s="6">
        <f t="shared" si="13"/>
        <v>58.5</v>
      </c>
      <c r="F30" s="6">
        <f t="shared" si="14"/>
        <v>6</v>
      </c>
      <c r="G30" s="7">
        <v>21.88</v>
      </c>
      <c r="H30" s="25">
        <f t="array" ref="H30">_xlfn.CEILING.MATH(SWITCH(J30, "A", 13.21, "B", 4.86, "C", 10.56, "D", 10.87, "E", 16.75, "F", 22, "G", 13.2, "H", 19.3, "I", 17.5, "J", 12.8, "K", 17.3, "L", 17, -1))</f>
        <v>18</v>
      </c>
      <c r="I30" s="9">
        <f t="shared" si="15"/>
        <v>550.56</v>
      </c>
      <c r="J30" s="10" t="s">
        <v>48</v>
      </c>
    </row>
    <row r="31" ht="14.25" customHeight="1">
      <c r="A31" s="11" t="s">
        <v>50</v>
      </c>
      <c r="B31" s="12" t="s">
        <v>39</v>
      </c>
      <c r="C31" s="13"/>
      <c r="D31" s="13"/>
      <c r="E31" s="13"/>
      <c r="F31" s="13"/>
      <c r="G31" s="13"/>
      <c r="H31" s="13"/>
      <c r="I31" s="13"/>
      <c r="J31" s="14"/>
    </row>
    <row r="32" ht="14.25" customHeight="1">
      <c r="A32" s="4" t="s">
        <v>51</v>
      </c>
      <c r="B32" s="4" t="s">
        <v>39</v>
      </c>
      <c r="C32" s="7">
        <v>4.5</v>
      </c>
      <c r="D32" s="7">
        <v>9.5</v>
      </c>
      <c r="E32" s="6">
        <f t="shared" ref="E32:E36" si="16">C32*D32</f>
        <v>42.75</v>
      </c>
      <c r="F32" s="6">
        <f t="shared" ref="F32:F36" si="17">ROUNDUP(E32/10,0)</f>
        <v>5</v>
      </c>
      <c r="G32" s="7">
        <v>11.5</v>
      </c>
      <c r="H32" s="8">
        <f t="array" ref="H32">_xlfn.CEILING.MATH(SWITCH(J32, "A", 13.21, "B", 4.86, "C", 10.56, "D", 10.87, "E", 16.75, "F", 22, "G", 13.2, "H", 19.3, "I", 17.5, "J", 12.8, "K", 17.3, "L", 17, -1))</f>
        <v>13</v>
      </c>
      <c r="I32" s="9">
        <f t="shared" ref="I32:I36" si="18">2*F32*(G32+H32+6)</f>
        <v>305</v>
      </c>
      <c r="J32" s="10" t="s">
        <v>52</v>
      </c>
    </row>
    <row r="33" ht="14.25" customHeight="1">
      <c r="A33" s="4" t="s">
        <v>53</v>
      </c>
      <c r="B33" s="4" t="s">
        <v>39</v>
      </c>
      <c r="C33" s="7">
        <v>4.5</v>
      </c>
      <c r="D33" s="7">
        <v>9.5</v>
      </c>
      <c r="E33" s="6">
        <f t="shared" si="16"/>
        <v>42.75</v>
      </c>
      <c r="F33" s="6">
        <f t="shared" si="17"/>
        <v>5</v>
      </c>
      <c r="G33" s="7">
        <v>17.0</v>
      </c>
      <c r="H33" s="8">
        <f t="array" ref="H33">_xlfn.CEILING.MATH(SWITCH(J33, "A", 13.21, "B", 4.86, "C", 10.56, "D", 10.87, "E", 16.75, "F", 22, "G", 13.2, "H", 19.3, "I", 17.5, "J", 12.8, "K", 17.3, "L", 17, -1))</f>
        <v>13</v>
      </c>
      <c r="I33" s="9">
        <f t="shared" si="18"/>
        <v>360</v>
      </c>
      <c r="J33" s="10" t="s">
        <v>52</v>
      </c>
    </row>
    <row r="34" ht="14.25" customHeight="1">
      <c r="A34" s="4" t="s">
        <v>54</v>
      </c>
      <c r="B34" s="4" t="s">
        <v>39</v>
      </c>
      <c r="C34" s="7">
        <v>4.5</v>
      </c>
      <c r="D34" s="7">
        <v>9.5</v>
      </c>
      <c r="E34" s="6">
        <f t="shared" si="16"/>
        <v>42.75</v>
      </c>
      <c r="F34" s="6">
        <f t="shared" si="17"/>
        <v>5</v>
      </c>
      <c r="G34" s="7">
        <v>22.5</v>
      </c>
      <c r="H34" s="8">
        <f t="array" ref="H34">_xlfn.CEILING.MATH(SWITCH(J34, "A", 13.21, "B", 4.86, "C", 10.56, "D", 10.87, "E", 16.75, "F", 22, "G", 13.2, "H", 19.3, "I", 17.5, "J", 12.8, "K", 17.3, "L", 17, -1))</f>
        <v>13</v>
      </c>
      <c r="I34" s="9">
        <f t="shared" si="18"/>
        <v>415</v>
      </c>
      <c r="J34" s="10" t="s">
        <v>52</v>
      </c>
    </row>
    <row r="35" ht="14.25" customHeight="1">
      <c r="A35" s="4" t="s">
        <v>55</v>
      </c>
      <c r="B35" s="4" t="s">
        <v>39</v>
      </c>
      <c r="C35" s="7">
        <v>4.5</v>
      </c>
      <c r="D35" s="7">
        <v>9.5</v>
      </c>
      <c r="E35" s="6">
        <f t="shared" si="16"/>
        <v>42.75</v>
      </c>
      <c r="F35" s="6">
        <f t="shared" si="17"/>
        <v>5</v>
      </c>
      <c r="G35" s="7">
        <v>28.0</v>
      </c>
      <c r="H35" s="8">
        <f t="array" ref="H35">_xlfn.CEILING.MATH(SWITCH(J35, "A", 13.21, "B", 4.86, "C", 10.56, "D", 10.87, "E", 16.75, "F", 22, "G", 13.2, "H", 19.3, "I", 17.5, "J", 12.8, "K", 17.3, "L", 17, -1))</f>
        <v>13</v>
      </c>
      <c r="I35" s="9">
        <f t="shared" si="18"/>
        <v>470</v>
      </c>
      <c r="J35" s="10" t="s">
        <v>52</v>
      </c>
    </row>
    <row r="36" ht="14.25" customHeight="1">
      <c r="A36" s="4" t="s">
        <v>56</v>
      </c>
      <c r="B36" s="4" t="s">
        <v>39</v>
      </c>
      <c r="C36" s="7">
        <v>4.5</v>
      </c>
      <c r="D36" s="7">
        <v>9.5</v>
      </c>
      <c r="E36" s="6">
        <f t="shared" si="16"/>
        <v>42.75</v>
      </c>
      <c r="F36" s="6">
        <f t="shared" si="17"/>
        <v>5</v>
      </c>
      <c r="G36" s="7">
        <v>33.5</v>
      </c>
      <c r="H36" s="8">
        <f t="array" ref="H36">_xlfn.CEILING.MATH(SWITCH(J36, "A", 13.21, "B", 4.86, "C", 10.56, "D", 10.87, "E", 16.75, "F", 22, "G", 13.2, "H", 19.3, "I", 17.5, "J", 12.8, "K", 17.3, "L", 17, -1))</f>
        <v>13</v>
      </c>
      <c r="I36" s="9">
        <f t="shared" si="18"/>
        <v>525</v>
      </c>
      <c r="J36" s="10" t="s">
        <v>52</v>
      </c>
    </row>
    <row r="37" ht="14.25" customHeight="1">
      <c r="A37" s="15" t="s">
        <v>57</v>
      </c>
      <c r="B37" s="26" t="s">
        <v>23</v>
      </c>
      <c r="C37" s="17"/>
      <c r="D37" s="17"/>
      <c r="E37" s="17"/>
      <c r="F37" s="17"/>
      <c r="G37" s="17"/>
      <c r="H37" s="17"/>
      <c r="I37" s="17"/>
      <c r="J37" s="18"/>
    </row>
    <row r="38" ht="14.25" customHeight="1">
      <c r="A38" s="15" t="s">
        <v>58</v>
      </c>
      <c r="B38" s="19"/>
      <c r="C38" s="20"/>
      <c r="D38" s="20"/>
      <c r="E38" s="20"/>
      <c r="F38" s="20"/>
      <c r="G38" s="20"/>
      <c r="H38" s="20"/>
      <c r="I38" s="20"/>
      <c r="J38" s="21"/>
    </row>
    <row r="39" ht="14.25" customHeight="1">
      <c r="A39" s="4" t="s">
        <v>59</v>
      </c>
      <c r="B39" s="4" t="s">
        <v>39</v>
      </c>
      <c r="C39" s="7">
        <v>5.5</v>
      </c>
      <c r="D39" s="7">
        <v>12.5</v>
      </c>
      <c r="E39" s="6">
        <f t="shared" ref="E39:E44" si="19">C39*D39</f>
        <v>68.75</v>
      </c>
      <c r="F39" s="6">
        <f t="shared" ref="F39:F44" si="20">ROUNDUP(E39/10,0)</f>
        <v>7</v>
      </c>
      <c r="G39" s="7">
        <v>10.5</v>
      </c>
      <c r="H39" s="8">
        <f t="array" ref="H39">_xlfn.CEILING.MATH(SWITCH(J39, "A", 13.21, "B", 4.86, "C", 10.56, "D", 10.87, "E", 16.75, "F", 22, "G", 13.2, "H", 19.3, "I", 17.5, "J", 12.8, "K", 17.3, "L", 17, -1))</f>
        <v>18</v>
      </c>
      <c r="I39" s="9">
        <f t="shared" ref="I39:I44" si="21">2*F39*(G39+H39+6)</f>
        <v>483</v>
      </c>
      <c r="J39" s="10" t="s">
        <v>60</v>
      </c>
    </row>
    <row r="40" ht="14.25" customHeight="1">
      <c r="A40" s="4" t="s">
        <v>61</v>
      </c>
      <c r="B40" s="4" t="s">
        <v>39</v>
      </c>
      <c r="C40" s="7">
        <v>5.5</v>
      </c>
      <c r="D40" s="7">
        <v>12.5</v>
      </c>
      <c r="E40" s="6">
        <f t="shared" si="19"/>
        <v>68.75</v>
      </c>
      <c r="F40" s="6">
        <f t="shared" si="20"/>
        <v>7</v>
      </c>
      <c r="G40" s="7">
        <v>17.5</v>
      </c>
      <c r="H40" s="8">
        <f t="array" ref="H40">_xlfn.CEILING.MATH(SWITCH(J40, "A", 13.21, "B", 4.86, "C", 10.56, "D", 10.87, "E", 16.75, "F", 22, "G", 13.2, "H", 19.3, "I", 17.5, "J", 12.8, "K", 17.3, "L", 17, -1))</f>
        <v>18</v>
      </c>
      <c r="I40" s="9">
        <f t="shared" si="21"/>
        <v>581</v>
      </c>
      <c r="J40" s="10" t="s">
        <v>60</v>
      </c>
    </row>
    <row r="41" ht="14.25" customHeight="1">
      <c r="A41" s="4" t="s">
        <v>62</v>
      </c>
      <c r="B41" s="4" t="s">
        <v>39</v>
      </c>
      <c r="C41" s="7">
        <v>5.5</v>
      </c>
      <c r="D41" s="7">
        <v>12.5</v>
      </c>
      <c r="E41" s="6">
        <f t="shared" si="19"/>
        <v>68.75</v>
      </c>
      <c r="F41" s="6">
        <f t="shared" si="20"/>
        <v>7</v>
      </c>
      <c r="G41" s="7">
        <v>23.5</v>
      </c>
      <c r="H41" s="8">
        <f t="array" ref="H41">_xlfn.CEILING.MATH(SWITCH(J41, "A", 13.21, "B", 4.86, "C", 10.56, "D", 10.87, "E", 16.75, "F", 22, "G", 13.2, "H", 19.3, "I", 17.5, "J", 12.8, "K", 17.3, "L", 17, -1))</f>
        <v>18</v>
      </c>
      <c r="I41" s="9">
        <f t="shared" si="21"/>
        <v>665</v>
      </c>
      <c r="J41" s="10" t="s">
        <v>60</v>
      </c>
    </row>
    <row r="42" ht="14.25" customHeight="1">
      <c r="A42" s="4" t="s">
        <v>63</v>
      </c>
      <c r="B42" s="4" t="s">
        <v>39</v>
      </c>
      <c r="C42" s="7">
        <v>5.5</v>
      </c>
      <c r="D42" s="7">
        <v>12.5</v>
      </c>
      <c r="E42" s="6">
        <f t="shared" si="19"/>
        <v>68.75</v>
      </c>
      <c r="F42" s="6">
        <f t="shared" si="20"/>
        <v>7</v>
      </c>
      <c r="G42" s="7">
        <v>29.5</v>
      </c>
      <c r="H42" s="8">
        <f t="array" ref="H42">_xlfn.CEILING.MATH(SWITCH(J42, "A", 13.21, "B", 4.86, "C", 10.56, "D", 10.87, "E", 16.75, "F", 22, "G", 13.2, "H", 19.3, "I", 17.5, "J", 12.8, "K", 17.3, "L", 17, -1))</f>
        <v>18</v>
      </c>
      <c r="I42" s="9">
        <f t="shared" si="21"/>
        <v>749</v>
      </c>
      <c r="J42" s="10" t="s">
        <v>60</v>
      </c>
    </row>
    <row r="43" ht="14.25" customHeight="1">
      <c r="A43" s="4" t="s">
        <v>64</v>
      </c>
      <c r="B43" s="4" t="s">
        <v>39</v>
      </c>
      <c r="C43" s="7">
        <v>5.5</v>
      </c>
      <c r="D43" s="7">
        <v>12.5</v>
      </c>
      <c r="E43" s="6">
        <f t="shared" si="19"/>
        <v>68.75</v>
      </c>
      <c r="F43" s="6">
        <f t="shared" si="20"/>
        <v>7</v>
      </c>
      <c r="G43" s="7">
        <v>35.5</v>
      </c>
      <c r="H43" s="8">
        <f t="array" ref="H43">_xlfn.CEILING.MATH(SWITCH(J43, "A", 13.21, "B", 4.86, "C", 10.56, "D", 10.87, "E", 16.75, "F", 22, "G", 13.2, "H", 19.3, "I", 17.5, "J", 12.8, "K", 17.3, "L", 17, -1))</f>
        <v>18</v>
      </c>
      <c r="I43" s="9">
        <f t="shared" si="21"/>
        <v>833</v>
      </c>
      <c r="J43" s="10" t="s">
        <v>60</v>
      </c>
    </row>
    <row r="44" ht="14.25" customHeight="1">
      <c r="A44" s="4" t="s">
        <v>65</v>
      </c>
      <c r="B44" s="4" t="s">
        <v>39</v>
      </c>
      <c r="C44" s="7">
        <v>5.5</v>
      </c>
      <c r="D44" s="7">
        <v>12.5</v>
      </c>
      <c r="E44" s="6">
        <f t="shared" si="19"/>
        <v>68.75</v>
      </c>
      <c r="F44" s="6">
        <f t="shared" si="20"/>
        <v>7</v>
      </c>
      <c r="G44" s="7">
        <v>41.5</v>
      </c>
      <c r="H44" s="8">
        <f t="array" ref="H44">_xlfn.CEILING.MATH(SWITCH(J44, "A", 13.21, "B", 4.86, "C", 10.56, "D", 10.87, "E", 16.75, "F", 22, "G", 13.2, "H", 19.3, "I", 17.5, "J", 12.8, "K", 17.3, "L", 17, -1))</f>
        <v>18</v>
      </c>
      <c r="I44" s="9">
        <f t="shared" si="21"/>
        <v>917</v>
      </c>
      <c r="J44" s="10" t="s">
        <v>60</v>
      </c>
    </row>
    <row r="45" ht="14.25" customHeight="1">
      <c r="A45" s="22" t="s">
        <v>66</v>
      </c>
      <c r="B45" s="22"/>
      <c r="C45" s="22"/>
      <c r="D45" s="22"/>
      <c r="E45" s="22"/>
      <c r="F45" s="22">
        <f>SUM(F22:F44)</f>
        <v>133</v>
      </c>
      <c r="G45" s="22"/>
      <c r="H45" s="23"/>
      <c r="I45" s="22">
        <f>SUM(I22:I44)</f>
        <v>12258.04</v>
      </c>
      <c r="J45" s="24"/>
    </row>
    <row r="46" ht="14.25" customHeight="1">
      <c r="A46" s="22"/>
      <c r="B46" s="22"/>
      <c r="C46" s="22"/>
      <c r="D46" s="22"/>
      <c r="E46" s="22"/>
      <c r="F46" s="22"/>
      <c r="G46" s="22"/>
      <c r="H46" s="23"/>
      <c r="I46" s="22"/>
      <c r="J46" s="24"/>
    </row>
    <row r="47" ht="14.25" customHeight="1">
      <c r="A47" s="4" t="s">
        <v>67</v>
      </c>
      <c r="B47" s="7" t="s">
        <v>68</v>
      </c>
      <c r="C47" s="5">
        <v>6.5</v>
      </c>
      <c r="D47" s="5">
        <v>8.5</v>
      </c>
      <c r="E47" s="6">
        <f t="shared" ref="E47:E48" si="22">C47*D47</f>
        <v>55.25</v>
      </c>
      <c r="F47" s="6">
        <f t="shared" ref="F47:F48" si="23">ROUNDUP(E47/10,0)</f>
        <v>6</v>
      </c>
      <c r="G47" s="7">
        <v>9.4</v>
      </c>
      <c r="H47" s="25">
        <f t="array" ref="H47">_xlfn.CEILING.MATH(SWITCH(J47, "A", 13.21, "B", 4.86, "C", 10.56, "D", 10.87, "E", 16.75, "F", 22, "G", 13.2, "H", 19.3, "I", 17.5, "J", 12.8, "K", 17.3, "L", 17, -1))</f>
        <v>14</v>
      </c>
      <c r="I47" s="9">
        <f t="shared" ref="I47:I48" si="24">2*F47*(G47+H47+6)</f>
        <v>352.8</v>
      </c>
      <c r="J47" s="10" t="s">
        <v>12</v>
      </c>
    </row>
    <row r="48" ht="14.25" customHeight="1">
      <c r="A48" s="4" t="s">
        <v>69</v>
      </c>
      <c r="B48" s="7" t="s">
        <v>68</v>
      </c>
      <c r="C48" s="5">
        <v>8.5</v>
      </c>
      <c r="D48" s="5">
        <v>6.5</v>
      </c>
      <c r="E48" s="6">
        <f t="shared" si="22"/>
        <v>55.25</v>
      </c>
      <c r="F48" s="6">
        <f t="shared" si="23"/>
        <v>6</v>
      </c>
      <c r="G48" s="7">
        <v>16.11</v>
      </c>
      <c r="H48" s="25">
        <f t="array" ref="H48">_xlfn.CEILING.MATH(SWITCH(J48, "A", 13.21, "B", 4.86, "C", 10.56, "D", 10.87, "E", 16.75, "F", 22, "G", 13.2, "H", 19.3, "I", 17.5, "J", 12.8, "K", 17.3, "L", 17, -1))</f>
        <v>5</v>
      </c>
      <c r="I48" s="9">
        <f t="shared" si="24"/>
        <v>325.32</v>
      </c>
      <c r="J48" s="10" t="s">
        <v>14</v>
      </c>
    </row>
    <row r="49" ht="14.25" customHeight="1">
      <c r="A49" s="11" t="s">
        <v>70</v>
      </c>
      <c r="B49" s="27" t="s">
        <v>68</v>
      </c>
      <c r="C49" s="13"/>
      <c r="D49" s="13"/>
      <c r="E49" s="13"/>
      <c r="F49" s="13"/>
      <c r="G49" s="13"/>
      <c r="H49" s="13"/>
      <c r="I49" s="13"/>
      <c r="J49" s="14"/>
    </row>
    <row r="50" ht="14.25" customHeight="1">
      <c r="A50" s="4" t="s">
        <v>71</v>
      </c>
      <c r="B50" s="7" t="s">
        <v>68</v>
      </c>
      <c r="C50" s="5">
        <v>5.5</v>
      </c>
      <c r="D50" s="5">
        <v>8.5</v>
      </c>
      <c r="E50" s="6">
        <f t="shared" ref="E50:E54" si="25">C50*D50</f>
        <v>46.75</v>
      </c>
      <c r="F50" s="6">
        <f t="shared" ref="F50:F54" si="26">ROUNDUP(E50/10,0)</f>
        <v>5</v>
      </c>
      <c r="G50" s="7">
        <v>21.82</v>
      </c>
      <c r="H50" s="25">
        <f t="array" ref="H50">_xlfn.CEILING.MATH(SWITCH(J50, "A", 13.21, "B", 4.86, "C", 10.56, "D", 10.87, "E", 16.75, "F", 22, "G", 13.2, "H", 19.3, "I", 17.5, "J", 12.8, "K", 17.3, "L", 17, -1))</f>
        <v>11</v>
      </c>
      <c r="I50" s="9">
        <f t="shared" ref="I50:I54" si="27">2*F50*(G50+H50+6)</f>
        <v>388.2</v>
      </c>
      <c r="J50" s="10" t="s">
        <v>17</v>
      </c>
    </row>
    <row r="51" ht="14.25" customHeight="1">
      <c r="A51" s="4" t="s">
        <v>72</v>
      </c>
      <c r="B51" s="7" t="s">
        <v>68</v>
      </c>
      <c r="C51" s="5">
        <v>5.5</v>
      </c>
      <c r="D51" s="5">
        <v>8.5</v>
      </c>
      <c r="E51" s="6">
        <f t="shared" si="25"/>
        <v>46.75</v>
      </c>
      <c r="F51" s="6">
        <f t="shared" si="26"/>
        <v>5</v>
      </c>
      <c r="G51" s="7">
        <v>27.82</v>
      </c>
      <c r="H51" s="25">
        <f t="array" ref="H51">_xlfn.CEILING.MATH(SWITCH(J51, "A", 13.21, "B", 4.86, "C", 10.56, "D", 10.87, "E", 16.75, "F", 22, "G", 13.2, "H", 19.3, "I", 17.5, "J", 12.8, "K", 17.3, "L", 17, -1))</f>
        <v>11</v>
      </c>
      <c r="I51" s="9">
        <f t="shared" si="27"/>
        <v>448.2</v>
      </c>
      <c r="J51" s="10" t="s">
        <v>17</v>
      </c>
    </row>
    <row r="52" ht="14.25" customHeight="1">
      <c r="A52" s="4" t="s">
        <v>73</v>
      </c>
      <c r="B52" s="7" t="s">
        <v>68</v>
      </c>
      <c r="C52" s="5">
        <v>5.5</v>
      </c>
      <c r="D52" s="5">
        <v>8.5</v>
      </c>
      <c r="E52" s="6">
        <f t="shared" si="25"/>
        <v>46.75</v>
      </c>
      <c r="F52" s="6">
        <f t="shared" si="26"/>
        <v>5</v>
      </c>
      <c r="G52" s="7">
        <v>33.53</v>
      </c>
      <c r="H52" s="25">
        <f t="array" ref="H52">_xlfn.CEILING.MATH(SWITCH(J52, "A", 13.21, "B", 4.86, "C", 10.56, "D", 10.87, "E", 16.75, "F", 22, "G", 13.2, "H", 19.3, "I", 17.5, "J", 12.8, "K", 17.3, "L", 17, -1))</f>
        <v>11</v>
      </c>
      <c r="I52" s="9">
        <f t="shared" si="27"/>
        <v>505.3</v>
      </c>
      <c r="J52" s="10" t="s">
        <v>17</v>
      </c>
    </row>
    <row r="53" ht="14.25" customHeight="1">
      <c r="A53" s="4" t="s">
        <v>74</v>
      </c>
      <c r="B53" s="7" t="s">
        <v>68</v>
      </c>
      <c r="C53" s="5">
        <v>5.5</v>
      </c>
      <c r="D53" s="5">
        <v>8.5</v>
      </c>
      <c r="E53" s="6">
        <f t="shared" si="25"/>
        <v>46.75</v>
      </c>
      <c r="F53" s="6">
        <f t="shared" si="26"/>
        <v>5</v>
      </c>
      <c r="G53" s="7">
        <v>39.53</v>
      </c>
      <c r="H53" s="25">
        <f t="array" ref="H53">_xlfn.CEILING.MATH(SWITCH(J53, "A", 13.21, "B", 4.86, "C", 10.56, "D", 10.87, "E", 16.75, "F", 22, "G", 13.2, "H", 19.3, "I", 17.5, "J", 12.8, "K", 17.3, "L", 17, -1))</f>
        <v>11</v>
      </c>
      <c r="I53" s="9">
        <f t="shared" si="27"/>
        <v>565.3</v>
      </c>
      <c r="J53" s="10" t="s">
        <v>17</v>
      </c>
    </row>
    <row r="54" ht="14.25" customHeight="1">
      <c r="A54" s="4" t="s">
        <v>75</v>
      </c>
      <c r="B54" s="7" t="s">
        <v>68</v>
      </c>
      <c r="C54" s="5">
        <v>5.5</v>
      </c>
      <c r="D54" s="5">
        <v>8.5</v>
      </c>
      <c r="E54" s="6">
        <f t="shared" si="25"/>
        <v>46.75</v>
      </c>
      <c r="F54" s="6">
        <f t="shared" si="26"/>
        <v>5</v>
      </c>
      <c r="G54" s="7">
        <v>45.24</v>
      </c>
      <c r="H54" s="25">
        <f t="array" ref="H54">_xlfn.CEILING.MATH(SWITCH(J54, "A", 13.21, "B", 4.86, "C", 10.56, "D", 10.87, "E", 16.75, "F", 22, "G", 13.2, "H", 19.3, "I", 17.5, "J", 12.8, "K", 17.3, "L", 17, -1))</f>
        <v>11</v>
      </c>
      <c r="I54" s="9">
        <f t="shared" si="27"/>
        <v>622.4</v>
      </c>
      <c r="J54" s="10" t="s">
        <v>17</v>
      </c>
    </row>
    <row r="55" ht="14.25" customHeight="1">
      <c r="A55" s="15" t="s">
        <v>76</v>
      </c>
      <c r="B55" s="16" t="s">
        <v>23</v>
      </c>
      <c r="C55" s="17"/>
      <c r="D55" s="17"/>
      <c r="E55" s="17"/>
      <c r="F55" s="17"/>
      <c r="G55" s="17"/>
      <c r="H55" s="17"/>
      <c r="I55" s="17"/>
      <c r="J55" s="18"/>
    </row>
    <row r="56" ht="14.25" customHeight="1">
      <c r="A56" s="15" t="s">
        <v>77</v>
      </c>
      <c r="B56" s="19"/>
      <c r="C56" s="20"/>
      <c r="D56" s="20"/>
      <c r="E56" s="20"/>
      <c r="F56" s="20"/>
      <c r="G56" s="20"/>
      <c r="H56" s="20"/>
      <c r="I56" s="20"/>
      <c r="J56" s="21"/>
    </row>
    <row r="57" ht="14.25" customHeight="1">
      <c r="A57" s="4" t="s">
        <v>78</v>
      </c>
      <c r="B57" s="7" t="s">
        <v>68</v>
      </c>
      <c r="C57" s="5">
        <v>8.5</v>
      </c>
      <c r="D57" s="5">
        <v>11.5</v>
      </c>
      <c r="E57" s="6">
        <f t="shared" ref="E57:E64" si="28">C57*D57</f>
        <v>97.75</v>
      </c>
      <c r="F57" s="6">
        <f t="shared" ref="F57:F64" si="29">ROUNDUP(E57/10,0)</f>
        <v>10</v>
      </c>
      <c r="G57" s="7">
        <v>0.5</v>
      </c>
      <c r="H57" s="25">
        <f t="array" ref="H57">_xlfn.CEILING.MATH(SWITCH(J57, "A", 13.21, "B", 4.86, "C", 10.56, "D", 10.87, "E", 16.75, "F", 22, "G", 13.2, "H", 19.3, "I", 17.5, "J", 12.8, "K", 17.3, "L", 17, -1))</f>
        <v>11</v>
      </c>
      <c r="I57" s="9">
        <f t="shared" ref="I57:I64" si="30">2*F57*(G57+H57+6)</f>
        <v>350</v>
      </c>
      <c r="J57" s="10" t="s">
        <v>26</v>
      </c>
    </row>
    <row r="58" ht="14.25" customHeight="1">
      <c r="A58" s="4" t="s">
        <v>79</v>
      </c>
      <c r="B58" s="7" t="s">
        <v>68</v>
      </c>
      <c r="C58" s="5">
        <v>20.0</v>
      </c>
      <c r="D58" s="5">
        <v>16.5</v>
      </c>
      <c r="E58" s="6">
        <f t="shared" si="28"/>
        <v>330</v>
      </c>
      <c r="F58" s="6">
        <f t="shared" si="29"/>
        <v>33</v>
      </c>
      <c r="G58" s="7">
        <v>5.0</v>
      </c>
      <c r="H58" s="25">
        <f t="array" ref="H58">_xlfn.CEILING.MATH(SWITCH(J58, "A", 13.21, "B", 4.86, "C", 10.56, "D", 10.87, "E", 16.75, "F", 22, "G", 13.2, "H", 19.3, "I", 17.5, "J", 12.8, "K", 17.3, "L", 17, -1))</f>
        <v>22</v>
      </c>
      <c r="I58" s="9">
        <f t="shared" si="30"/>
        <v>2178</v>
      </c>
      <c r="J58" s="10" t="s">
        <v>28</v>
      </c>
    </row>
    <row r="59" ht="14.25" customHeight="1">
      <c r="A59" s="4" t="s">
        <v>80</v>
      </c>
      <c r="B59" s="7" t="s">
        <v>68</v>
      </c>
      <c r="C59" s="5">
        <v>6.5</v>
      </c>
      <c r="D59" s="5">
        <v>11.5</v>
      </c>
      <c r="E59" s="6">
        <f t="shared" si="28"/>
        <v>74.75</v>
      </c>
      <c r="F59" s="6">
        <f t="shared" si="29"/>
        <v>8</v>
      </c>
      <c r="G59" s="7">
        <v>84.64</v>
      </c>
      <c r="H59" s="25">
        <f t="array" ref="H59">_xlfn.CEILING.MATH(SWITCH(J59, "A", 13.21, "B", 4.86, "C", 10.56, "D", 10.87, "E", 16.75, "F", 22, "G", 13.2, "H", 19.3, "I", 17.5, "J", 12.8, "K", 17.3, "L", 17, -1))</f>
        <v>17</v>
      </c>
      <c r="I59" s="9">
        <f t="shared" si="30"/>
        <v>1722.24</v>
      </c>
      <c r="J59" s="10" t="s">
        <v>30</v>
      </c>
    </row>
    <row r="60" ht="14.25" customHeight="1">
      <c r="A60" s="4" t="s">
        <v>81</v>
      </c>
      <c r="B60" s="7" t="s">
        <v>68</v>
      </c>
      <c r="C60" s="5">
        <v>6.5</v>
      </c>
      <c r="D60" s="5">
        <v>11.5</v>
      </c>
      <c r="E60" s="6">
        <f t="shared" si="28"/>
        <v>74.75</v>
      </c>
      <c r="F60" s="6">
        <f t="shared" si="29"/>
        <v>8</v>
      </c>
      <c r="G60" s="7">
        <v>91.78</v>
      </c>
      <c r="H60" s="25">
        <f t="array" ref="H60">_xlfn.CEILING.MATH(SWITCH(J60, "A", 13.21, "B", 4.86, "C", 10.56, "D", 10.87, "E", 16.75, "F", 22, "G", 13.2, "H", 19.3, "I", 17.5, "J", 12.8, "K", 17.3, "L", 17, -1))</f>
        <v>17</v>
      </c>
      <c r="I60" s="9">
        <f t="shared" si="30"/>
        <v>1836.48</v>
      </c>
      <c r="J60" s="10" t="s">
        <v>30</v>
      </c>
    </row>
    <row r="61" ht="14.25" customHeight="1">
      <c r="A61" s="4" t="s">
        <v>82</v>
      </c>
      <c r="B61" s="7" t="s">
        <v>68</v>
      </c>
      <c r="C61" s="5">
        <v>6.5</v>
      </c>
      <c r="D61" s="5">
        <v>11.5</v>
      </c>
      <c r="E61" s="6">
        <f t="shared" si="28"/>
        <v>74.75</v>
      </c>
      <c r="F61" s="6">
        <f t="shared" si="29"/>
        <v>8</v>
      </c>
      <c r="G61" s="7">
        <v>98.78</v>
      </c>
      <c r="H61" s="25">
        <f t="array" ref="H61">_xlfn.CEILING.MATH(SWITCH(J61, "A", 13.21, "B", 4.86, "C", 10.56, "D", 10.87, "E", 16.75, "F", 22, "G", 13.2, "H", 19.3, "I", 17.5, "J", 12.8, "K", 17.3, "L", 17, -1))</f>
        <v>17</v>
      </c>
      <c r="I61" s="9">
        <f t="shared" si="30"/>
        <v>1948.48</v>
      </c>
      <c r="J61" s="10" t="s">
        <v>30</v>
      </c>
    </row>
    <row r="62" ht="14.25" customHeight="1">
      <c r="A62" s="4" t="s">
        <v>83</v>
      </c>
      <c r="B62" s="7" t="s">
        <v>68</v>
      </c>
      <c r="C62" s="5">
        <v>6.5</v>
      </c>
      <c r="D62" s="5">
        <v>11.5</v>
      </c>
      <c r="E62" s="6">
        <f t="shared" si="28"/>
        <v>74.75</v>
      </c>
      <c r="F62" s="6">
        <f t="shared" si="29"/>
        <v>8</v>
      </c>
      <c r="G62" s="7">
        <v>105.92</v>
      </c>
      <c r="H62" s="25">
        <f t="array" ref="H62">_xlfn.CEILING.MATH(SWITCH(J62, "A", 13.21, "B", 4.86, "C", 10.56, "D", 10.87, "E", 16.75, "F", 22, "G", 13.2, "H", 19.3, "I", 17.5, "J", 12.8, "K", 17.3, "L", 17, -1))</f>
        <v>17</v>
      </c>
      <c r="I62" s="9">
        <f t="shared" si="30"/>
        <v>2062.72</v>
      </c>
      <c r="J62" s="10" t="s">
        <v>30</v>
      </c>
    </row>
    <row r="63" ht="14.25" customHeight="1">
      <c r="A63" s="4" t="s">
        <v>84</v>
      </c>
      <c r="B63" s="7" t="s">
        <v>68</v>
      </c>
      <c r="C63" s="5">
        <v>6.5</v>
      </c>
      <c r="D63" s="5">
        <v>11.5</v>
      </c>
      <c r="E63" s="6">
        <f t="shared" si="28"/>
        <v>74.75</v>
      </c>
      <c r="F63" s="6">
        <f t="shared" si="29"/>
        <v>8</v>
      </c>
      <c r="G63" s="7">
        <v>112.92</v>
      </c>
      <c r="H63" s="25">
        <f t="array" ref="H63">_xlfn.CEILING.MATH(SWITCH(J63, "A", 13.21, "B", 4.86, "C", 10.56, "D", 10.87, "E", 16.75, "F", 22, "G", 13.2, "H", 19.3, "I", 17.5, "J", 12.8, "K", 17.3, "L", 17, -1))</f>
        <v>17</v>
      </c>
      <c r="I63" s="9">
        <f t="shared" si="30"/>
        <v>2174.72</v>
      </c>
      <c r="J63" s="10" t="s">
        <v>30</v>
      </c>
    </row>
    <row r="64" ht="14.25" customHeight="1">
      <c r="A64" s="4" t="s">
        <v>85</v>
      </c>
      <c r="B64" s="7" t="s">
        <v>68</v>
      </c>
      <c r="C64" s="5">
        <v>10.0</v>
      </c>
      <c r="D64" s="5">
        <v>20.0</v>
      </c>
      <c r="E64" s="6">
        <f t="shared" si="28"/>
        <v>200</v>
      </c>
      <c r="F64" s="6">
        <f t="shared" si="29"/>
        <v>20</v>
      </c>
      <c r="G64" s="7">
        <v>17.5</v>
      </c>
      <c r="H64" s="25">
        <f t="array" ref="H64">_xlfn.CEILING.MATH(SWITCH(J64, "A", 13.21, "B", 4.86, "C", 10.56, "D", 10.87, "E", 16.75, "F", 22, "G", 13.2, "H", 19.3, "I", 17.5, "J", 12.8, "K", 17.3, "L", 17, -1))</f>
        <v>14</v>
      </c>
      <c r="I64" s="9">
        <f t="shared" si="30"/>
        <v>1500</v>
      </c>
      <c r="J64" s="10" t="s">
        <v>36</v>
      </c>
    </row>
    <row r="65" ht="14.25" customHeight="1">
      <c r="A65" s="22" t="s">
        <v>86</v>
      </c>
      <c r="B65" s="22"/>
      <c r="C65" s="22"/>
      <c r="D65" s="22"/>
      <c r="E65" s="22"/>
      <c r="F65" s="22">
        <f>SUM(F47:F64)</f>
        <v>140</v>
      </c>
      <c r="G65" s="22"/>
      <c r="H65" s="23"/>
      <c r="I65" s="22">
        <f>SUM(I47:I64)</f>
        <v>16980.16</v>
      </c>
      <c r="J65" s="24"/>
    </row>
    <row r="66" ht="14.25" customHeight="1">
      <c r="A66" s="22"/>
      <c r="B66" s="22"/>
      <c r="C66" s="22"/>
      <c r="D66" s="22"/>
      <c r="E66" s="22"/>
      <c r="F66" s="22"/>
      <c r="G66" s="22"/>
      <c r="H66" s="23"/>
      <c r="I66" s="22"/>
      <c r="J66" s="24"/>
    </row>
    <row r="67" ht="14.25" customHeight="1">
      <c r="A67" s="4" t="s">
        <v>87</v>
      </c>
      <c r="B67" s="4" t="s">
        <v>88</v>
      </c>
      <c r="C67" s="5">
        <v>6.5</v>
      </c>
      <c r="D67" s="5">
        <v>11.5</v>
      </c>
      <c r="E67" s="6">
        <f t="shared" ref="E67:E68" si="31">C67*D67</f>
        <v>74.75</v>
      </c>
      <c r="F67" s="6">
        <f t="shared" ref="F67:F68" si="32">ROUNDUP(E67/10,0)</f>
        <v>8</v>
      </c>
      <c r="G67" s="7">
        <v>32.0</v>
      </c>
      <c r="H67" s="25">
        <f t="array" ref="H67">_xlfn.CEILING.MATH(SWITCH(J67, "A", 13.21, "B", 4.86, "C", 10.56, "D", 10.87, "E", 16.75, "F", 22, "G", 13.2, "H", 19.3, "I", 17.5, "J", 12.8, "K", 17.3, "L", 17, -1))</f>
        <v>17</v>
      </c>
      <c r="I67" s="9">
        <f t="shared" ref="I67:I68" si="33">2*F67*(G67+H67+6)</f>
        <v>880</v>
      </c>
      <c r="J67" s="10" t="s">
        <v>30</v>
      </c>
    </row>
    <row r="68" ht="14.25" customHeight="1">
      <c r="A68" s="4" t="s">
        <v>89</v>
      </c>
      <c r="B68" s="4" t="s">
        <v>88</v>
      </c>
      <c r="C68" s="5">
        <v>6.5</v>
      </c>
      <c r="D68" s="5">
        <v>11.5</v>
      </c>
      <c r="E68" s="6">
        <f t="shared" si="31"/>
        <v>74.75</v>
      </c>
      <c r="F68" s="6">
        <f t="shared" si="32"/>
        <v>8</v>
      </c>
      <c r="G68" s="7">
        <v>27.0</v>
      </c>
      <c r="H68" s="25">
        <f t="array" ref="H68">_xlfn.CEILING.MATH(SWITCH(J68, "A", 13.21, "B", 4.86, "C", 10.56, "D", 10.87, "E", 16.75, "F", 22, "G", 13.2, "H", 19.3, "I", 17.5, "J", 12.8, "K", 17.3, "L", 17, -1))</f>
        <v>17</v>
      </c>
      <c r="I68" s="9">
        <f t="shared" si="33"/>
        <v>800</v>
      </c>
      <c r="J68" s="10" t="s">
        <v>30</v>
      </c>
    </row>
    <row r="69" ht="14.25" customHeight="1">
      <c r="A69" s="15" t="s">
        <v>90</v>
      </c>
      <c r="B69" s="16" t="s">
        <v>23</v>
      </c>
      <c r="C69" s="17"/>
      <c r="D69" s="17"/>
      <c r="E69" s="17"/>
      <c r="F69" s="17"/>
      <c r="G69" s="17"/>
      <c r="H69" s="17"/>
      <c r="I69" s="17"/>
      <c r="J69" s="18"/>
    </row>
    <row r="70" ht="14.25" customHeight="1">
      <c r="A70" s="15" t="s">
        <v>91</v>
      </c>
      <c r="B70" s="19"/>
      <c r="C70" s="20"/>
      <c r="D70" s="20"/>
      <c r="E70" s="20"/>
      <c r="F70" s="20"/>
      <c r="G70" s="20"/>
      <c r="H70" s="20"/>
      <c r="I70" s="20"/>
      <c r="J70" s="21"/>
    </row>
    <row r="71" ht="14.25" customHeight="1">
      <c r="A71" s="4" t="s">
        <v>92</v>
      </c>
      <c r="B71" s="4" t="s">
        <v>88</v>
      </c>
      <c r="C71" s="5">
        <v>10.0</v>
      </c>
      <c r="D71" s="5">
        <v>20.0</v>
      </c>
      <c r="E71" s="6">
        <f t="shared" ref="E71:E74" si="34">C71*D71</f>
        <v>200</v>
      </c>
      <c r="F71" s="6">
        <f t="shared" ref="F71:F74" si="35">ROUNDUP(E71/10,0)</f>
        <v>20</v>
      </c>
      <c r="G71" s="7">
        <v>0.5</v>
      </c>
      <c r="H71" s="25">
        <f t="array" ref="H71">_xlfn.CEILING.MATH(SWITCH(J71, "A", 13.21, "B", 4.86, "C", 10.56, "D", 10.87, "E", 16.75, "F", 22, "G", 13.2, "H", 19.3, "I", 17.5, "J", 12.8, "K", 17.3, "L", 17, -1))</f>
        <v>14</v>
      </c>
      <c r="I71" s="9">
        <f t="shared" ref="I71:I74" si="36">2*F71*(G71+H71+6)</f>
        <v>820</v>
      </c>
      <c r="J71" s="10" t="s">
        <v>36</v>
      </c>
    </row>
    <row r="72" ht="14.25" customHeight="1">
      <c r="A72" s="4" t="s">
        <v>93</v>
      </c>
      <c r="B72" s="4" t="s">
        <v>88</v>
      </c>
      <c r="C72" s="7">
        <v>5.0</v>
      </c>
      <c r="D72" s="7">
        <v>14.0</v>
      </c>
      <c r="E72" s="6">
        <f t="shared" si="34"/>
        <v>70</v>
      </c>
      <c r="F72" s="6">
        <f t="shared" si="35"/>
        <v>7</v>
      </c>
      <c r="G72" s="7">
        <v>56.07</v>
      </c>
      <c r="H72" s="25">
        <f t="array" ref="H72">_xlfn.CEILING.MATH(SWITCH(J72, "A", 13.21, "B", 4.86, "C", 10.56, "D", 10.87, "E", 16.75, "F", 22, "G", 13.2, "H", 19.3, "I", 17.5, "J", 12.8, "K", 17.3, "L", 17, -1))</f>
        <v>17</v>
      </c>
      <c r="I72" s="9">
        <f t="shared" si="36"/>
        <v>1106.98</v>
      </c>
      <c r="J72" s="10" t="s">
        <v>94</v>
      </c>
    </row>
    <row r="73" ht="14.25" customHeight="1">
      <c r="A73" s="4" t="s">
        <v>95</v>
      </c>
      <c r="B73" s="4" t="s">
        <v>88</v>
      </c>
      <c r="C73" s="7">
        <v>9.0</v>
      </c>
      <c r="D73" s="7">
        <v>6.5</v>
      </c>
      <c r="E73" s="6">
        <f t="shared" si="34"/>
        <v>58.5</v>
      </c>
      <c r="F73" s="6">
        <f t="shared" si="35"/>
        <v>6</v>
      </c>
      <c r="G73" s="7">
        <v>12.54</v>
      </c>
      <c r="H73" s="25">
        <f t="array" ref="H73">_xlfn.CEILING.MATH(SWITCH(J73, "A", 13.21, "B", 4.86, "C", 10.56, "D", 10.87, "E", 16.75, "F", 22, "G", 13.2, "H", 19.3, "I", 17.5, "J", 12.8, "K", 17.3, "L", 17, -1))</f>
        <v>18</v>
      </c>
      <c r="I73" s="9">
        <f t="shared" si="36"/>
        <v>438.48</v>
      </c>
      <c r="J73" s="10" t="s">
        <v>48</v>
      </c>
    </row>
    <row r="74" ht="14.25" customHeight="1">
      <c r="A74" s="4" t="s">
        <v>96</v>
      </c>
      <c r="B74" s="4" t="s">
        <v>88</v>
      </c>
      <c r="C74" s="7">
        <v>6.5</v>
      </c>
      <c r="D74" s="7">
        <v>9.0</v>
      </c>
      <c r="E74" s="6">
        <f t="shared" si="34"/>
        <v>58.5</v>
      </c>
      <c r="F74" s="6">
        <f t="shared" si="35"/>
        <v>6</v>
      </c>
      <c r="G74" s="7">
        <v>21.88</v>
      </c>
      <c r="H74" s="25">
        <f t="array" ref="H74">_xlfn.CEILING.MATH(SWITCH(J74, "A", 13.21, "B", 4.86, "C", 10.56, "D", 10.87, "E", 16.75, "F", 22, "G", 13.2, "H", 19.3, "I", 17.5, "J", 12.8, "K", 17.3, "L", 17, -1))</f>
        <v>18</v>
      </c>
      <c r="I74" s="9">
        <f t="shared" si="36"/>
        <v>550.56</v>
      </c>
      <c r="J74" s="10" t="s">
        <v>48</v>
      </c>
    </row>
    <row r="75" ht="14.25" customHeight="1">
      <c r="A75" s="11" t="s">
        <v>97</v>
      </c>
      <c r="B75" s="12" t="s">
        <v>88</v>
      </c>
      <c r="C75" s="13"/>
      <c r="D75" s="13"/>
      <c r="E75" s="13"/>
      <c r="F75" s="13"/>
      <c r="G75" s="13"/>
      <c r="H75" s="13"/>
      <c r="I75" s="13"/>
      <c r="J75" s="14"/>
    </row>
    <row r="76" ht="14.25" customHeight="1">
      <c r="A76" s="4" t="s">
        <v>98</v>
      </c>
      <c r="B76" s="4" t="s">
        <v>88</v>
      </c>
      <c r="C76" s="7">
        <v>4.5</v>
      </c>
      <c r="D76" s="7">
        <v>9.5</v>
      </c>
      <c r="E76" s="6">
        <f t="shared" ref="E76:E80" si="37">C76*D76</f>
        <v>42.75</v>
      </c>
      <c r="F76" s="6">
        <f t="shared" ref="F76:F80" si="38">ROUNDUP(E76/10,0)</f>
        <v>5</v>
      </c>
      <c r="G76" s="7">
        <v>11.5</v>
      </c>
      <c r="H76" s="25">
        <f t="array" ref="H76">_xlfn.CEILING.MATH(SWITCH(J76, "A", 13.21, "B", 4.86, "C", 10.56, "D", 10.87, "E", 16.75, "F", 22, "G", 13.2, "H", 19.3, "I", 17.5, "J", 12.8, "K", 17.3, "L", 17, -1))</f>
        <v>13</v>
      </c>
      <c r="I76" s="9">
        <f t="shared" ref="I76:I80" si="39">2*F76*(G76+H76+6)</f>
        <v>305</v>
      </c>
      <c r="J76" s="10" t="s">
        <v>52</v>
      </c>
    </row>
    <row r="77" ht="14.25" customHeight="1">
      <c r="A77" s="4" t="s">
        <v>99</v>
      </c>
      <c r="B77" s="4" t="s">
        <v>88</v>
      </c>
      <c r="C77" s="7">
        <v>4.5</v>
      </c>
      <c r="D77" s="7">
        <v>9.5</v>
      </c>
      <c r="E77" s="6">
        <f t="shared" si="37"/>
        <v>42.75</v>
      </c>
      <c r="F77" s="6">
        <f t="shared" si="38"/>
        <v>5</v>
      </c>
      <c r="G77" s="7">
        <v>17.0</v>
      </c>
      <c r="H77" s="25">
        <f t="array" ref="H77">_xlfn.CEILING.MATH(SWITCH(J77, "A", 13.21, "B", 4.86, "C", 10.56, "D", 10.87, "E", 16.75, "F", 22, "G", 13.2, "H", 19.3, "I", 17.5, "J", 12.8, "K", 17.3, "L", 17, -1))</f>
        <v>13</v>
      </c>
      <c r="I77" s="9">
        <f t="shared" si="39"/>
        <v>360</v>
      </c>
      <c r="J77" s="10" t="s">
        <v>52</v>
      </c>
    </row>
    <row r="78" ht="14.25" customHeight="1">
      <c r="A78" s="4" t="s">
        <v>100</v>
      </c>
      <c r="B78" s="4" t="s">
        <v>88</v>
      </c>
      <c r="C78" s="7">
        <v>4.5</v>
      </c>
      <c r="D78" s="7">
        <v>9.5</v>
      </c>
      <c r="E78" s="6">
        <f t="shared" si="37"/>
        <v>42.75</v>
      </c>
      <c r="F78" s="6">
        <f t="shared" si="38"/>
        <v>5</v>
      </c>
      <c r="G78" s="7">
        <v>22.5</v>
      </c>
      <c r="H78" s="25">
        <f t="array" ref="H78">_xlfn.CEILING.MATH(SWITCH(J78, "A", 13.21, "B", 4.86, "C", 10.56, "D", 10.87, "E", 16.75, "F", 22, "G", 13.2, "H", 19.3, "I", 17.5, "J", 12.8, "K", 17.3, "L", 17, -1))</f>
        <v>13</v>
      </c>
      <c r="I78" s="9">
        <f t="shared" si="39"/>
        <v>415</v>
      </c>
      <c r="J78" s="10" t="s">
        <v>52</v>
      </c>
    </row>
    <row r="79" ht="14.25" customHeight="1">
      <c r="A79" s="4" t="s">
        <v>101</v>
      </c>
      <c r="B79" s="4" t="s">
        <v>88</v>
      </c>
      <c r="C79" s="7">
        <v>4.5</v>
      </c>
      <c r="D79" s="7">
        <v>9.5</v>
      </c>
      <c r="E79" s="6">
        <f t="shared" si="37"/>
        <v>42.75</v>
      </c>
      <c r="F79" s="6">
        <f t="shared" si="38"/>
        <v>5</v>
      </c>
      <c r="G79" s="7">
        <v>28.0</v>
      </c>
      <c r="H79" s="25">
        <f t="array" ref="H79">_xlfn.CEILING.MATH(SWITCH(J79, "A", 13.21, "B", 4.86, "C", 10.56, "D", 10.87, "E", 16.75, "F", 22, "G", 13.2, "H", 19.3, "I", 17.5, "J", 12.8, "K", 17.3, "L", 17, -1))</f>
        <v>13</v>
      </c>
      <c r="I79" s="9">
        <f t="shared" si="39"/>
        <v>470</v>
      </c>
      <c r="J79" s="10" t="s">
        <v>52</v>
      </c>
    </row>
    <row r="80" ht="14.25" customHeight="1">
      <c r="A80" s="4" t="s">
        <v>102</v>
      </c>
      <c r="B80" s="4" t="s">
        <v>88</v>
      </c>
      <c r="C80" s="7">
        <v>4.5</v>
      </c>
      <c r="D80" s="7">
        <v>9.5</v>
      </c>
      <c r="E80" s="6">
        <f t="shared" si="37"/>
        <v>42.75</v>
      </c>
      <c r="F80" s="6">
        <f t="shared" si="38"/>
        <v>5</v>
      </c>
      <c r="G80" s="7">
        <v>33.5</v>
      </c>
      <c r="H80" s="25">
        <f t="array" ref="H80">_xlfn.CEILING.MATH(SWITCH(J80, "A", 13.21, "B", 4.86, "C", 10.56, "D", 10.87, "E", 16.75, "F", 22, "G", 13.2, "H", 19.3, "I", 17.5, "J", 12.8, "K", 17.3, "L", 17, -1))</f>
        <v>13</v>
      </c>
      <c r="I80" s="9">
        <f t="shared" si="39"/>
        <v>525</v>
      </c>
      <c r="J80" s="10" t="s">
        <v>52</v>
      </c>
    </row>
    <row r="81" ht="14.25" customHeight="1">
      <c r="A81" s="15" t="s">
        <v>103</v>
      </c>
      <c r="B81" s="26" t="s">
        <v>23</v>
      </c>
      <c r="C81" s="17"/>
      <c r="D81" s="17"/>
      <c r="E81" s="17"/>
      <c r="F81" s="17"/>
      <c r="G81" s="17"/>
      <c r="H81" s="17"/>
      <c r="I81" s="17"/>
      <c r="J81" s="18"/>
    </row>
    <row r="82" ht="14.25" customHeight="1">
      <c r="A82" s="15" t="s">
        <v>104</v>
      </c>
      <c r="B82" s="19"/>
      <c r="C82" s="20"/>
      <c r="D82" s="20"/>
      <c r="E82" s="20"/>
      <c r="F82" s="20"/>
      <c r="G82" s="20"/>
      <c r="H82" s="20"/>
      <c r="I82" s="20"/>
      <c r="J82" s="21"/>
    </row>
    <row r="83" ht="14.25" customHeight="1">
      <c r="A83" s="4" t="s">
        <v>105</v>
      </c>
      <c r="B83" s="4" t="s">
        <v>88</v>
      </c>
      <c r="C83" s="7">
        <v>5.5</v>
      </c>
      <c r="D83" s="7">
        <v>12.5</v>
      </c>
      <c r="E83" s="6">
        <f t="shared" ref="E83:E88" si="40">C83*D83</f>
        <v>68.75</v>
      </c>
      <c r="F83" s="6">
        <f t="shared" ref="F83:F88" si="41">ROUNDUP(E83/10,0)</f>
        <v>7</v>
      </c>
      <c r="G83" s="7">
        <v>10.5</v>
      </c>
      <c r="H83" s="25">
        <f t="array" ref="H83">_xlfn.CEILING.MATH(SWITCH(J83, "A", 13.21, "B", 4.86, "C", 10.56, "D", 10.87, "E", 16.75, "F", 22, "G", 13.2, "H", 19.3, "I", 17.5, "J", 12.8, "K", 17.3, "L", 17, -1))</f>
        <v>18</v>
      </c>
      <c r="I83" s="9">
        <f t="shared" ref="I83:I88" si="42">2*F83*(G83+H83+6)</f>
        <v>483</v>
      </c>
      <c r="J83" s="10" t="s">
        <v>60</v>
      </c>
    </row>
    <row r="84" ht="14.25" customHeight="1">
      <c r="A84" s="4" t="s">
        <v>106</v>
      </c>
      <c r="B84" s="4" t="s">
        <v>88</v>
      </c>
      <c r="C84" s="7">
        <v>5.5</v>
      </c>
      <c r="D84" s="7">
        <v>12.5</v>
      </c>
      <c r="E84" s="6">
        <f t="shared" si="40"/>
        <v>68.75</v>
      </c>
      <c r="F84" s="6">
        <f t="shared" si="41"/>
        <v>7</v>
      </c>
      <c r="G84" s="7">
        <v>17.5</v>
      </c>
      <c r="H84" s="25">
        <f t="array" ref="H84">_xlfn.CEILING.MATH(SWITCH(J84, "A", 13.21, "B", 4.86, "C", 10.56, "D", 10.87, "E", 16.75, "F", 22, "G", 13.2, "H", 19.3, "I", 17.5, "J", 12.8, "K", 17.3, "L", 17, -1))</f>
        <v>18</v>
      </c>
      <c r="I84" s="9">
        <f t="shared" si="42"/>
        <v>581</v>
      </c>
      <c r="J84" s="10" t="s">
        <v>60</v>
      </c>
    </row>
    <row r="85" ht="14.25" customHeight="1">
      <c r="A85" s="4" t="s">
        <v>107</v>
      </c>
      <c r="B85" s="4" t="s">
        <v>88</v>
      </c>
      <c r="C85" s="7">
        <v>5.5</v>
      </c>
      <c r="D85" s="7">
        <v>12.5</v>
      </c>
      <c r="E85" s="6">
        <f t="shared" si="40"/>
        <v>68.75</v>
      </c>
      <c r="F85" s="6">
        <f t="shared" si="41"/>
        <v>7</v>
      </c>
      <c r="G85" s="7">
        <v>23.5</v>
      </c>
      <c r="H85" s="25">
        <f t="array" ref="H85">_xlfn.CEILING.MATH(SWITCH(J85, "A", 13.21, "B", 4.86, "C", 10.56, "D", 10.87, "E", 16.75, "F", 22, "G", 13.2, "H", 19.3, "I", 17.5, "J", 12.8, "K", 17.3, "L", 17, -1))</f>
        <v>18</v>
      </c>
      <c r="I85" s="9">
        <f t="shared" si="42"/>
        <v>665</v>
      </c>
      <c r="J85" s="10" t="s">
        <v>60</v>
      </c>
    </row>
    <row r="86" ht="14.25" customHeight="1">
      <c r="A86" s="4" t="s">
        <v>108</v>
      </c>
      <c r="B86" s="4" t="s">
        <v>88</v>
      </c>
      <c r="C86" s="7">
        <v>5.5</v>
      </c>
      <c r="D86" s="7">
        <v>12.5</v>
      </c>
      <c r="E86" s="6">
        <f t="shared" si="40"/>
        <v>68.75</v>
      </c>
      <c r="F86" s="6">
        <f t="shared" si="41"/>
        <v>7</v>
      </c>
      <c r="G86" s="7">
        <v>29.5</v>
      </c>
      <c r="H86" s="25">
        <f t="array" ref="H86">_xlfn.CEILING.MATH(SWITCH(J86, "A", 13.21, "B", 4.86, "C", 10.56, "D", 10.87, "E", 16.75, "F", 22, "G", 13.2, "H", 19.3, "I", 17.5, "J", 12.8, "K", 17.3, "L", 17, -1))</f>
        <v>18</v>
      </c>
      <c r="I86" s="9">
        <f t="shared" si="42"/>
        <v>749</v>
      </c>
      <c r="J86" s="10" t="s">
        <v>60</v>
      </c>
    </row>
    <row r="87" ht="14.25" customHeight="1">
      <c r="A87" s="4" t="s">
        <v>109</v>
      </c>
      <c r="B87" s="4" t="s">
        <v>88</v>
      </c>
      <c r="C87" s="7">
        <v>5.5</v>
      </c>
      <c r="D87" s="7">
        <v>12.5</v>
      </c>
      <c r="E87" s="6">
        <f t="shared" si="40"/>
        <v>68.75</v>
      </c>
      <c r="F87" s="6">
        <f t="shared" si="41"/>
        <v>7</v>
      </c>
      <c r="G87" s="7">
        <v>35.5</v>
      </c>
      <c r="H87" s="25">
        <f t="array" ref="H87">_xlfn.CEILING.MATH(SWITCH(J87, "A", 13.21, "B", 4.86, "C", 10.56, "D", 10.87, "E", 16.75, "F", 22, "G", 13.2, "H", 19.3, "I", 17.5, "J", 12.8, "K", 17.3, "L", 17, -1))</f>
        <v>18</v>
      </c>
      <c r="I87" s="9">
        <f t="shared" si="42"/>
        <v>833</v>
      </c>
      <c r="J87" s="10" t="s">
        <v>60</v>
      </c>
    </row>
    <row r="88" ht="14.25" customHeight="1">
      <c r="A88" s="4" t="s">
        <v>110</v>
      </c>
      <c r="B88" s="4" t="s">
        <v>88</v>
      </c>
      <c r="C88" s="7">
        <v>5.5</v>
      </c>
      <c r="D88" s="7">
        <v>12.5</v>
      </c>
      <c r="E88" s="6">
        <f t="shared" si="40"/>
        <v>68.75</v>
      </c>
      <c r="F88" s="6">
        <f t="shared" si="41"/>
        <v>7</v>
      </c>
      <c r="G88" s="7">
        <v>41.5</v>
      </c>
      <c r="H88" s="25">
        <f t="array" ref="H88">_xlfn.CEILING.MATH(SWITCH(J88, "A", 13.21, "B", 4.86, "C", 10.56, "D", 10.87, "E", 16.75, "F", 22, "G", 13.2, "H", 19.3, "I", 17.5, "J", 12.8, "K", 17.3, "L", 17, -1))</f>
        <v>18</v>
      </c>
      <c r="I88" s="9">
        <f t="shared" si="42"/>
        <v>917</v>
      </c>
      <c r="J88" s="10" t="s">
        <v>60</v>
      </c>
    </row>
    <row r="89" ht="14.25" customHeight="1">
      <c r="A89" s="22" t="s">
        <v>111</v>
      </c>
      <c r="B89" s="22"/>
      <c r="C89" s="22"/>
      <c r="D89" s="22"/>
      <c r="E89" s="22"/>
      <c r="F89" s="22">
        <f>SUM(F67:F88)</f>
        <v>122</v>
      </c>
      <c r="G89" s="22"/>
      <c r="H89" s="23"/>
      <c r="I89" s="22">
        <f>SUM(I67:I88)</f>
        <v>10899.02</v>
      </c>
      <c r="J89" s="24"/>
    </row>
    <row r="90" ht="14.25" customHeight="1">
      <c r="H90" s="28"/>
      <c r="J90" s="24"/>
    </row>
    <row r="91" ht="14.25" customHeight="1">
      <c r="A91" s="29" t="s">
        <v>112</v>
      </c>
      <c r="B91" s="29"/>
      <c r="C91" s="29"/>
      <c r="D91" s="29"/>
      <c r="E91" s="29"/>
      <c r="F91" s="29">
        <f>F89+F65+F45+F20</f>
        <v>535</v>
      </c>
      <c r="G91" s="29"/>
      <c r="H91" s="30"/>
      <c r="I91" s="29">
        <f>I89+I65+I45+I20</f>
        <v>57117.38</v>
      </c>
      <c r="J91" s="24"/>
    </row>
    <row r="92" ht="14.25" customHeight="1">
      <c r="H92" s="28"/>
      <c r="J92" s="24"/>
    </row>
    <row r="93" ht="14.25" customHeight="1">
      <c r="H93" s="23" t="s">
        <v>113</v>
      </c>
      <c r="I93" s="22">
        <f>ROUNDUP(ROUNDUP($I$91/305,0)*1.1,0)</f>
        <v>207</v>
      </c>
      <c r="J93" s="24"/>
    </row>
    <row r="94" ht="14.25" customHeight="1">
      <c r="H94" s="23" t="s">
        <v>114</v>
      </c>
      <c r="I94" s="22">
        <f>ROUNDUP($I$91/2000,0)</f>
        <v>29</v>
      </c>
      <c r="J94" s="24"/>
    </row>
    <row r="95" ht="14.25" customHeight="1">
      <c r="H95" s="28"/>
      <c r="J95" s="24"/>
    </row>
    <row r="96" ht="14.25" customHeight="1">
      <c r="H96" s="28"/>
      <c r="J96" s="24"/>
    </row>
    <row r="97" ht="14.25" customHeight="1">
      <c r="A97" s="31" t="s">
        <v>115</v>
      </c>
      <c r="C97" s="29">
        <f>I91/(F91*2)</f>
        <v>53.38072897</v>
      </c>
      <c r="H97" s="28"/>
      <c r="J97" s="24"/>
    </row>
    <row r="98" ht="14.25" customHeight="1">
      <c r="H98" s="28"/>
      <c r="J98" s="24"/>
    </row>
    <row r="99" ht="14.25" customHeight="1">
      <c r="A99" s="32" t="s">
        <v>116</v>
      </c>
      <c r="B99" s="33"/>
      <c r="C99" s="33"/>
      <c r="D99" s="33"/>
      <c r="E99" s="33"/>
      <c r="F99" s="33"/>
      <c r="G99" s="33"/>
      <c r="H99" s="34"/>
      <c r="J99" s="24"/>
    </row>
    <row r="100" ht="14.25" customHeight="1">
      <c r="A100" s="35" t="s">
        <v>117</v>
      </c>
      <c r="B100" s="34"/>
      <c r="H100" s="28"/>
      <c r="J100" s="24"/>
    </row>
    <row r="101" ht="14.25" customHeight="1">
      <c r="A101" s="36" t="s">
        <v>118</v>
      </c>
      <c r="B101" s="34"/>
      <c r="H101" s="28"/>
      <c r="J101" s="24"/>
    </row>
    <row r="102" ht="14.25" customHeight="1">
      <c r="A102" s="37" t="s">
        <v>119</v>
      </c>
      <c r="B102" s="33"/>
      <c r="C102" s="33"/>
      <c r="D102" s="33"/>
      <c r="E102" s="34"/>
      <c r="H102" s="28"/>
      <c r="J102" s="24"/>
    </row>
    <row r="103" ht="14.25" customHeight="1">
      <c r="H103" s="28"/>
      <c r="J103" s="24"/>
    </row>
    <row r="104" ht="14.25" customHeight="1">
      <c r="H104" s="28"/>
      <c r="J104" s="24"/>
    </row>
    <row r="105" ht="14.25" customHeight="1">
      <c r="H105" s="28"/>
      <c r="J105" s="24"/>
    </row>
    <row r="106" ht="14.25" customHeight="1">
      <c r="H106" s="28"/>
      <c r="J106" s="24"/>
    </row>
    <row r="107" ht="14.25" customHeight="1">
      <c r="H107" s="28"/>
      <c r="J107" s="24"/>
    </row>
    <row r="108" ht="14.25" customHeight="1">
      <c r="H108" s="28"/>
      <c r="J108" s="24"/>
    </row>
    <row r="109" ht="14.25" customHeight="1">
      <c r="H109" s="28"/>
      <c r="J109" s="24"/>
    </row>
    <row r="110" ht="14.25" customHeight="1">
      <c r="H110" s="28"/>
      <c r="J110" s="24"/>
    </row>
    <row r="111" ht="14.25" customHeight="1">
      <c r="H111" s="28"/>
      <c r="J111" s="24"/>
    </row>
    <row r="112" ht="14.25" customHeight="1">
      <c r="H112" s="28"/>
      <c r="J112" s="24"/>
    </row>
    <row r="113" ht="14.25" customHeight="1">
      <c r="H113" s="28"/>
      <c r="J113" s="24"/>
    </row>
    <row r="114" ht="14.25" customHeight="1">
      <c r="H114" s="28"/>
      <c r="J114" s="24"/>
    </row>
    <row r="115" ht="14.25" customHeight="1">
      <c r="H115" s="28"/>
      <c r="J115" s="24"/>
    </row>
    <row r="116" ht="14.25" customHeight="1">
      <c r="H116" s="28"/>
      <c r="J116" s="24"/>
    </row>
    <row r="117" ht="14.25" customHeight="1">
      <c r="H117" s="28"/>
      <c r="J117" s="24"/>
    </row>
    <row r="118" ht="14.25" customHeight="1">
      <c r="H118" s="28"/>
      <c r="J118" s="24"/>
    </row>
    <row r="119" ht="14.25" customHeight="1">
      <c r="H119" s="28"/>
      <c r="J119" s="24"/>
    </row>
    <row r="120" ht="14.25" customHeight="1">
      <c r="H120" s="28"/>
      <c r="J120" s="24"/>
    </row>
    <row r="121" ht="14.25" customHeight="1">
      <c r="H121" s="28"/>
      <c r="J121" s="24"/>
    </row>
    <row r="122" ht="14.25" customHeight="1">
      <c r="H122" s="28"/>
      <c r="J122" s="24"/>
    </row>
    <row r="123" ht="14.25" customHeight="1">
      <c r="H123" s="28"/>
      <c r="J123" s="24"/>
    </row>
    <row r="124" ht="14.25" customHeight="1">
      <c r="H124" s="28"/>
      <c r="J124" s="24"/>
    </row>
    <row r="125" ht="14.25" customHeight="1">
      <c r="H125" s="28"/>
      <c r="J125" s="24"/>
    </row>
    <row r="126" ht="14.25" customHeight="1">
      <c r="H126" s="28"/>
      <c r="J126" s="24"/>
    </row>
    <row r="127" ht="14.25" customHeight="1">
      <c r="H127" s="28"/>
      <c r="J127" s="24"/>
    </row>
    <row r="128" ht="14.25" customHeight="1">
      <c r="H128" s="28"/>
      <c r="J128" s="24"/>
    </row>
    <row r="129" ht="14.25" customHeight="1">
      <c r="H129" s="28"/>
      <c r="J129" s="24"/>
    </row>
    <row r="130" ht="14.25" customHeight="1">
      <c r="H130" s="28"/>
      <c r="J130" s="24"/>
    </row>
    <row r="131" ht="14.25" customHeight="1">
      <c r="H131" s="28"/>
      <c r="J131" s="24"/>
    </row>
    <row r="132" ht="14.25" customHeight="1">
      <c r="H132" s="28"/>
      <c r="J132" s="24"/>
    </row>
    <row r="133" ht="14.25" customHeight="1">
      <c r="H133" s="28"/>
      <c r="J133" s="24"/>
    </row>
    <row r="134" ht="14.25" customHeight="1">
      <c r="H134" s="28"/>
      <c r="J134" s="24"/>
    </row>
    <row r="135" ht="14.25" customHeight="1">
      <c r="H135" s="28"/>
      <c r="J135" s="24"/>
    </row>
    <row r="136" ht="14.25" customHeight="1">
      <c r="H136" s="28"/>
      <c r="J136" s="24"/>
    </row>
    <row r="137" ht="14.25" customHeight="1">
      <c r="H137" s="28"/>
      <c r="J137" s="24"/>
    </row>
    <row r="138" ht="14.25" customHeight="1">
      <c r="H138" s="28"/>
      <c r="J138" s="24"/>
    </row>
    <row r="139" ht="14.25" customHeight="1">
      <c r="H139" s="28"/>
      <c r="J139" s="24"/>
    </row>
    <row r="140" ht="14.25" customHeight="1">
      <c r="H140" s="28"/>
      <c r="J140" s="24"/>
    </row>
    <row r="141" ht="14.25" customHeight="1">
      <c r="H141" s="28"/>
      <c r="J141" s="24"/>
    </row>
    <row r="142" ht="14.25" customHeight="1">
      <c r="H142" s="28"/>
      <c r="J142" s="24"/>
    </row>
    <row r="143" ht="14.25" customHeight="1">
      <c r="H143" s="28"/>
      <c r="J143" s="24"/>
    </row>
    <row r="144" ht="14.25" customHeight="1">
      <c r="H144" s="28"/>
      <c r="J144" s="24"/>
    </row>
    <row r="145" ht="14.25" customHeight="1">
      <c r="H145" s="28"/>
      <c r="J145" s="24"/>
    </row>
    <row r="146" ht="14.25" customHeight="1">
      <c r="H146" s="28"/>
      <c r="J146" s="24"/>
    </row>
    <row r="147" ht="14.25" customHeight="1">
      <c r="H147" s="28"/>
      <c r="J147" s="24"/>
    </row>
    <row r="148" ht="14.25" customHeight="1">
      <c r="H148" s="28"/>
      <c r="J148" s="24"/>
    </row>
    <row r="149" ht="14.25" customHeight="1">
      <c r="H149" s="28"/>
      <c r="J149" s="24"/>
    </row>
    <row r="150" ht="14.25" customHeight="1">
      <c r="H150" s="28"/>
      <c r="J150" s="24"/>
    </row>
    <row r="151" ht="14.25" customHeight="1">
      <c r="H151" s="28"/>
      <c r="J151" s="24"/>
    </row>
    <row r="152" ht="14.25" customHeight="1">
      <c r="H152" s="28"/>
      <c r="J152" s="24"/>
    </row>
    <row r="153" ht="14.25" customHeight="1">
      <c r="H153" s="28"/>
      <c r="J153" s="24"/>
    </row>
    <row r="154" ht="14.25" customHeight="1">
      <c r="H154" s="28"/>
      <c r="J154" s="24"/>
    </row>
    <row r="155" ht="14.25" customHeight="1">
      <c r="H155" s="28"/>
      <c r="J155" s="24"/>
    </row>
    <row r="156" ht="14.25" customHeight="1">
      <c r="H156" s="28"/>
      <c r="J156" s="24"/>
    </row>
    <row r="157" ht="14.25" customHeight="1">
      <c r="H157" s="28"/>
      <c r="J157" s="24"/>
    </row>
    <row r="158" ht="14.25" customHeight="1">
      <c r="H158" s="28"/>
      <c r="J158" s="24"/>
    </row>
    <row r="159" ht="14.25" customHeight="1">
      <c r="H159" s="28"/>
      <c r="J159" s="24"/>
    </row>
    <row r="160" ht="14.25" customHeight="1">
      <c r="H160" s="28"/>
      <c r="J160" s="24"/>
    </row>
    <row r="161" ht="14.25" customHeight="1">
      <c r="H161" s="28"/>
      <c r="J161" s="24"/>
    </row>
    <row r="162" ht="14.25" customHeight="1">
      <c r="H162" s="28"/>
      <c r="J162" s="24"/>
    </row>
    <row r="163" ht="14.25" customHeight="1">
      <c r="H163" s="28"/>
      <c r="J163" s="24"/>
    </row>
    <row r="164" ht="14.25" customHeight="1">
      <c r="H164" s="28"/>
      <c r="J164" s="24"/>
    </row>
    <row r="165" ht="14.25" customHeight="1">
      <c r="H165" s="28"/>
      <c r="J165" s="24"/>
    </row>
    <row r="166" ht="14.25" customHeight="1">
      <c r="H166" s="28"/>
      <c r="J166" s="24"/>
    </row>
    <row r="167" ht="14.25" customHeight="1">
      <c r="H167" s="28"/>
      <c r="J167" s="24"/>
    </row>
    <row r="168" ht="14.25" customHeight="1">
      <c r="H168" s="28"/>
      <c r="J168" s="24"/>
    </row>
    <row r="169" ht="14.25" customHeight="1">
      <c r="H169" s="28"/>
      <c r="J169" s="24"/>
    </row>
    <row r="170" ht="14.25" customHeight="1">
      <c r="H170" s="28"/>
      <c r="J170" s="24"/>
    </row>
    <row r="171" ht="14.25" customHeight="1">
      <c r="H171" s="28"/>
      <c r="J171" s="24"/>
    </row>
    <row r="172" ht="14.25" customHeight="1">
      <c r="H172" s="28"/>
      <c r="J172" s="24"/>
    </row>
    <row r="173" ht="14.25" customHeight="1">
      <c r="H173" s="28"/>
      <c r="J173" s="24"/>
    </row>
    <row r="174" ht="14.25" customHeight="1">
      <c r="H174" s="28"/>
      <c r="J174" s="24"/>
    </row>
    <row r="175" ht="14.25" customHeight="1">
      <c r="H175" s="28"/>
      <c r="J175" s="24"/>
    </row>
    <row r="176" ht="14.25" customHeight="1">
      <c r="H176" s="28"/>
      <c r="J176" s="24"/>
    </row>
    <row r="177" ht="14.25" customHeight="1">
      <c r="H177" s="28"/>
      <c r="J177" s="24"/>
    </row>
    <row r="178" ht="14.25" customHeight="1">
      <c r="H178" s="28"/>
      <c r="J178" s="24"/>
    </row>
    <row r="179" ht="14.25" customHeight="1">
      <c r="H179" s="28"/>
      <c r="J179" s="24"/>
    </row>
    <row r="180" ht="14.25" customHeight="1">
      <c r="H180" s="28"/>
      <c r="J180" s="24"/>
    </row>
    <row r="181" ht="14.25" customHeight="1">
      <c r="H181" s="28"/>
      <c r="J181" s="24"/>
    </row>
    <row r="182" ht="14.25" customHeight="1">
      <c r="H182" s="28"/>
      <c r="J182" s="24"/>
    </row>
    <row r="183" ht="14.25" customHeight="1">
      <c r="H183" s="28"/>
      <c r="J183" s="24"/>
    </row>
    <row r="184" ht="14.25" customHeight="1">
      <c r="H184" s="28"/>
      <c r="J184" s="24"/>
    </row>
    <row r="185" ht="14.25" customHeight="1">
      <c r="H185" s="28"/>
      <c r="J185" s="24"/>
    </row>
    <row r="186" ht="14.25" customHeight="1">
      <c r="H186" s="28"/>
      <c r="J186" s="24"/>
    </row>
    <row r="187" ht="14.25" customHeight="1">
      <c r="H187" s="28"/>
      <c r="J187" s="24"/>
    </row>
    <row r="188" ht="14.25" customHeight="1">
      <c r="H188" s="28"/>
      <c r="J188" s="24"/>
    </row>
    <row r="189" ht="14.25" customHeight="1">
      <c r="H189" s="28"/>
      <c r="J189" s="24"/>
    </row>
    <row r="190" ht="14.25" customHeight="1">
      <c r="H190" s="28"/>
      <c r="J190" s="24"/>
    </row>
    <row r="191" ht="14.25" customHeight="1">
      <c r="H191" s="28"/>
      <c r="J191" s="24"/>
    </row>
    <row r="192" ht="14.25" customHeight="1">
      <c r="H192" s="28"/>
      <c r="J192" s="24"/>
    </row>
    <row r="193" ht="14.25" customHeight="1">
      <c r="H193" s="28"/>
      <c r="J193" s="24"/>
    </row>
    <row r="194" ht="14.25" customHeight="1">
      <c r="H194" s="28"/>
      <c r="J194" s="24"/>
    </row>
    <row r="195" ht="14.25" customHeight="1">
      <c r="H195" s="28"/>
      <c r="J195" s="24"/>
    </row>
    <row r="196" ht="14.25" customHeight="1">
      <c r="H196" s="28"/>
      <c r="J196" s="24"/>
    </row>
    <row r="197" ht="14.25" customHeight="1">
      <c r="H197" s="28"/>
      <c r="J197" s="24"/>
    </row>
    <row r="198" ht="14.25" customHeight="1">
      <c r="H198" s="28"/>
      <c r="J198" s="24"/>
    </row>
    <row r="199" ht="14.25" customHeight="1">
      <c r="H199" s="28"/>
      <c r="J199" s="24"/>
    </row>
    <row r="200" ht="14.25" customHeight="1">
      <c r="H200" s="28"/>
      <c r="J200" s="24"/>
    </row>
    <row r="201" ht="14.25" customHeight="1">
      <c r="H201" s="28"/>
      <c r="J201" s="24"/>
    </row>
    <row r="202" ht="14.25" customHeight="1">
      <c r="H202" s="28"/>
      <c r="J202" s="24"/>
    </row>
    <row r="203" ht="14.25" customHeight="1">
      <c r="H203" s="28"/>
      <c r="J203" s="24"/>
    </row>
    <row r="204" ht="14.25" customHeight="1">
      <c r="H204" s="28"/>
      <c r="J204" s="24"/>
    </row>
    <row r="205" ht="14.25" customHeight="1">
      <c r="H205" s="28"/>
      <c r="J205" s="24"/>
    </row>
    <row r="206" ht="14.25" customHeight="1">
      <c r="H206" s="28"/>
      <c r="J206" s="24"/>
    </row>
    <row r="207" ht="14.25" customHeight="1">
      <c r="H207" s="28"/>
      <c r="J207" s="24"/>
    </row>
    <row r="208" ht="14.25" customHeight="1">
      <c r="H208" s="28"/>
      <c r="J208" s="24"/>
    </row>
    <row r="209" ht="14.25" customHeight="1">
      <c r="H209" s="28"/>
      <c r="J209" s="24"/>
    </row>
    <row r="210" ht="14.25" customHeight="1">
      <c r="H210" s="28"/>
      <c r="J210" s="24"/>
    </row>
    <row r="211" ht="14.25" customHeight="1">
      <c r="H211" s="28"/>
      <c r="J211" s="24"/>
    </row>
    <row r="212" ht="14.25" customHeight="1">
      <c r="H212" s="28"/>
      <c r="J212" s="24"/>
    </row>
    <row r="213" ht="14.25" customHeight="1">
      <c r="H213" s="28"/>
      <c r="J213" s="24"/>
    </row>
    <row r="214" ht="14.25" customHeight="1">
      <c r="H214" s="28"/>
      <c r="J214" s="24"/>
    </row>
    <row r="215" ht="14.25" customHeight="1">
      <c r="H215" s="28"/>
      <c r="J215" s="24"/>
    </row>
    <row r="216" ht="14.25" customHeight="1">
      <c r="H216" s="28"/>
      <c r="J216" s="24"/>
    </row>
    <row r="217" ht="14.25" customHeight="1">
      <c r="H217" s="28"/>
      <c r="J217" s="24"/>
    </row>
    <row r="218" ht="14.25" customHeight="1">
      <c r="H218" s="28"/>
      <c r="J218" s="24"/>
    </row>
    <row r="219" ht="14.25" customHeight="1">
      <c r="H219" s="28"/>
      <c r="J219" s="24"/>
    </row>
    <row r="220" ht="14.25" customHeight="1">
      <c r="H220" s="28"/>
      <c r="J220" s="24"/>
    </row>
    <row r="221" ht="14.25" customHeight="1">
      <c r="H221" s="28"/>
      <c r="J221" s="24"/>
    </row>
    <row r="222" ht="14.25" customHeight="1">
      <c r="H222" s="28"/>
      <c r="J222" s="24"/>
    </row>
    <row r="223" ht="14.25" customHeight="1">
      <c r="H223" s="28"/>
      <c r="J223" s="24"/>
    </row>
    <row r="224" ht="14.25" customHeight="1">
      <c r="H224" s="28"/>
      <c r="J224" s="24"/>
    </row>
    <row r="225" ht="14.25" customHeight="1">
      <c r="H225" s="28"/>
      <c r="J225" s="24"/>
    </row>
    <row r="226" ht="14.25" customHeight="1">
      <c r="H226" s="28"/>
      <c r="J226" s="24"/>
    </row>
    <row r="227" ht="14.25" customHeight="1">
      <c r="H227" s="28"/>
      <c r="J227" s="24"/>
    </row>
    <row r="228" ht="14.25" customHeight="1">
      <c r="H228" s="28"/>
      <c r="J228" s="24"/>
    </row>
    <row r="229" ht="14.25" customHeight="1">
      <c r="H229" s="28"/>
      <c r="J229" s="24"/>
    </row>
    <row r="230" ht="14.25" customHeight="1">
      <c r="H230" s="28"/>
      <c r="J230" s="24"/>
    </row>
    <row r="231" ht="14.25" customHeight="1">
      <c r="H231" s="28"/>
      <c r="J231" s="24"/>
    </row>
    <row r="232" ht="14.25" customHeight="1">
      <c r="H232" s="28"/>
      <c r="J232" s="24"/>
    </row>
    <row r="233" ht="14.25" customHeight="1">
      <c r="H233" s="28"/>
      <c r="J233" s="24"/>
    </row>
    <row r="234" ht="14.25" customHeight="1">
      <c r="H234" s="28"/>
      <c r="J234" s="24"/>
    </row>
    <row r="235" ht="14.25" customHeight="1">
      <c r="H235" s="28"/>
      <c r="J235" s="24"/>
    </row>
    <row r="236" ht="14.25" customHeight="1">
      <c r="H236" s="28"/>
      <c r="J236" s="24"/>
    </row>
    <row r="237" ht="14.25" customHeight="1">
      <c r="H237" s="28"/>
      <c r="J237" s="24"/>
    </row>
    <row r="238" ht="14.25" customHeight="1">
      <c r="H238" s="28"/>
      <c r="J238" s="24"/>
    </row>
    <row r="239" ht="14.25" customHeight="1">
      <c r="H239" s="28"/>
      <c r="J239" s="24"/>
    </row>
    <row r="240" ht="14.25" customHeight="1">
      <c r="H240" s="28"/>
      <c r="J240" s="24"/>
    </row>
    <row r="241" ht="14.25" customHeight="1">
      <c r="H241" s="28"/>
      <c r="J241" s="24"/>
    </row>
    <row r="242" ht="14.25" customHeight="1">
      <c r="H242" s="28"/>
      <c r="J242" s="24"/>
    </row>
    <row r="243" ht="14.25" customHeight="1">
      <c r="H243" s="28"/>
      <c r="J243" s="24"/>
    </row>
    <row r="244" ht="14.25" customHeight="1">
      <c r="H244" s="28"/>
      <c r="J244" s="24"/>
    </row>
    <row r="245" ht="14.25" customHeight="1">
      <c r="H245" s="28"/>
      <c r="J245" s="24"/>
    </row>
    <row r="246" ht="14.25" customHeight="1">
      <c r="H246" s="28"/>
      <c r="J246" s="24"/>
    </row>
    <row r="247" ht="14.25" customHeight="1">
      <c r="H247" s="28"/>
      <c r="J247" s="24"/>
    </row>
    <row r="248" ht="14.25" customHeight="1">
      <c r="H248" s="28"/>
      <c r="J248" s="24"/>
    </row>
    <row r="249" ht="14.25" customHeight="1">
      <c r="H249" s="28"/>
      <c r="J249" s="24"/>
    </row>
    <row r="250" ht="14.25" customHeight="1">
      <c r="H250" s="28"/>
      <c r="J250" s="24"/>
    </row>
    <row r="251" ht="14.25" customHeight="1">
      <c r="H251" s="28"/>
      <c r="J251" s="24"/>
    </row>
    <row r="252" ht="14.25" customHeight="1">
      <c r="H252" s="28"/>
      <c r="J252" s="24"/>
    </row>
    <row r="253" ht="14.25" customHeight="1">
      <c r="H253" s="28"/>
      <c r="J253" s="24"/>
    </row>
    <row r="254" ht="14.25" customHeight="1">
      <c r="H254" s="28"/>
      <c r="J254" s="24"/>
    </row>
    <row r="255" ht="14.25" customHeight="1">
      <c r="H255" s="28"/>
      <c r="J255" s="24"/>
    </row>
    <row r="256" ht="14.25" customHeight="1">
      <c r="H256" s="28"/>
      <c r="J256" s="24"/>
    </row>
    <row r="257" ht="14.25" customHeight="1">
      <c r="H257" s="28"/>
      <c r="J257" s="24"/>
    </row>
    <row r="258" ht="14.25" customHeight="1">
      <c r="H258" s="28"/>
      <c r="J258" s="24"/>
    </row>
    <row r="259" ht="14.25" customHeight="1">
      <c r="H259" s="28"/>
      <c r="J259" s="24"/>
    </row>
    <row r="260" ht="14.25" customHeight="1">
      <c r="H260" s="28"/>
      <c r="J260" s="24"/>
    </row>
    <row r="261" ht="14.25" customHeight="1">
      <c r="H261" s="28"/>
      <c r="J261" s="24"/>
    </row>
    <row r="262" ht="14.25" customHeight="1">
      <c r="H262" s="28"/>
      <c r="J262" s="24"/>
    </row>
    <row r="263" ht="14.25" customHeight="1">
      <c r="H263" s="28"/>
      <c r="J263" s="24"/>
    </row>
    <row r="264" ht="14.25" customHeight="1">
      <c r="H264" s="28"/>
      <c r="J264" s="24"/>
    </row>
    <row r="265" ht="14.25" customHeight="1">
      <c r="H265" s="28"/>
      <c r="J265" s="24"/>
    </row>
    <row r="266" ht="14.25" customHeight="1">
      <c r="H266" s="28"/>
      <c r="J266" s="24"/>
    </row>
    <row r="267" ht="14.25" customHeight="1">
      <c r="H267" s="28"/>
      <c r="J267" s="24"/>
    </row>
    <row r="268" ht="14.25" customHeight="1">
      <c r="H268" s="28"/>
      <c r="J268" s="24"/>
    </row>
    <row r="269" ht="14.25" customHeight="1">
      <c r="H269" s="28"/>
      <c r="J269" s="24"/>
    </row>
    <row r="270" ht="14.25" customHeight="1">
      <c r="H270" s="28"/>
      <c r="J270" s="24"/>
    </row>
    <row r="271" ht="14.25" customHeight="1">
      <c r="H271" s="28"/>
      <c r="J271" s="24"/>
    </row>
    <row r="272" ht="14.25" customHeight="1">
      <c r="H272" s="28"/>
      <c r="J272" s="24"/>
    </row>
    <row r="273" ht="14.25" customHeight="1">
      <c r="H273" s="28"/>
      <c r="J273" s="24"/>
    </row>
    <row r="274" ht="14.25" customHeight="1">
      <c r="H274" s="28"/>
      <c r="J274" s="24"/>
    </row>
    <row r="275" ht="14.25" customHeight="1">
      <c r="H275" s="28"/>
      <c r="J275" s="24"/>
    </row>
    <row r="276" ht="14.25" customHeight="1">
      <c r="H276" s="28"/>
      <c r="J276" s="24"/>
    </row>
    <row r="277" ht="14.25" customHeight="1">
      <c r="H277" s="28"/>
      <c r="J277" s="24"/>
    </row>
    <row r="278" ht="14.25" customHeight="1">
      <c r="H278" s="28"/>
      <c r="J278" s="24"/>
    </row>
    <row r="279" ht="14.25" customHeight="1">
      <c r="H279" s="28"/>
      <c r="J279" s="24"/>
    </row>
    <row r="280" ht="14.25" customHeight="1">
      <c r="H280" s="28"/>
      <c r="J280" s="24"/>
    </row>
    <row r="281" ht="14.25" customHeight="1">
      <c r="H281" s="28"/>
      <c r="J281" s="24"/>
    </row>
    <row r="282" ht="14.25" customHeight="1">
      <c r="H282" s="28"/>
      <c r="J282" s="24"/>
    </row>
    <row r="283" ht="14.25" customHeight="1">
      <c r="H283" s="28"/>
      <c r="J283" s="24"/>
    </row>
    <row r="284" ht="14.25" customHeight="1">
      <c r="H284" s="28"/>
      <c r="J284" s="24"/>
    </row>
    <row r="285" ht="14.25" customHeight="1">
      <c r="H285" s="28"/>
      <c r="J285" s="24"/>
    </row>
    <row r="286" ht="14.25" customHeight="1">
      <c r="H286" s="28"/>
      <c r="J286" s="24"/>
    </row>
    <row r="287" ht="14.25" customHeight="1">
      <c r="H287" s="28"/>
      <c r="J287" s="24"/>
    </row>
    <row r="288" ht="14.25" customHeight="1">
      <c r="H288" s="28"/>
      <c r="J288" s="24"/>
    </row>
    <row r="289" ht="14.25" customHeight="1">
      <c r="H289" s="28"/>
      <c r="J289" s="24"/>
    </row>
    <row r="290" ht="14.25" customHeight="1">
      <c r="H290" s="28"/>
      <c r="J290" s="24"/>
    </row>
    <row r="291" ht="14.25" customHeight="1">
      <c r="H291" s="28"/>
      <c r="J291" s="24"/>
    </row>
    <row r="292" ht="14.25" customHeight="1">
      <c r="H292" s="28"/>
      <c r="J292" s="24"/>
    </row>
    <row r="293" ht="14.25" customHeight="1">
      <c r="H293" s="28"/>
      <c r="J293" s="24"/>
    </row>
    <row r="294" ht="14.25" customHeight="1">
      <c r="H294" s="28"/>
      <c r="J294" s="24"/>
    </row>
    <row r="295" ht="14.25" customHeight="1">
      <c r="H295" s="28"/>
      <c r="J295" s="24"/>
    </row>
    <row r="296" ht="14.25" customHeight="1">
      <c r="H296" s="28"/>
      <c r="J296" s="24"/>
    </row>
    <row r="297" ht="14.25" customHeight="1">
      <c r="H297" s="28"/>
      <c r="J297" s="24"/>
    </row>
    <row r="298" ht="14.25" customHeight="1">
      <c r="H298" s="28"/>
      <c r="J298" s="24"/>
    </row>
    <row r="299" ht="14.25" customHeight="1">
      <c r="H299" s="28"/>
      <c r="J299" s="24"/>
    </row>
    <row r="300" ht="14.25" customHeight="1">
      <c r="H300" s="28"/>
      <c r="J300" s="24"/>
    </row>
    <row r="301" ht="14.25" customHeight="1">
      <c r="H301" s="28"/>
      <c r="J301" s="24"/>
    </row>
    <row r="302" ht="14.25" customHeight="1">
      <c r="H302" s="28"/>
      <c r="J302" s="24"/>
    </row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B69:J70"/>
    <mergeCell ref="B75:J75"/>
    <mergeCell ref="B81:J82"/>
    <mergeCell ref="A97:B97"/>
    <mergeCell ref="A99:H99"/>
    <mergeCell ref="A100:B100"/>
    <mergeCell ref="A101:B101"/>
    <mergeCell ref="A102:E102"/>
    <mergeCell ref="B4:J4"/>
    <mergeCell ref="B10:J11"/>
    <mergeCell ref="B24:J25"/>
    <mergeCell ref="B31:J31"/>
    <mergeCell ref="B37:J38"/>
    <mergeCell ref="B49:J49"/>
    <mergeCell ref="B55:J56"/>
  </mergeCells>
  <conditionalFormatting sqref="C97">
    <cfRule type="cellIs" dxfId="0" priority="1" operator="between">
      <formula>30</formula>
      <formula>60</formula>
    </cfRule>
  </conditionalFormatting>
  <conditionalFormatting sqref="C97">
    <cfRule type="expression" dxfId="1" priority="2">
      <formula>"AND(c57&gt;=30;c57&lt;=60)"</formula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38" t="s">
        <v>120</v>
      </c>
      <c r="B1" s="39"/>
      <c r="C1" s="39"/>
      <c r="D1" s="39"/>
      <c r="E1" s="39"/>
      <c r="F1" s="40"/>
      <c r="G1" s="41"/>
      <c r="H1" s="28"/>
      <c r="I1" s="42"/>
      <c r="J1" s="24"/>
    </row>
    <row r="2" ht="14.25" customHeight="1">
      <c r="A2" s="43" t="s">
        <v>121</v>
      </c>
      <c r="B2" s="44"/>
      <c r="C2" s="45" t="s">
        <v>122</v>
      </c>
      <c r="D2" s="46"/>
      <c r="E2" s="47" t="s">
        <v>123</v>
      </c>
      <c r="F2" s="46"/>
      <c r="G2" s="48"/>
      <c r="H2" s="28"/>
      <c r="I2" s="42"/>
      <c r="J2" s="24"/>
    </row>
    <row r="3" ht="14.25" customHeight="1">
      <c r="A3" s="49" t="s">
        <v>124</v>
      </c>
      <c r="B3" s="21"/>
      <c r="C3" s="49" t="s">
        <v>125</v>
      </c>
      <c r="D3" s="50"/>
      <c r="E3" s="51">
        <v>35.0</v>
      </c>
      <c r="F3" s="50"/>
      <c r="G3" s="48"/>
      <c r="H3" s="28"/>
      <c r="I3" s="42"/>
      <c r="J3" s="24"/>
    </row>
    <row r="4" ht="14.25" customHeight="1">
      <c r="A4" s="52" t="s">
        <v>126</v>
      </c>
      <c r="B4" s="14"/>
      <c r="C4" s="52" t="s">
        <v>127</v>
      </c>
      <c r="D4" s="53"/>
      <c r="E4" s="54">
        <v>85.0</v>
      </c>
      <c r="F4" s="53"/>
      <c r="G4" s="48"/>
      <c r="H4" s="28"/>
      <c r="I4" s="42"/>
      <c r="J4" s="24"/>
    </row>
    <row r="5" ht="14.25" customHeight="1">
      <c r="A5" s="52" t="s">
        <v>128</v>
      </c>
      <c r="B5" s="14"/>
      <c r="C5" s="52" t="s">
        <v>129</v>
      </c>
      <c r="D5" s="53"/>
      <c r="E5" s="54">
        <v>35.0</v>
      </c>
      <c r="F5" s="53"/>
      <c r="G5" s="48"/>
      <c r="H5" s="28"/>
      <c r="I5" s="42"/>
      <c r="J5" s="24"/>
    </row>
    <row r="6" ht="14.25" customHeight="1">
      <c r="A6" s="52" t="s">
        <v>130</v>
      </c>
      <c r="B6" s="53"/>
      <c r="C6" s="52" t="s">
        <v>131</v>
      </c>
      <c r="D6" s="53"/>
      <c r="E6" s="52">
        <v>85.0</v>
      </c>
      <c r="F6" s="53"/>
      <c r="G6" s="48"/>
      <c r="H6" s="28"/>
      <c r="I6" s="42"/>
      <c r="J6" s="24"/>
    </row>
    <row r="7" ht="14.25" customHeight="1">
      <c r="A7" s="52" t="s">
        <v>127</v>
      </c>
      <c r="B7" s="53"/>
      <c r="C7" s="52" t="s">
        <v>131</v>
      </c>
      <c r="D7" s="53"/>
      <c r="E7" s="52">
        <v>5.0</v>
      </c>
      <c r="F7" s="53"/>
      <c r="G7" s="48"/>
      <c r="H7" s="28"/>
      <c r="I7" s="42"/>
      <c r="J7" s="24"/>
    </row>
    <row r="8" ht="14.25" customHeight="1">
      <c r="A8" s="52" t="s">
        <v>129</v>
      </c>
      <c r="B8" s="53"/>
      <c r="C8" s="52" t="s">
        <v>125</v>
      </c>
      <c r="D8" s="53"/>
      <c r="E8" s="52">
        <v>5.0</v>
      </c>
      <c r="F8" s="53"/>
      <c r="G8" s="48"/>
      <c r="H8" s="28"/>
      <c r="I8" s="42"/>
      <c r="J8" s="24"/>
    </row>
    <row r="9" ht="14.25" customHeight="1">
      <c r="A9" s="52" t="s">
        <v>124</v>
      </c>
      <c r="B9" s="53"/>
      <c r="C9" s="52" t="s">
        <v>128</v>
      </c>
      <c r="D9" s="53"/>
      <c r="E9" s="52">
        <v>5.0</v>
      </c>
      <c r="F9" s="53"/>
      <c r="G9" s="48"/>
      <c r="H9" s="28"/>
      <c r="I9" s="42"/>
      <c r="J9" s="24"/>
    </row>
    <row r="10" ht="14.25" customHeight="1">
      <c r="A10" s="55" t="s">
        <v>130</v>
      </c>
      <c r="B10" s="56"/>
      <c r="C10" s="55" t="s">
        <v>126</v>
      </c>
      <c r="D10" s="57"/>
      <c r="E10" s="58">
        <v>5.0</v>
      </c>
      <c r="F10" s="57"/>
      <c r="G10" s="48"/>
      <c r="H10" s="28"/>
      <c r="I10" s="42"/>
      <c r="J10" s="24"/>
    </row>
    <row r="11" ht="14.25" customHeight="1">
      <c r="A11" s="42"/>
      <c r="B11" s="42"/>
      <c r="C11" s="42"/>
      <c r="D11" s="42"/>
      <c r="F11" s="42"/>
      <c r="G11" s="42"/>
      <c r="H11" s="28"/>
      <c r="I11" s="42"/>
      <c r="J11" s="24"/>
    </row>
    <row r="12" ht="14.25" customHeight="1">
      <c r="A12" s="59" t="s">
        <v>132</v>
      </c>
      <c r="E12" s="31">
        <f>SUM(E3:F10)</f>
        <v>260</v>
      </c>
      <c r="G12" s="42"/>
      <c r="H12" s="28"/>
      <c r="I12" s="42"/>
      <c r="J12" s="24"/>
    </row>
    <row r="13" ht="14.25" customHeight="1">
      <c r="A13" s="42"/>
      <c r="B13" s="42"/>
      <c r="C13" s="42"/>
      <c r="D13" s="42"/>
      <c r="E13" s="42"/>
      <c r="F13" s="42"/>
      <c r="G13" s="42"/>
      <c r="H13" s="28"/>
      <c r="I13" s="42"/>
      <c r="J13" s="24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0">
    <mergeCell ref="A1:F1"/>
    <mergeCell ref="A2:B2"/>
    <mergeCell ref="C2:D2"/>
    <mergeCell ref="E2:F2"/>
    <mergeCell ref="A3:B3"/>
    <mergeCell ref="C3:D3"/>
    <mergeCell ref="E3:F3"/>
    <mergeCell ref="C6:D6"/>
    <mergeCell ref="E6:F6"/>
    <mergeCell ref="A4:B4"/>
    <mergeCell ref="C4:D4"/>
    <mergeCell ref="E4:F4"/>
    <mergeCell ref="A5:B5"/>
    <mergeCell ref="C5:D5"/>
    <mergeCell ref="E5:F5"/>
    <mergeCell ref="A6:B6"/>
    <mergeCell ref="C9:D9"/>
    <mergeCell ref="E9:F9"/>
    <mergeCell ref="A10:B10"/>
    <mergeCell ref="C10:D10"/>
    <mergeCell ref="E10:F10"/>
    <mergeCell ref="A12:D12"/>
    <mergeCell ref="E12:F12"/>
    <mergeCell ref="A7:B7"/>
    <mergeCell ref="C7:D7"/>
    <mergeCell ref="E7:F7"/>
    <mergeCell ref="A8:B8"/>
    <mergeCell ref="C8:D8"/>
    <mergeCell ref="E8:F8"/>
    <mergeCell ref="A9:B9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43"/>
    <col customWidth="1" min="2" max="2" width="29.29"/>
    <col customWidth="1" min="3" max="3" width="19.86"/>
    <col customWidth="1" min="4" max="5" width="26.0"/>
    <col customWidth="1" min="6" max="6" width="48.57"/>
    <col customWidth="1" min="7" max="7" width="45.86"/>
    <col customWidth="1" min="8" max="8" width="19.71"/>
    <col customWidth="1" min="9" max="9" width="22.43"/>
    <col customWidth="1" min="10" max="10" width="22.71"/>
    <col customWidth="1" min="11" max="26" width="8.86"/>
  </cols>
  <sheetData>
    <row r="1" ht="14.25" customHeight="1">
      <c r="A1" s="60" t="s">
        <v>133</v>
      </c>
      <c r="B1" s="61" t="s">
        <v>134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ht="14.25" customHeight="1">
      <c r="A2" s="63" t="s">
        <v>135</v>
      </c>
      <c r="B2" s="64">
        <v>25.0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ht="14.25" customHeight="1">
      <c r="A3" s="65" t="s">
        <v>136</v>
      </c>
      <c r="B3" s="66">
        <v>0.1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ht="14.25" customHeight="1">
      <c r="A4" s="67" t="s">
        <v>137</v>
      </c>
      <c r="B4" s="68">
        <v>300.0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</row>
    <row r="5" ht="14.25" customHeight="1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</row>
    <row r="6" ht="14.25" customHeight="1">
      <c r="A6" s="62" t="s">
        <v>138</v>
      </c>
      <c r="B6" s="62">
        <v>0.7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 ht="14.25" customHeight="1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ht="14.25" customHeight="1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ht="14.25" customHeight="1">
      <c r="A9" s="61" t="s">
        <v>139</v>
      </c>
      <c r="B9" s="60" t="s">
        <v>9</v>
      </c>
      <c r="C9" s="46"/>
      <c r="D9" s="69" t="s">
        <v>140</v>
      </c>
      <c r="E9" s="70" t="s">
        <v>141</v>
      </c>
      <c r="F9" s="70" t="s">
        <v>142</v>
      </c>
      <c r="G9" s="71" t="s">
        <v>143</v>
      </c>
      <c r="H9" s="70" t="s">
        <v>144</v>
      </c>
      <c r="I9" s="71" t="s">
        <v>145</v>
      </c>
      <c r="J9" s="61" t="s">
        <v>146</v>
      </c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ht="14.25" customHeight="1">
      <c r="A10" s="70" t="s">
        <v>147</v>
      </c>
      <c r="B10" s="72" t="s">
        <v>12</v>
      </c>
      <c r="C10" s="73"/>
      <c r="D10" s="72">
        <v>1.0</v>
      </c>
      <c r="E10" s="72">
        <f t="shared" ref="E10:E33" si="1">F10*D10/1000</f>
        <v>0.38507</v>
      </c>
      <c r="F10" s="74">
        <f t="shared" ref="F10:F33" si="2">SUM($B$2*G10,$B$3*H10,$B$4*I10)*$B$6</f>
        <v>385.07</v>
      </c>
      <c r="G10" s="75">
        <v>10.0</v>
      </c>
      <c r="H10" s="74">
        <v>1.0</v>
      </c>
      <c r="I10" s="75">
        <v>1.0</v>
      </c>
      <c r="J10" s="66">
        <f t="shared" ref="J10:J33" si="3">SUM(G10:I10)*D10</f>
        <v>12</v>
      </c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ht="14.25" customHeight="1">
      <c r="A11" s="76"/>
      <c r="B11" s="65" t="s">
        <v>14</v>
      </c>
      <c r="C11" s="53"/>
      <c r="D11" s="65">
        <v>1.0</v>
      </c>
      <c r="E11" s="65">
        <f t="shared" si="1"/>
        <v>0.38507</v>
      </c>
      <c r="F11" s="66">
        <f t="shared" si="2"/>
        <v>385.07</v>
      </c>
      <c r="G11" s="77">
        <v>10.0</v>
      </c>
      <c r="H11" s="66">
        <v>1.0</v>
      </c>
      <c r="I11" s="77">
        <v>1.0</v>
      </c>
      <c r="J11" s="66">
        <f t="shared" si="3"/>
        <v>12</v>
      </c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ht="14.25" customHeight="1">
      <c r="A12" s="76"/>
      <c r="B12" s="65" t="s">
        <v>17</v>
      </c>
      <c r="C12" s="53"/>
      <c r="D12" s="65">
        <v>5.0</v>
      </c>
      <c r="E12" s="65">
        <f t="shared" si="1"/>
        <v>1.75035</v>
      </c>
      <c r="F12" s="66">
        <f t="shared" si="2"/>
        <v>350.07</v>
      </c>
      <c r="G12" s="77">
        <v>8.0</v>
      </c>
      <c r="H12" s="66">
        <v>1.0</v>
      </c>
      <c r="I12" s="77">
        <v>1.0</v>
      </c>
      <c r="J12" s="66">
        <f t="shared" si="3"/>
        <v>50</v>
      </c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ht="14.25" customHeight="1">
      <c r="A13" s="76"/>
      <c r="B13" s="65" t="s">
        <v>26</v>
      </c>
      <c r="C13" s="53"/>
      <c r="D13" s="65">
        <v>1.0</v>
      </c>
      <c r="E13" s="65">
        <f t="shared" si="1"/>
        <v>0.70014</v>
      </c>
      <c r="F13" s="66">
        <f t="shared" si="2"/>
        <v>700.14</v>
      </c>
      <c r="G13" s="77">
        <v>16.0</v>
      </c>
      <c r="H13" s="66">
        <v>2.0</v>
      </c>
      <c r="I13" s="77">
        <v>2.0</v>
      </c>
      <c r="J13" s="66">
        <f t="shared" si="3"/>
        <v>20</v>
      </c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ht="14.25" customHeight="1">
      <c r="A14" s="76"/>
      <c r="B14" s="65" t="s">
        <v>30</v>
      </c>
      <c r="C14" s="53"/>
      <c r="D14" s="65">
        <v>7.0</v>
      </c>
      <c r="E14" s="65">
        <f t="shared" si="1"/>
        <v>3.18549</v>
      </c>
      <c r="F14" s="66">
        <f t="shared" si="2"/>
        <v>455.07</v>
      </c>
      <c r="G14" s="77">
        <v>14.0</v>
      </c>
      <c r="H14" s="66">
        <v>1.0</v>
      </c>
      <c r="I14" s="77">
        <v>1.0</v>
      </c>
      <c r="J14" s="66">
        <f t="shared" si="3"/>
        <v>112</v>
      </c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ht="14.25" customHeight="1">
      <c r="A15" s="76"/>
      <c r="B15" s="65" t="s">
        <v>28</v>
      </c>
      <c r="C15" s="53"/>
      <c r="D15" s="65">
        <v>1.0</v>
      </c>
      <c r="E15" s="65">
        <f t="shared" si="1"/>
        <v>1.52257</v>
      </c>
      <c r="F15" s="66">
        <f t="shared" si="2"/>
        <v>1522.57</v>
      </c>
      <c r="G15" s="77">
        <v>63.0</v>
      </c>
      <c r="H15" s="66">
        <v>1.0</v>
      </c>
      <c r="I15" s="77">
        <v>2.0</v>
      </c>
      <c r="J15" s="66">
        <f t="shared" si="3"/>
        <v>66</v>
      </c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ht="14.25" customHeight="1">
      <c r="A16" s="76"/>
      <c r="B16" s="65" t="s">
        <v>36</v>
      </c>
      <c r="C16" s="53"/>
      <c r="D16" s="65">
        <v>2.0</v>
      </c>
      <c r="E16" s="65">
        <f t="shared" si="1"/>
        <v>2.13514</v>
      </c>
      <c r="F16" s="66">
        <f t="shared" si="2"/>
        <v>1067.57</v>
      </c>
      <c r="G16" s="77">
        <v>37.0</v>
      </c>
      <c r="H16" s="66">
        <v>1.0</v>
      </c>
      <c r="I16" s="77">
        <v>2.0</v>
      </c>
      <c r="J16" s="66">
        <f t="shared" si="3"/>
        <v>80</v>
      </c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ht="14.25" customHeight="1">
      <c r="A17" s="76"/>
      <c r="B17" s="65" t="s">
        <v>45</v>
      </c>
      <c r="C17" s="53"/>
      <c r="D17" s="65">
        <v>2.0</v>
      </c>
      <c r="E17" s="65">
        <f t="shared" si="1"/>
        <v>1.36514</v>
      </c>
      <c r="F17" s="66">
        <f t="shared" si="2"/>
        <v>682.57</v>
      </c>
      <c r="G17" s="77">
        <v>15.0</v>
      </c>
      <c r="H17" s="66">
        <v>1.0</v>
      </c>
      <c r="I17" s="77">
        <v>2.0</v>
      </c>
      <c r="J17" s="66">
        <f t="shared" si="3"/>
        <v>36</v>
      </c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 ht="14.25" customHeight="1">
      <c r="A18" s="76"/>
      <c r="B18" s="65" t="s">
        <v>48</v>
      </c>
      <c r="C18" s="53"/>
      <c r="D18" s="65">
        <v>2.0</v>
      </c>
      <c r="E18" s="65">
        <f t="shared" si="1"/>
        <v>0.77014</v>
      </c>
      <c r="F18" s="66">
        <f t="shared" si="2"/>
        <v>385.07</v>
      </c>
      <c r="G18" s="77">
        <v>10.0</v>
      </c>
      <c r="H18" s="66">
        <v>1.0</v>
      </c>
      <c r="I18" s="77">
        <v>1.0</v>
      </c>
      <c r="J18" s="66">
        <f t="shared" si="3"/>
        <v>24</v>
      </c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ht="14.25" customHeight="1">
      <c r="A19" s="76"/>
      <c r="B19" s="65" t="s">
        <v>52</v>
      </c>
      <c r="C19" s="53"/>
      <c r="D19" s="65">
        <v>5.0</v>
      </c>
      <c r="E19" s="65">
        <f t="shared" si="1"/>
        <v>1.75035</v>
      </c>
      <c r="F19" s="66">
        <f t="shared" si="2"/>
        <v>350.07</v>
      </c>
      <c r="G19" s="77">
        <v>8.0</v>
      </c>
      <c r="H19" s="66">
        <v>1.0</v>
      </c>
      <c r="I19" s="77">
        <v>1.0</v>
      </c>
      <c r="J19" s="66">
        <f t="shared" si="3"/>
        <v>50</v>
      </c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4.25" customHeight="1">
      <c r="A20" s="76"/>
      <c r="B20" s="65" t="s">
        <v>60</v>
      </c>
      <c r="C20" s="53"/>
      <c r="D20" s="65">
        <v>6.0</v>
      </c>
      <c r="E20" s="65">
        <f t="shared" si="1"/>
        <v>2.52042</v>
      </c>
      <c r="F20" s="66">
        <f t="shared" si="2"/>
        <v>420.07</v>
      </c>
      <c r="G20" s="77">
        <v>12.0</v>
      </c>
      <c r="H20" s="66">
        <v>1.0</v>
      </c>
      <c r="I20" s="77">
        <v>1.0</v>
      </c>
      <c r="J20" s="66">
        <f t="shared" si="3"/>
        <v>84</v>
      </c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4.25" customHeight="1">
      <c r="A21" s="78"/>
      <c r="B21" s="67" t="s">
        <v>94</v>
      </c>
      <c r="C21" s="57"/>
      <c r="D21" s="67">
        <v>0.0</v>
      </c>
      <c r="E21" s="67">
        <f t="shared" si="1"/>
        <v>0</v>
      </c>
      <c r="F21" s="68">
        <f t="shared" si="2"/>
        <v>420.07</v>
      </c>
      <c r="G21" s="79">
        <v>12.0</v>
      </c>
      <c r="H21" s="68">
        <v>1.0</v>
      </c>
      <c r="I21" s="79">
        <v>1.0</v>
      </c>
      <c r="J21" s="80">
        <f t="shared" si="3"/>
        <v>0</v>
      </c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4.25" customHeight="1">
      <c r="A22" s="70" t="s">
        <v>148</v>
      </c>
      <c r="B22" s="72" t="s">
        <v>12</v>
      </c>
      <c r="C22" s="73"/>
      <c r="D22" s="72">
        <v>1.0</v>
      </c>
      <c r="E22" s="63">
        <f t="shared" si="1"/>
        <v>0.38507</v>
      </c>
      <c r="F22" s="74">
        <f t="shared" si="2"/>
        <v>385.07</v>
      </c>
      <c r="G22" s="75">
        <v>10.0</v>
      </c>
      <c r="H22" s="74">
        <v>1.0</v>
      </c>
      <c r="I22" s="75">
        <v>1.0</v>
      </c>
      <c r="J22" s="74">
        <f t="shared" si="3"/>
        <v>12</v>
      </c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ht="14.25" customHeight="1">
      <c r="A23" s="76"/>
      <c r="B23" s="65" t="s">
        <v>14</v>
      </c>
      <c r="C23" s="53"/>
      <c r="D23" s="65">
        <v>1.0</v>
      </c>
      <c r="E23" s="65">
        <f t="shared" si="1"/>
        <v>0.38507</v>
      </c>
      <c r="F23" s="66">
        <f t="shared" si="2"/>
        <v>385.07</v>
      </c>
      <c r="G23" s="77">
        <v>10.0</v>
      </c>
      <c r="H23" s="66">
        <v>1.0</v>
      </c>
      <c r="I23" s="77">
        <v>1.0</v>
      </c>
      <c r="J23" s="66">
        <f t="shared" si="3"/>
        <v>12</v>
      </c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ht="14.25" customHeight="1">
      <c r="A24" s="76"/>
      <c r="B24" s="65" t="s">
        <v>17</v>
      </c>
      <c r="C24" s="53"/>
      <c r="D24" s="65">
        <v>5.0</v>
      </c>
      <c r="E24" s="65">
        <f t="shared" si="1"/>
        <v>1.75035</v>
      </c>
      <c r="F24" s="66">
        <f t="shared" si="2"/>
        <v>350.07</v>
      </c>
      <c r="G24" s="77">
        <v>8.0</v>
      </c>
      <c r="H24" s="66">
        <v>1.0</v>
      </c>
      <c r="I24" s="77">
        <v>1.0</v>
      </c>
      <c r="J24" s="66">
        <f t="shared" si="3"/>
        <v>50</v>
      </c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ht="14.25" customHeight="1">
      <c r="A25" s="76"/>
      <c r="B25" s="65" t="s">
        <v>26</v>
      </c>
      <c r="C25" s="53"/>
      <c r="D25" s="65">
        <v>1.0</v>
      </c>
      <c r="E25" s="65">
        <f t="shared" si="1"/>
        <v>0.70014</v>
      </c>
      <c r="F25" s="66">
        <f t="shared" si="2"/>
        <v>700.14</v>
      </c>
      <c r="G25" s="77">
        <v>16.0</v>
      </c>
      <c r="H25" s="66">
        <v>2.0</v>
      </c>
      <c r="I25" s="77">
        <v>2.0</v>
      </c>
      <c r="J25" s="66">
        <f t="shared" si="3"/>
        <v>20</v>
      </c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ht="14.25" customHeight="1">
      <c r="A26" s="76"/>
      <c r="B26" s="65" t="s">
        <v>30</v>
      </c>
      <c r="C26" s="53"/>
      <c r="D26" s="65">
        <v>7.0</v>
      </c>
      <c r="E26" s="65">
        <f t="shared" si="1"/>
        <v>3.18549</v>
      </c>
      <c r="F26" s="66">
        <f t="shared" si="2"/>
        <v>455.07</v>
      </c>
      <c r="G26" s="77">
        <v>14.0</v>
      </c>
      <c r="H26" s="66">
        <v>1.0</v>
      </c>
      <c r="I26" s="77">
        <v>1.0</v>
      </c>
      <c r="J26" s="66">
        <f t="shared" si="3"/>
        <v>112</v>
      </c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ht="14.25" customHeight="1">
      <c r="A27" s="76"/>
      <c r="B27" s="65" t="s">
        <v>28</v>
      </c>
      <c r="C27" s="53"/>
      <c r="D27" s="65">
        <v>1.0</v>
      </c>
      <c r="E27" s="65">
        <f t="shared" si="1"/>
        <v>1.52257</v>
      </c>
      <c r="F27" s="66">
        <f t="shared" si="2"/>
        <v>1522.57</v>
      </c>
      <c r="G27" s="77">
        <v>63.0</v>
      </c>
      <c r="H27" s="66">
        <v>1.0</v>
      </c>
      <c r="I27" s="77">
        <v>2.0</v>
      </c>
      <c r="J27" s="66">
        <f t="shared" si="3"/>
        <v>66</v>
      </c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ht="14.25" customHeight="1">
      <c r="A28" s="76"/>
      <c r="B28" s="65" t="s">
        <v>36</v>
      </c>
      <c r="C28" s="53"/>
      <c r="D28" s="65">
        <v>2.0</v>
      </c>
      <c r="E28" s="65">
        <f t="shared" si="1"/>
        <v>2.13514</v>
      </c>
      <c r="F28" s="66">
        <f t="shared" si="2"/>
        <v>1067.57</v>
      </c>
      <c r="G28" s="77">
        <v>37.0</v>
      </c>
      <c r="H28" s="66">
        <v>1.0</v>
      </c>
      <c r="I28" s="77">
        <v>2.0</v>
      </c>
      <c r="J28" s="66">
        <f t="shared" si="3"/>
        <v>80</v>
      </c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ht="14.25" customHeight="1">
      <c r="A29" s="76"/>
      <c r="B29" s="65" t="s">
        <v>45</v>
      </c>
      <c r="C29" s="53"/>
      <c r="D29" s="65">
        <v>0.0</v>
      </c>
      <c r="E29" s="65">
        <f t="shared" si="1"/>
        <v>0</v>
      </c>
      <c r="F29" s="66">
        <f t="shared" si="2"/>
        <v>682.57</v>
      </c>
      <c r="G29" s="77">
        <v>15.0</v>
      </c>
      <c r="H29" s="66">
        <v>1.0</v>
      </c>
      <c r="I29" s="77">
        <v>2.0</v>
      </c>
      <c r="J29" s="66">
        <f t="shared" si="3"/>
        <v>0</v>
      </c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 ht="14.25" customHeight="1">
      <c r="A30" s="76"/>
      <c r="B30" s="65" t="s">
        <v>48</v>
      </c>
      <c r="C30" s="53"/>
      <c r="D30" s="65">
        <v>2.0</v>
      </c>
      <c r="E30" s="65">
        <f t="shared" si="1"/>
        <v>0.77014</v>
      </c>
      <c r="F30" s="66">
        <f t="shared" si="2"/>
        <v>385.07</v>
      </c>
      <c r="G30" s="77">
        <v>10.0</v>
      </c>
      <c r="H30" s="66">
        <v>1.0</v>
      </c>
      <c r="I30" s="77">
        <v>1.0</v>
      </c>
      <c r="J30" s="66">
        <f t="shared" si="3"/>
        <v>24</v>
      </c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ht="14.25" customHeight="1">
      <c r="A31" s="76"/>
      <c r="B31" s="65" t="s">
        <v>52</v>
      </c>
      <c r="C31" s="53"/>
      <c r="D31" s="65">
        <v>5.0</v>
      </c>
      <c r="E31" s="65">
        <f t="shared" si="1"/>
        <v>1.75035</v>
      </c>
      <c r="F31" s="66">
        <f t="shared" si="2"/>
        <v>350.07</v>
      </c>
      <c r="G31" s="77">
        <v>8.0</v>
      </c>
      <c r="H31" s="66">
        <v>1.0</v>
      </c>
      <c r="I31" s="77">
        <v>1.0</v>
      </c>
      <c r="J31" s="66">
        <f t="shared" si="3"/>
        <v>50</v>
      </c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ht="14.25" customHeight="1">
      <c r="A32" s="76"/>
      <c r="B32" s="65" t="s">
        <v>60</v>
      </c>
      <c r="C32" s="53"/>
      <c r="D32" s="65">
        <v>6.0</v>
      </c>
      <c r="E32" s="65">
        <f t="shared" si="1"/>
        <v>2.52042</v>
      </c>
      <c r="F32" s="66">
        <f t="shared" si="2"/>
        <v>420.07</v>
      </c>
      <c r="G32" s="77">
        <v>12.0</v>
      </c>
      <c r="H32" s="66">
        <v>1.0</v>
      </c>
      <c r="I32" s="77">
        <v>1.0</v>
      </c>
      <c r="J32" s="66">
        <f t="shared" si="3"/>
        <v>84</v>
      </c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ht="14.25" customHeight="1">
      <c r="A33" s="78"/>
      <c r="B33" s="67" t="s">
        <v>94</v>
      </c>
      <c r="C33" s="57"/>
      <c r="D33" s="67">
        <v>1.0</v>
      </c>
      <c r="E33" s="67">
        <f t="shared" si="1"/>
        <v>0.42007</v>
      </c>
      <c r="F33" s="68">
        <f t="shared" si="2"/>
        <v>420.07</v>
      </c>
      <c r="G33" s="79">
        <v>12.0</v>
      </c>
      <c r="H33" s="68">
        <v>1.0</v>
      </c>
      <c r="I33" s="79">
        <v>1.0</v>
      </c>
      <c r="J33" s="68">
        <f t="shared" si="3"/>
        <v>14</v>
      </c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 ht="14.25" customHeight="1">
      <c r="A34" s="62"/>
      <c r="B34" s="71" t="s">
        <v>149</v>
      </c>
      <c r="C34" s="39"/>
      <c r="D34" s="39"/>
      <c r="E34" s="62">
        <f>_xlfn.CEILING.MATH(SUM(E10:E33))</f>
        <v>32</v>
      </c>
      <c r="F34" s="62"/>
      <c r="G34" s="62"/>
      <c r="H34" s="71" t="s">
        <v>150</v>
      </c>
      <c r="I34" s="39"/>
      <c r="J34" s="62">
        <f>SUM(J10:J33)</f>
        <v>1070</v>
      </c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 ht="14.25" customHeight="1">
      <c r="A35" s="62"/>
      <c r="B35" s="62"/>
      <c r="C35" s="62"/>
      <c r="D35" s="62"/>
      <c r="E35" s="62"/>
      <c r="F35" s="62"/>
      <c r="G35" s="62"/>
      <c r="H35" s="62" t="s">
        <v>151</v>
      </c>
      <c r="J35" s="62">
        <f>SUMPRODUCT(H10:H33,D10:D33)</f>
        <v>67</v>
      </c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</row>
    <row r="36" ht="14.25" customHeight="1">
      <c r="A36" s="62"/>
      <c r="B36" s="62"/>
      <c r="C36" s="62"/>
      <c r="D36" s="62"/>
      <c r="E36" s="62"/>
      <c r="F36" s="62"/>
      <c r="G36" s="62"/>
      <c r="H36" s="62" t="s">
        <v>152</v>
      </c>
      <c r="J36" s="62">
        <f>SUMPRODUCT(I10:I33,D10:D33)</f>
        <v>75</v>
      </c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 ht="14.25" customHeight="1">
      <c r="A37" s="62"/>
      <c r="B37" s="62"/>
      <c r="C37" s="62"/>
      <c r="D37" s="62"/>
      <c r="E37" s="62"/>
      <c r="F37" s="62"/>
      <c r="G37" s="62"/>
      <c r="H37" s="62" t="s">
        <v>153</v>
      </c>
      <c r="J37" s="62">
        <f>SUMPRODUCT(G10:G33,D10:D33)</f>
        <v>928</v>
      </c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 ht="14.25" customHeight="1">
      <c r="A38" s="81" t="s">
        <v>154</v>
      </c>
      <c r="B38" s="82" t="s">
        <v>155</v>
      </c>
      <c r="C38" s="83"/>
      <c r="D38" s="84" t="s">
        <v>156</v>
      </c>
      <c r="E38" s="84" t="s">
        <v>157</v>
      </c>
      <c r="F38" s="85" t="s">
        <v>158</v>
      </c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73"/>
      <c r="R38" s="62"/>
      <c r="S38" s="62"/>
      <c r="T38" s="62"/>
      <c r="U38" s="62"/>
      <c r="V38" s="62"/>
      <c r="W38" s="62"/>
      <c r="X38" s="62"/>
      <c r="Y38" s="62"/>
      <c r="Z38" s="62"/>
    </row>
    <row r="39" ht="14.25" customHeight="1">
      <c r="A39" s="87"/>
      <c r="B39" s="88"/>
      <c r="C39" s="89"/>
      <c r="D39" s="90"/>
      <c r="E39" s="90"/>
      <c r="F39" s="91" t="s">
        <v>12</v>
      </c>
      <c r="G39" s="91" t="s">
        <v>14</v>
      </c>
      <c r="H39" s="91" t="s">
        <v>17</v>
      </c>
      <c r="I39" s="91" t="s">
        <v>26</v>
      </c>
      <c r="J39" s="91" t="s">
        <v>30</v>
      </c>
      <c r="K39" s="91" t="s">
        <v>28</v>
      </c>
      <c r="L39" s="91" t="s">
        <v>36</v>
      </c>
      <c r="M39" s="91" t="s">
        <v>45</v>
      </c>
      <c r="N39" s="91" t="s">
        <v>48</v>
      </c>
      <c r="O39" s="91" t="s">
        <v>52</v>
      </c>
      <c r="P39" s="91" t="s">
        <v>60</v>
      </c>
      <c r="Q39" s="92" t="s">
        <v>94</v>
      </c>
      <c r="R39" s="62"/>
      <c r="S39" s="62"/>
      <c r="T39" s="62"/>
      <c r="U39" s="62"/>
      <c r="V39" s="62"/>
      <c r="W39" s="62"/>
      <c r="X39" s="62"/>
      <c r="Y39" s="62"/>
      <c r="Z39" s="62"/>
    </row>
    <row r="40" ht="14.25" customHeight="1">
      <c r="A40" s="63" t="s">
        <v>11</v>
      </c>
      <c r="B40" s="72">
        <f t="array" ref="B40">SUMPRODUCT(F40:Q40,TRANSPOSE($G$10:$G$21))</f>
        <v>246</v>
      </c>
      <c r="C40" s="73"/>
      <c r="D40" s="93">
        <f t="array" ref="D40">SUMPRODUCT(F40:Q40,TRANSPOSE($I$10:$I$21))</f>
        <v>18</v>
      </c>
      <c r="E40" s="70">
        <f t="array" ref="E40">SUMPRODUCT(F40:Q40,TRANSPOSE($H$10:$H$21))</f>
        <v>16</v>
      </c>
      <c r="F40" s="93">
        <v>1.0</v>
      </c>
      <c r="G40" s="74">
        <v>1.0</v>
      </c>
      <c r="H40" s="93">
        <v>5.0</v>
      </c>
      <c r="I40" s="74">
        <v>1.0</v>
      </c>
      <c r="J40" s="93">
        <v>5.0</v>
      </c>
      <c r="K40" s="74">
        <v>1.0</v>
      </c>
      <c r="L40" s="93">
        <v>1.0</v>
      </c>
      <c r="M40" s="74">
        <v>0.0</v>
      </c>
      <c r="N40" s="93">
        <v>0.0</v>
      </c>
      <c r="O40" s="74">
        <v>0.0</v>
      </c>
      <c r="P40" s="93">
        <v>0.0</v>
      </c>
      <c r="Q40" s="74">
        <v>0.0</v>
      </c>
      <c r="R40" s="62"/>
      <c r="S40" s="62"/>
      <c r="T40" s="62"/>
      <c r="U40" s="62"/>
      <c r="V40" s="62"/>
      <c r="W40" s="62"/>
      <c r="X40" s="62"/>
      <c r="Y40" s="62"/>
      <c r="Z40" s="62"/>
    </row>
    <row r="41" ht="14.25" customHeight="1">
      <c r="A41" s="65" t="s">
        <v>39</v>
      </c>
      <c r="B41" s="65">
        <f t="array" ref="B41">SUMPRODUCT(F41:Q41,TRANSPOSE($G$10:$G$21))</f>
        <v>227</v>
      </c>
      <c r="C41" s="53"/>
      <c r="D41" s="77">
        <f t="array" ref="D41">SUMPRODUCT(F41:Q41,TRANSPOSE($I$10:$I$21))</f>
        <v>21</v>
      </c>
      <c r="E41" s="66">
        <f t="array" ref="E41">SUMPRODUCT(F41:Q41,TRANSPOSE($H$10:$H$21))</f>
        <v>18</v>
      </c>
      <c r="F41" s="77">
        <v>0.0</v>
      </c>
      <c r="G41" s="66">
        <v>0.0</v>
      </c>
      <c r="H41" s="77">
        <v>0.0</v>
      </c>
      <c r="I41" s="66">
        <v>0.0</v>
      </c>
      <c r="J41" s="77">
        <v>2.0</v>
      </c>
      <c r="K41" s="66">
        <v>0.0</v>
      </c>
      <c r="L41" s="77">
        <v>1.0</v>
      </c>
      <c r="M41" s="66">
        <v>2.0</v>
      </c>
      <c r="N41" s="77">
        <v>2.0</v>
      </c>
      <c r="O41" s="66">
        <v>5.0</v>
      </c>
      <c r="P41" s="77">
        <v>6.0</v>
      </c>
      <c r="Q41" s="66">
        <v>0.0</v>
      </c>
      <c r="R41" s="62"/>
      <c r="S41" s="62"/>
      <c r="T41" s="62"/>
      <c r="U41" s="62"/>
      <c r="V41" s="62"/>
      <c r="W41" s="62"/>
      <c r="X41" s="62"/>
      <c r="Y41" s="62"/>
      <c r="Z41" s="62"/>
    </row>
    <row r="42" ht="14.25" customHeight="1">
      <c r="A42" s="65" t="s">
        <v>68</v>
      </c>
      <c r="B42" s="65">
        <f t="array" ref="B42">SUMPRODUCT(F42:Q42,TRANSPOSE($G$10:$G$21))</f>
        <v>246</v>
      </c>
      <c r="C42" s="53"/>
      <c r="D42" s="77">
        <f t="array" ref="D42">SUMPRODUCT(F42:Q42,TRANSPOSE($I$10:$I$21))</f>
        <v>18</v>
      </c>
      <c r="E42" s="64">
        <f t="array" ref="E42">SUMPRODUCT(F42:Q42,TRANSPOSE($H$10:$H$21))</f>
        <v>16</v>
      </c>
      <c r="F42" s="77">
        <v>1.0</v>
      </c>
      <c r="G42" s="66">
        <v>1.0</v>
      </c>
      <c r="H42" s="77">
        <v>5.0</v>
      </c>
      <c r="I42" s="66">
        <v>1.0</v>
      </c>
      <c r="J42" s="77">
        <v>5.0</v>
      </c>
      <c r="K42" s="66">
        <v>1.0</v>
      </c>
      <c r="L42" s="77">
        <v>1.0</v>
      </c>
      <c r="M42" s="66">
        <v>0.0</v>
      </c>
      <c r="N42" s="77">
        <v>0.0</v>
      </c>
      <c r="O42" s="66">
        <v>0.0</v>
      </c>
      <c r="P42" s="77">
        <v>0.0</v>
      </c>
      <c r="Q42" s="66">
        <v>0.0</v>
      </c>
      <c r="R42" s="62"/>
      <c r="S42" s="62"/>
      <c r="T42" s="62"/>
      <c r="U42" s="62"/>
      <c r="V42" s="62"/>
      <c r="W42" s="62"/>
      <c r="X42" s="62"/>
      <c r="Y42" s="62"/>
      <c r="Z42" s="62"/>
    </row>
    <row r="43" ht="14.25" customHeight="1">
      <c r="A43" s="67" t="s">
        <v>88</v>
      </c>
      <c r="B43" s="67">
        <f t="array" ref="B43">SUMPRODUCT(F43:Q43,TRANSPOSE($G$10:$G$21))</f>
        <v>209</v>
      </c>
      <c r="C43" s="57"/>
      <c r="D43" s="79">
        <f t="array" ref="D43">SUMPRODUCT(F43:Q43,TRANSPOSE($I$10:$I$21))</f>
        <v>18</v>
      </c>
      <c r="E43" s="68">
        <f t="array" ref="E43">SUMPRODUCT(F43:Q43,TRANSPOSE($H$10:$H$21))</f>
        <v>17</v>
      </c>
      <c r="F43" s="79">
        <v>0.0</v>
      </c>
      <c r="G43" s="68">
        <v>0.0</v>
      </c>
      <c r="H43" s="79">
        <v>0.0</v>
      </c>
      <c r="I43" s="68">
        <v>0.0</v>
      </c>
      <c r="J43" s="79">
        <v>2.0</v>
      </c>
      <c r="K43" s="68">
        <v>0.0</v>
      </c>
      <c r="L43" s="79">
        <v>1.0</v>
      </c>
      <c r="M43" s="68">
        <v>0.0</v>
      </c>
      <c r="N43" s="79">
        <v>2.0</v>
      </c>
      <c r="O43" s="68">
        <v>5.0</v>
      </c>
      <c r="P43" s="79">
        <v>6.0</v>
      </c>
      <c r="Q43" s="68">
        <v>1.0</v>
      </c>
      <c r="R43" s="62"/>
      <c r="S43" s="62"/>
      <c r="T43" s="62"/>
      <c r="U43" s="62"/>
      <c r="V43" s="62"/>
      <c r="W43" s="62"/>
      <c r="X43" s="62"/>
      <c r="Y43" s="62"/>
      <c r="Z43" s="62"/>
    </row>
    <row r="44" ht="14.25" customHeight="1">
      <c r="A44" s="62" t="s">
        <v>159</v>
      </c>
      <c r="B44" s="62">
        <f>SUM(B40:E43)</f>
        <v>1070</v>
      </c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 ht="14.25" customHeight="1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 ht="14.25" customHeight="1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ht="14.25" customHeight="1">
      <c r="A47" s="72" t="s">
        <v>160</v>
      </c>
      <c r="B47" s="86"/>
      <c r="C47" s="86"/>
      <c r="D47" s="86"/>
      <c r="E47" s="86"/>
      <c r="F47" s="86"/>
      <c r="G47" s="86"/>
      <c r="H47" s="86"/>
      <c r="I47" s="86"/>
      <c r="J47" s="73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ht="14.25" customHeight="1">
      <c r="A48" s="94" t="s">
        <v>161</v>
      </c>
      <c r="B48" s="72" t="s">
        <v>162</v>
      </c>
      <c r="C48" s="86"/>
      <c r="D48" s="86"/>
      <c r="E48" s="73"/>
      <c r="F48" s="72" t="s">
        <v>163</v>
      </c>
      <c r="G48" s="86"/>
      <c r="H48" s="86"/>
      <c r="I48" s="73"/>
      <c r="J48" s="95" t="s">
        <v>154</v>
      </c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ht="14.25" customHeight="1">
      <c r="A49" s="96"/>
      <c r="B49" s="97" t="s">
        <v>164</v>
      </c>
      <c r="C49" s="98" t="s">
        <v>165</v>
      </c>
      <c r="D49" s="98" t="s">
        <v>166</v>
      </c>
      <c r="E49" s="99" t="s">
        <v>167</v>
      </c>
      <c r="F49" s="97" t="s">
        <v>164</v>
      </c>
      <c r="G49" s="98" t="s">
        <v>165</v>
      </c>
      <c r="H49" s="98" t="s">
        <v>166</v>
      </c>
      <c r="I49" s="99" t="s">
        <v>167</v>
      </c>
      <c r="J49" s="50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ht="14.25" customHeight="1">
      <c r="A50" s="94" t="s">
        <v>168</v>
      </c>
      <c r="B50" s="100" t="s">
        <v>169</v>
      </c>
      <c r="C50" s="101">
        <v>1.0</v>
      </c>
      <c r="D50" s="102">
        <v>3686.6</v>
      </c>
      <c r="E50" s="103" t="s">
        <v>170</v>
      </c>
      <c r="F50" s="100" t="s">
        <v>171</v>
      </c>
      <c r="G50" s="101">
        <v>1.0</v>
      </c>
      <c r="H50" s="104" t="s">
        <v>172</v>
      </c>
      <c r="I50" s="103" t="s">
        <v>170</v>
      </c>
      <c r="J50" s="95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 ht="14.25" customHeight="1">
      <c r="A51" s="72" t="s">
        <v>173</v>
      </c>
      <c r="B51" s="105" t="s">
        <v>174</v>
      </c>
      <c r="C51" s="106">
        <v>1.0</v>
      </c>
      <c r="D51" s="107">
        <v>6100.82</v>
      </c>
      <c r="E51" s="108" t="s">
        <v>170</v>
      </c>
      <c r="F51" s="105" t="s">
        <v>175</v>
      </c>
      <c r="G51" s="106">
        <v>1.0</v>
      </c>
      <c r="H51" s="107">
        <v>26334.7</v>
      </c>
      <c r="I51" s="108" t="s">
        <v>170</v>
      </c>
      <c r="J51" s="109" t="s">
        <v>11</v>
      </c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ht="14.25" customHeight="1">
      <c r="A52" s="65" t="s">
        <v>176</v>
      </c>
      <c r="B52" s="97" t="s">
        <v>177</v>
      </c>
      <c r="C52" s="98">
        <v>1.0</v>
      </c>
      <c r="D52" s="110">
        <v>7123.14</v>
      </c>
      <c r="E52" s="111" t="s">
        <v>170</v>
      </c>
      <c r="F52" s="97" t="s">
        <v>178</v>
      </c>
      <c r="G52" s="98">
        <v>1.0</v>
      </c>
      <c r="H52" s="110">
        <v>14125.61</v>
      </c>
      <c r="I52" s="111" t="s">
        <v>170</v>
      </c>
      <c r="J52" s="11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ht="14.25" customHeight="1">
      <c r="A53" s="65" t="s">
        <v>179</v>
      </c>
      <c r="B53" s="100" t="s">
        <v>180</v>
      </c>
      <c r="C53" s="101">
        <f>_xlfn.CEILING.MATH(SUM(B40,E40)/48)</f>
        <v>6</v>
      </c>
      <c r="D53" s="102">
        <v>4959.83</v>
      </c>
      <c r="E53" s="103" t="s">
        <v>170</v>
      </c>
      <c r="F53" s="100" t="s">
        <v>181</v>
      </c>
      <c r="G53" s="101">
        <f>_xlfn.CEILING.MATH(SUM(B40,E40)/48)</f>
        <v>6</v>
      </c>
      <c r="H53" s="102">
        <v>5350.0</v>
      </c>
      <c r="I53" s="103" t="s">
        <v>170</v>
      </c>
      <c r="J53" s="11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ht="14.25" customHeight="1">
      <c r="A54" s="65" t="s">
        <v>182</v>
      </c>
      <c r="B54" s="113"/>
      <c r="C54" s="114"/>
      <c r="D54" s="114"/>
      <c r="E54" s="115"/>
      <c r="F54" s="113"/>
      <c r="G54" s="114"/>
      <c r="H54" s="114"/>
      <c r="I54" s="115"/>
      <c r="J54" s="11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ht="14.25" customHeight="1">
      <c r="A55" s="65" t="s">
        <v>183</v>
      </c>
      <c r="B55" s="97" t="s">
        <v>184</v>
      </c>
      <c r="C55" s="98">
        <f>(12+2)</f>
        <v>14</v>
      </c>
      <c r="D55" s="110">
        <v>343.64</v>
      </c>
      <c r="E55" s="111" t="s">
        <v>170</v>
      </c>
      <c r="F55" s="97" t="s">
        <v>185</v>
      </c>
      <c r="G55" s="98">
        <v>12.0</v>
      </c>
      <c r="H55" s="110">
        <v>1295.0</v>
      </c>
      <c r="I55" s="111" t="s">
        <v>170</v>
      </c>
      <c r="J55" s="11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ht="14.25" customHeight="1">
      <c r="A56" s="65" t="s">
        <v>186</v>
      </c>
      <c r="B56" s="97" t="s">
        <v>187</v>
      </c>
      <c r="C56" s="98">
        <v>1.0</v>
      </c>
      <c r="D56" s="110">
        <v>17336.86</v>
      </c>
      <c r="E56" s="111" t="s">
        <v>170</v>
      </c>
      <c r="F56" s="97" t="s">
        <v>188</v>
      </c>
      <c r="G56" s="98">
        <v>1.0</v>
      </c>
      <c r="H56" s="110">
        <v>47650.0</v>
      </c>
      <c r="I56" s="111" t="s">
        <v>170</v>
      </c>
      <c r="J56" s="11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 ht="14.25" customHeight="1">
      <c r="A57" s="65" t="s">
        <v>189</v>
      </c>
      <c r="B57" s="97" t="s">
        <v>190</v>
      </c>
      <c r="C57" s="98">
        <f>_xlfn.CEILING.MATH(D40/48)</f>
        <v>1</v>
      </c>
      <c r="D57" s="110">
        <v>5015.78</v>
      </c>
      <c r="E57" s="111" t="s">
        <v>170</v>
      </c>
      <c r="F57" s="97" t="s">
        <v>191</v>
      </c>
      <c r="G57" s="98">
        <f>_xlfn.CEILING.MATH(D40/24)</f>
        <v>1</v>
      </c>
      <c r="H57" s="110">
        <v>15545.0</v>
      </c>
      <c r="I57" s="111" t="s">
        <v>170</v>
      </c>
      <c r="J57" s="11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ht="14.25" customHeight="1">
      <c r="A58" s="65" t="s">
        <v>192</v>
      </c>
      <c r="B58" s="97" t="s">
        <v>193</v>
      </c>
      <c r="C58" s="98">
        <f>D40</f>
        <v>18</v>
      </c>
      <c r="D58" s="110">
        <v>5455.89</v>
      </c>
      <c r="E58" s="111" t="s">
        <v>170</v>
      </c>
      <c r="F58" s="97" t="s">
        <v>194</v>
      </c>
      <c r="G58" s="98">
        <f>D40</f>
        <v>18</v>
      </c>
      <c r="H58" s="110">
        <v>1475.37</v>
      </c>
      <c r="I58" s="111" t="s">
        <v>170</v>
      </c>
      <c r="J58" s="11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 ht="14.25" customHeight="1">
      <c r="A59" s="65" t="s">
        <v>195</v>
      </c>
      <c r="B59" s="97" t="s">
        <v>196</v>
      </c>
      <c r="C59" s="98">
        <v>1.0</v>
      </c>
      <c r="D59" s="110" t="s">
        <v>197</v>
      </c>
      <c r="E59" s="111" t="s">
        <v>170</v>
      </c>
      <c r="F59" s="97" t="s">
        <v>198</v>
      </c>
      <c r="G59" s="98">
        <v>1.0</v>
      </c>
      <c r="H59" s="110">
        <v>68179.32</v>
      </c>
      <c r="I59" s="111" t="s">
        <v>170</v>
      </c>
      <c r="J59" s="11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ht="14.25" customHeight="1">
      <c r="A60" s="67" t="s">
        <v>199</v>
      </c>
      <c r="B60" s="116" t="s">
        <v>200</v>
      </c>
      <c r="C60" s="91">
        <f>E40</f>
        <v>16</v>
      </c>
      <c r="D60" s="117">
        <v>366.2</v>
      </c>
      <c r="E60" s="118" t="s">
        <v>170</v>
      </c>
      <c r="F60" s="116" t="s">
        <v>201</v>
      </c>
      <c r="G60" s="91">
        <f>E40</f>
        <v>16</v>
      </c>
      <c r="H60" s="117">
        <v>194.99</v>
      </c>
      <c r="I60" s="118" t="s">
        <v>170</v>
      </c>
      <c r="J60" s="119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 ht="14.25" customHeight="1">
      <c r="A61" s="72" t="s">
        <v>173</v>
      </c>
      <c r="B61" s="105" t="s">
        <v>174</v>
      </c>
      <c r="C61" s="106">
        <v>1.0</v>
      </c>
      <c r="D61" s="107">
        <v>6100.82</v>
      </c>
      <c r="E61" s="108" t="s">
        <v>170</v>
      </c>
      <c r="F61" s="105" t="s">
        <v>175</v>
      </c>
      <c r="G61" s="106">
        <v>1.0</v>
      </c>
      <c r="H61" s="107">
        <v>26334.7</v>
      </c>
      <c r="I61" s="108" t="s">
        <v>170</v>
      </c>
      <c r="J61" s="109" t="s">
        <v>39</v>
      </c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ht="14.25" customHeight="1">
      <c r="A62" s="65" t="s">
        <v>176</v>
      </c>
      <c r="B62" s="97" t="s">
        <v>177</v>
      </c>
      <c r="C62" s="98">
        <v>1.0</v>
      </c>
      <c r="D62" s="110">
        <v>7123.14</v>
      </c>
      <c r="E62" s="111" t="s">
        <v>170</v>
      </c>
      <c r="F62" s="97" t="s">
        <v>178</v>
      </c>
      <c r="G62" s="98">
        <v>1.0</v>
      </c>
      <c r="H62" s="110">
        <v>14125.61</v>
      </c>
      <c r="I62" s="111" t="s">
        <v>170</v>
      </c>
      <c r="J62" s="11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ht="14.25" customHeight="1">
      <c r="A63" s="65" t="s">
        <v>179</v>
      </c>
      <c r="B63" s="100" t="s">
        <v>180</v>
      </c>
      <c r="C63" s="101">
        <f>_xlfn.CEILING.MATH(SUM($B$41,$E$41)/48)</f>
        <v>6</v>
      </c>
      <c r="D63" s="102">
        <v>4959.83</v>
      </c>
      <c r="E63" s="103" t="s">
        <v>170</v>
      </c>
      <c r="F63" s="100" t="s">
        <v>181</v>
      </c>
      <c r="G63" s="101">
        <f>_xlfn.CEILING.MATH(SUM($B$41,$E$41)/48)</f>
        <v>6</v>
      </c>
      <c r="H63" s="102">
        <v>5350.0</v>
      </c>
      <c r="I63" s="103" t="s">
        <v>170</v>
      </c>
      <c r="J63" s="11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 ht="14.25" customHeight="1">
      <c r="A64" s="65" t="s">
        <v>182</v>
      </c>
      <c r="B64" s="113"/>
      <c r="C64" s="114"/>
      <c r="D64" s="114"/>
      <c r="E64" s="115"/>
      <c r="F64" s="113"/>
      <c r="G64" s="114"/>
      <c r="H64" s="114"/>
      <c r="I64" s="115"/>
      <c r="J64" s="11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ht="14.25" customHeight="1">
      <c r="A65" s="65" t="s">
        <v>186</v>
      </c>
      <c r="B65" s="97" t="s">
        <v>202</v>
      </c>
      <c r="C65" s="98">
        <v>1.0</v>
      </c>
      <c r="D65" s="110">
        <v>17336.86</v>
      </c>
      <c r="E65" s="111" t="s">
        <v>170</v>
      </c>
      <c r="F65" s="97" t="s">
        <v>188</v>
      </c>
      <c r="G65" s="98">
        <v>1.0</v>
      </c>
      <c r="H65" s="110">
        <v>47650.0</v>
      </c>
      <c r="I65" s="111" t="s">
        <v>170</v>
      </c>
      <c r="J65" s="11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 ht="14.25" customHeight="1">
      <c r="A66" s="65" t="s">
        <v>183</v>
      </c>
      <c r="B66" s="97" t="s">
        <v>184</v>
      </c>
      <c r="C66" s="98">
        <v>12.0</v>
      </c>
      <c r="D66" s="110">
        <v>343.64</v>
      </c>
      <c r="E66" s="111" t="s">
        <v>170</v>
      </c>
      <c r="F66" s="97" t="s">
        <v>185</v>
      </c>
      <c r="G66" s="98">
        <v>12.0</v>
      </c>
      <c r="H66" s="110">
        <v>1295.0</v>
      </c>
      <c r="I66" s="111" t="s">
        <v>170</v>
      </c>
      <c r="J66" s="11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ht="14.25" customHeight="1">
      <c r="A67" s="65" t="s">
        <v>189</v>
      </c>
      <c r="B67" s="97" t="s">
        <v>190</v>
      </c>
      <c r="C67" s="98">
        <f>_xlfn.CEILING.MATH($D$41/48)</f>
        <v>1</v>
      </c>
      <c r="D67" s="110">
        <v>5015.78</v>
      </c>
      <c r="E67" s="111" t="s">
        <v>170</v>
      </c>
      <c r="F67" s="97" t="s">
        <v>191</v>
      </c>
      <c r="G67" s="98">
        <f>_xlfn.CEILING.MATH($D$41/24)</f>
        <v>1</v>
      </c>
      <c r="H67" s="110">
        <v>15545.0</v>
      </c>
      <c r="I67" s="111" t="s">
        <v>170</v>
      </c>
      <c r="J67" s="11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 ht="14.25" customHeight="1">
      <c r="A68" s="65" t="s">
        <v>192</v>
      </c>
      <c r="B68" s="97" t="s">
        <v>203</v>
      </c>
      <c r="C68" s="98">
        <f>$D$41</f>
        <v>21</v>
      </c>
      <c r="D68" s="110">
        <v>5455.89</v>
      </c>
      <c r="E68" s="111" t="s">
        <v>170</v>
      </c>
      <c r="F68" s="97" t="s">
        <v>194</v>
      </c>
      <c r="G68" s="98">
        <f>$D$41</f>
        <v>21</v>
      </c>
      <c r="H68" s="110">
        <v>1475.37</v>
      </c>
      <c r="I68" s="111" t="s">
        <v>170</v>
      </c>
      <c r="J68" s="11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 ht="14.25" customHeight="1">
      <c r="A69" s="67" t="s">
        <v>199</v>
      </c>
      <c r="B69" s="116" t="s">
        <v>200</v>
      </c>
      <c r="C69" s="91">
        <f>$E$41</f>
        <v>18</v>
      </c>
      <c r="D69" s="117">
        <v>366.2</v>
      </c>
      <c r="E69" s="118" t="s">
        <v>170</v>
      </c>
      <c r="F69" s="116" t="s">
        <v>201</v>
      </c>
      <c r="G69" s="91">
        <f>$E$41</f>
        <v>18</v>
      </c>
      <c r="H69" s="117">
        <v>194.99</v>
      </c>
      <c r="I69" s="118" t="s">
        <v>170</v>
      </c>
      <c r="J69" s="119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ht="14.25" customHeight="1">
      <c r="A70" s="72" t="s">
        <v>173</v>
      </c>
      <c r="B70" s="105" t="s">
        <v>174</v>
      </c>
      <c r="C70" s="106">
        <v>1.0</v>
      </c>
      <c r="D70" s="107">
        <v>6100.82</v>
      </c>
      <c r="E70" s="108" t="s">
        <v>170</v>
      </c>
      <c r="F70" s="105" t="s">
        <v>175</v>
      </c>
      <c r="G70" s="106">
        <v>1.0</v>
      </c>
      <c r="H70" s="107">
        <v>26334.7</v>
      </c>
      <c r="I70" s="108" t="s">
        <v>170</v>
      </c>
      <c r="J70" s="109" t="s">
        <v>68</v>
      </c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 ht="14.25" customHeight="1">
      <c r="A71" s="65" t="s">
        <v>176</v>
      </c>
      <c r="B71" s="97" t="s">
        <v>177</v>
      </c>
      <c r="C71" s="98">
        <v>1.0</v>
      </c>
      <c r="D71" s="110">
        <v>7123.14</v>
      </c>
      <c r="E71" s="111" t="s">
        <v>170</v>
      </c>
      <c r="F71" s="97" t="s">
        <v>178</v>
      </c>
      <c r="G71" s="98">
        <v>1.0</v>
      </c>
      <c r="H71" s="110">
        <v>14125.61</v>
      </c>
      <c r="I71" s="111" t="s">
        <v>170</v>
      </c>
      <c r="J71" s="11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 ht="14.25" customHeight="1">
      <c r="A72" s="65" t="s">
        <v>179</v>
      </c>
      <c r="B72" s="100" t="s">
        <v>180</v>
      </c>
      <c r="C72" s="101">
        <f>_xlfn.CEILING.MATH(SUM($B$42,$E$42)/48)</f>
        <v>6</v>
      </c>
      <c r="D72" s="102">
        <v>4959.83</v>
      </c>
      <c r="E72" s="103" t="s">
        <v>170</v>
      </c>
      <c r="F72" s="100" t="s">
        <v>181</v>
      </c>
      <c r="G72" s="101">
        <f>_xlfn.CEILING.MATH(SUM($B$42,$E$42)/48)</f>
        <v>6</v>
      </c>
      <c r="H72" s="102">
        <v>5350.0</v>
      </c>
      <c r="I72" s="103" t="s">
        <v>170</v>
      </c>
      <c r="J72" s="11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ht="14.25" customHeight="1">
      <c r="A73" s="65" t="s">
        <v>182</v>
      </c>
      <c r="B73" s="113"/>
      <c r="C73" s="114"/>
      <c r="D73" s="114"/>
      <c r="E73" s="115"/>
      <c r="F73" s="113"/>
      <c r="G73" s="114"/>
      <c r="H73" s="114"/>
      <c r="I73" s="115"/>
      <c r="J73" s="11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 ht="14.25" customHeight="1">
      <c r="A74" s="65" t="s">
        <v>186</v>
      </c>
      <c r="B74" s="97" t="s">
        <v>202</v>
      </c>
      <c r="C74" s="98">
        <v>1.0</v>
      </c>
      <c r="D74" s="110">
        <v>17336.86</v>
      </c>
      <c r="E74" s="111" t="s">
        <v>170</v>
      </c>
      <c r="F74" s="97" t="s">
        <v>188</v>
      </c>
      <c r="G74" s="98">
        <v>1.0</v>
      </c>
      <c r="H74" s="110">
        <v>47650.0</v>
      </c>
      <c r="I74" s="111" t="s">
        <v>170</v>
      </c>
      <c r="J74" s="11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 ht="14.25" customHeight="1">
      <c r="A75" s="65" t="s">
        <v>183</v>
      </c>
      <c r="B75" s="97" t="s">
        <v>184</v>
      </c>
      <c r="C75" s="98">
        <v>12.0</v>
      </c>
      <c r="D75" s="110">
        <v>343.64</v>
      </c>
      <c r="E75" s="111" t="s">
        <v>170</v>
      </c>
      <c r="F75" s="97" t="s">
        <v>185</v>
      </c>
      <c r="G75" s="98">
        <v>12.0</v>
      </c>
      <c r="H75" s="110">
        <v>1295.0</v>
      </c>
      <c r="I75" s="111" t="s">
        <v>170</v>
      </c>
      <c r="J75" s="11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ht="14.25" customHeight="1">
      <c r="A76" s="65" t="s">
        <v>189</v>
      </c>
      <c r="B76" s="97" t="s">
        <v>190</v>
      </c>
      <c r="C76" s="98">
        <f>_xlfn.CEILING.MATH($D$42/48)</f>
        <v>1</v>
      </c>
      <c r="D76" s="110">
        <v>5015.78</v>
      </c>
      <c r="E76" s="111" t="s">
        <v>170</v>
      </c>
      <c r="F76" s="97" t="s">
        <v>191</v>
      </c>
      <c r="G76" s="98">
        <f>_xlfn.CEILING.MATH($D$42/24)</f>
        <v>1</v>
      </c>
      <c r="H76" s="110">
        <v>15545.0</v>
      </c>
      <c r="I76" s="111" t="s">
        <v>170</v>
      </c>
      <c r="J76" s="11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 ht="14.25" customHeight="1">
      <c r="A77" s="65" t="s">
        <v>192</v>
      </c>
      <c r="B77" s="97" t="s">
        <v>203</v>
      </c>
      <c r="C77" s="98">
        <f>$D$42</f>
        <v>18</v>
      </c>
      <c r="D77" s="110">
        <v>5455.89</v>
      </c>
      <c r="E77" s="111" t="s">
        <v>170</v>
      </c>
      <c r="F77" s="97" t="s">
        <v>194</v>
      </c>
      <c r="G77" s="98">
        <f>$D$42</f>
        <v>18</v>
      </c>
      <c r="H77" s="110">
        <v>1475.37</v>
      </c>
      <c r="I77" s="111" t="s">
        <v>170</v>
      </c>
      <c r="J77" s="11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ht="14.25" customHeight="1">
      <c r="A78" s="67" t="s">
        <v>199</v>
      </c>
      <c r="B78" s="116" t="s">
        <v>200</v>
      </c>
      <c r="C78" s="91">
        <f>$E$42</f>
        <v>16</v>
      </c>
      <c r="D78" s="117">
        <v>366.2</v>
      </c>
      <c r="E78" s="118" t="s">
        <v>170</v>
      </c>
      <c r="F78" s="116" t="s">
        <v>201</v>
      </c>
      <c r="G78" s="91">
        <f>$E$42</f>
        <v>16</v>
      </c>
      <c r="H78" s="117">
        <v>194.99</v>
      </c>
      <c r="I78" s="118" t="s">
        <v>170</v>
      </c>
      <c r="J78" s="119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ht="14.25" customHeight="1">
      <c r="A79" s="63" t="s">
        <v>173</v>
      </c>
      <c r="B79" s="120" t="s">
        <v>174</v>
      </c>
      <c r="C79" s="121">
        <v>1.0</v>
      </c>
      <c r="D79" s="122">
        <v>6100.82</v>
      </c>
      <c r="E79" s="123" t="s">
        <v>170</v>
      </c>
      <c r="F79" s="120" t="s">
        <v>175</v>
      </c>
      <c r="G79" s="121">
        <v>1.0</v>
      </c>
      <c r="H79" s="122">
        <v>26334.7</v>
      </c>
      <c r="I79" s="123" t="s">
        <v>170</v>
      </c>
      <c r="J79" s="124" t="s">
        <v>88</v>
      </c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 ht="14.25" customHeight="1">
      <c r="A80" s="65" t="s">
        <v>176</v>
      </c>
      <c r="B80" s="97" t="s">
        <v>177</v>
      </c>
      <c r="C80" s="98">
        <v>1.0</v>
      </c>
      <c r="D80" s="110">
        <v>7123.14</v>
      </c>
      <c r="E80" s="111" t="s">
        <v>170</v>
      </c>
      <c r="F80" s="97" t="s">
        <v>178</v>
      </c>
      <c r="G80" s="98">
        <v>1.0</v>
      </c>
      <c r="H80" s="110">
        <v>14125.61</v>
      </c>
      <c r="I80" s="111" t="s">
        <v>170</v>
      </c>
      <c r="J80" s="11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ht="14.25" customHeight="1">
      <c r="A81" s="65" t="s">
        <v>179</v>
      </c>
      <c r="B81" s="100" t="s">
        <v>180</v>
      </c>
      <c r="C81" s="101">
        <f>_xlfn.CEILING.MATH(SUM($B$43,$E$43)/48)</f>
        <v>5</v>
      </c>
      <c r="D81" s="102">
        <v>4959.83</v>
      </c>
      <c r="E81" s="103" t="s">
        <v>170</v>
      </c>
      <c r="F81" s="100" t="s">
        <v>181</v>
      </c>
      <c r="G81" s="101">
        <f>_xlfn.CEILING.MATH(SUM($B$43,$E$43)/48)</f>
        <v>5</v>
      </c>
      <c r="H81" s="102">
        <v>5350.0</v>
      </c>
      <c r="I81" s="103" t="s">
        <v>170</v>
      </c>
      <c r="J81" s="11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ht="14.25" customHeight="1">
      <c r="A82" s="65" t="s">
        <v>182</v>
      </c>
      <c r="B82" s="113"/>
      <c r="C82" s="114"/>
      <c r="D82" s="114"/>
      <c r="E82" s="115"/>
      <c r="F82" s="113"/>
      <c r="G82" s="114"/>
      <c r="H82" s="114"/>
      <c r="I82" s="115"/>
      <c r="J82" s="11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 ht="14.25" customHeight="1">
      <c r="A83" s="65" t="s">
        <v>186</v>
      </c>
      <c r="B83" s="97" t="s">
        <v>202</v>
      </c>
      <c r="C83" s="98">
        <v>1.0</v>
      </c>
      <c r="D83" s="110">
        <v>17336.86</v>
      </c>
      <c r="E83" s="111" t="s">
        <v>170</v>
      </c>
      <c r="F83" s="97" t="s">
        <v>188</v>
      </c>
      <c r="G83" s="98">
        <v>1.0</v>
      </c>
      <c r="H83" s="110">
        <v>47650.0</v>
      </c>
      <c r="I83" s="111" t="s">
        <v>170</v>
      </c>
      <c r="J83" s="11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ht="14.25" customHeight="1">
      <c r="A84" s="65" t="s">
        <v>183</v>
      </c>
      <c r="B84" s="97" t="s">
        <v>184</v>
      </c>
      <c r="C84" s="98">
        <v>12.0</v>
      </c>
      <c r="D84" s="110">
        <v>343.64</v>
      </c>
      <c r="E84" s="111" t="s">
        <v>170</v>
      </c>
      <c r="F84" s="97" t="s">
        <v>185</v>
      </c>
      <c r="G84" s="98">
        <v>12.0</v>
      </c>
      <c r="H84" s="110">
        <v>1295.0</v>
      </c>
      <c r="I84" s="111" t="s">
        <v>170</v>
      </c>
      <c r="J84" s="11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 ht="14.25" customHeight="1">
      <c r="A85" s="65" t="s">
        <v>189</v>
      </c>
      <c r="B85" s="97" t="s">
        <v>190</v>
      </c>
      <c r="C85" s="98">
        <f>_xlfn.CEILING.MATH($D$43/48)</f>
        <v>1</v>
      </c>
      <c r="D85" s="110">
        <v>5015.78</v>
      </c>
      <c r="E85" s="111" t="s">
        <v>170</v>
      </c>
      <c r="F85" s="97" t="s">
        <v>191</v>
      </c>
      <c r="G85" s="98">
        <f>_xlfn.CEILING.MATH($D$43/24)</f>
        <v>1</v>
      </c>
      <c r="H85" s="110">
        <v>15545.0</v>
      </c>
      <c r="I85" s="111" t="s">
        <v>170</v>
      </c>
      <c r="J85" s="11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ht="14.25" customHeight="1">
      <c r="A86" s="65" t="s">
        <v>192</v>
      </c>
      <c r="B86" s="97" t="s">
        <v>203</v>
      </c>
      <c r="C86" s="98">
        <f>$D$43</f>
        <v>18</v>
      </c>
      <c r="D86" s="110">
        <v>5455.89</v>
      </c>
      <c r="E86" s="111" t="s">
        <v>170</v>
      </c>
      <c r="F86" s="97" t="s">
        <v>194</v>
      </c>
      <c r="G86" s="98">
        <f>$D$43</f>
        <v>18</v>
      </c>
      <c r="H86" s="110">
        <v>1475.37</v>
      </c>
      <c r="I86" s="111" t="s">
        <v>170</v>
      </c>
      <c r="J86" s="11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ht="14.25" customHeight="1">
      <c r="A87" s="67" t="s">
        <v>199</v>
      </c>
      <c r="B87" s="116" t="s">
        <v>200</v>
      </c>
      <c r="C87" s="91">
        <f>$E$43</f>
        <v>17</v>
      </c>
      <c r="D87" s="117">
        <v>366.2</v>
      </c>
      <c r="E87" s="118" t="s">
        <v>170</v>
      </c>
      <c r="F87" s="116" t="s">
        <v>201</v>
      </c>
      <c r="G87" s="91">
        <f>$E$43</f>
        <v>17</v>
      </c>
      <c r="H87" s="117">
        <v>194.99</v>
      </c>
      <c r="I87" s="118" t="s">
        <v>170</v>
      </c>
      <c r="J87" s="119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ht="14.25" customHeight="1">
      <c r="A88" s="62"/>
      <c r="B88" s="62"/>
      <c r="C88" s="62"/>
      <c r="D88" s="125">
        <f>SUMPRODUCT(C50:C87,D50:D87)</f>
        <v>863236.05</v>
      </c>
      <c r="E88" s="62"/>
      <c r="F88" s="62"/>
      <c r="G88" s="62"/>
      <c r="H88" s="125">
        <f>SUMPRODUCT(G50:G87,H50:H87)</f>
        <v>791727.64</v>
      </c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ht="14.2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 ht="14.25" customHeight="1">
      <c r="A90" s="61" t="s">
        <v>204</v>
      </c>
      <c r="B90" s="61" t="s">
        <v>205</v>
      </c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ht="14.25" customHeight="1">
      <c r="A91" s="121" t="s">
        <v>206</v>
      </c>
      <c r="B91" s="121" t="s">
        <v>207</v>
      </c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ht="14.25" customHeight="1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 ht="14.25" customHeight="1">
      <c r="A93" s="42"/>
      <c r="B93" s="42"/>
      <c r="C93" s="42"/>
      <c r="D93" s="42"/>
      <c r="E93" s="42"/>
      <c r="F93" s="42"/>
      <c r="G93" s="4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ht="14.25" customHeight="1">
      <c r="A94" s="126" t="s">
        <v>208</v>
      </c>
      <c r="B94" s="126" t="s">
        <v>209</v>
      </c>
      <c r="C94" s="126" t="s">
        <v>210</v>
      </c>
      <c r="D94" s="126" t="s">
        <v>211</v>
      </c>
      <c r="E94" s="126" t="s">
        <v>212</v>
      </c>
      <c r="F94" s="126" t="s">
        <v>213</v>
      </c>
      <c r="G94" s="126" t="s">
        <v>214</v>
      </c>
      <c r="H94" s="126" t="s">
        <v>215</v>
      </c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ht="14.25" customHeight="1">
      <c r="A95" s="127" t="s">
        <v>216</v>
      </c>
      <c r="B95" s="128" t="s">
        <v>217</v>
      </c>
      <c r="C95" s="128" t="s">
        <v>218</v>
      </c>
      <c r="D95" s="128" t="s">
        <v>219</v>
      </c>
      <c r="E95" s="128" t="s">
        <v>220</v>
      </c>
      <c r="F95" s="128" t="s">
        <v>221</v>
      </c>
      <c r="G95" s="128">
        <v>126.0</v>
      </c>
      <c r="H95" s="128">
        <v>126.0</v>
      </c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ht="14.25" customHeight="1">
      <c r="A96" s="129" t="s">
        <v>222</v>
      </c>
      <c r="B96" s="130" t="s">
        <v>223</v>
      </c>
      <c r="C96" s="130" t="s">
        <v>224</v>
      </c>
      <c r="D96" s="130" t="s">
        <v>225</v>
      </c>
      <c r="E96" s="130" t="s">
        <v>226</v>
      </c>
      <c r="F96" s="130" t="s">
        <v>227</v>
      </c>
      <c r="G96" s="130">
        <v>254.0</v>
      </c>
      <c r="H96" s="130">
        <v>254.0</v>
      </c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ht="14.25" customHeight="1">
      <c r="A97" s="129" t="s">
        <v>228</v>
      </c>
      <c r="B97" s="130" t="s">
        <v>229</v>
      </c>
      <c r="C97" s="130" t="s">
        <v>230</v>
      </c>
      <c r="D97" s="130" t="s">
        <v>231</v>
      </c>
      <c r="E97" s="130" t="s">
        <v>232</v>
      </c>
      <c r="F97" s="130" t="s">
        <v>233</v>
      </c>
      <c r="G97" s="130">
        <v>1000.0</v>
      </c>
      <c r="H97" s="130">
        <v>1022.0</v>
      </c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 ht="14.25" customHeight="1">
      <c r="A98" s="129" t="s">
        <v>234</v>
      </c>
      <c r="B98" s="130" t="s">
        <v>235</v>
      </c>
      <c r="C98" s="130" t="s">
        <v>236</v>
      </c>
      <c r="D98" s="130" t="s">
        <v>237</v>
      </c>
      <c r="E98" s="130" t="s">
        <v>238</v>
      </c>
      <c r="F98" s="130" t="s">
        <v>239</v>
      </c>
      <c r="G98" s="130">
        <v>48.0</v>
      </c>
      <c r="H98" s="130">
        <v>62.0</v>
      </c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 ht="14.25" customHeight="1">
      <c r="A99" s="129" t="s">
        <v>240</v>
      </c>
      <c r="B99" s="130" t="s">
        <v>241</v>
      </c>
      <c r="C99" s="130" t="s">
        <v>242</v>
      </c>
      <c r="D99" s="130" t="s">
        <v>243</v>
      </c>
      <c r="E99" s="130" t="s">
        <v>244</v>
      </c>
      <c r="F99" s="130" t="s">
        <v>239</v>
      </c>
      <c r="G99" s="130">
        <v>48.0</v>
      </c>
      <c r="H99" s="130">
        <v>62.0</v>
      </c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 ht="14.25" customHeight="1">
      <c r="A100" s="129" t="s">
        <v>245</v>
      </c>
      <c r="B100" s="130" t="s">
        <v>246</v>
      </c>
      <c r="C100" s="130" t="s">
        <v>247</v>
      </c>
      <c r="D100" s="130" t="s">
        <v>248</v>
      </c>
      <c r="E100" s="130" t="s">
        <v>249</v>
      </c>
      <c r="F100" s="130" t="s">
        <v>239</v>
      </c>
      <c r="G100" s="130">
        <v>48.0</v>
      </c>
      <c r="H100" s="130">
        <v>62.0</v>
      </c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ht="14.25" customHeight="1">
      <c r="A101" s="129" t="s">
        <v>250</v>
      </c>
      <c r="B101" s="130" t="s">
        <v>251</v>
      </c>
      <c r="C101" s="130" t="s">
        <v>252</v>
      </c>
      <c r="D101" s="130" t="s">
        <v>253</v>
      </c>
      <c r="E101" s="130" t="s">
        <v>254</v>
      </c>
      <c r="F101" s="130" t="s">
        <v>239</v>
      </c>
      <c r="G101" s="130">
        <v>48.0</v>
      </c>
      <c r="H101" s="130">
        <v>62.0</v>
      </c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ht="14.25" customHeight="1">
      <c r="A102" s="129" t="s">
        <v>255</v>
      </c>
      <c r="B102" s="130" t="s">
        <v>256</v>
      </c>
      <c r="C102" s="130" t="s">
        <v>257</v>
      </c>
      <c r="D102" s="130" t="s">
        <v>258</v>
      </c>
      <c r="E102" s="130" t="s">
        <v>259</v>
      </c>
      <c r="F102" s="130" t="s">
        <v>239</v>
      </c>
      <c r="G102" s="130">
        <v>48.0</v>
      </c>
      <c r="H102" s="130">
        <v>62.0</v>
      </c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ht="14.25" customHeight="1">
      <c r="A103" s="129" t="s">
        <v>260</v>
      </c>
      <c r="B103" s="130" t="s">
        <v>261</v>
      </c>
      <c r="C103" s="130" t="s">
        <v>262</v>
      </c>
      <c r="D103" s="130" t="s">
        <v>263</v>
      </c>
      <c r="E103" s="130" t="s">
        <v>264</v>
      </c>
      <c r="F103" s="130" t="s">
        <v>239</v>
      </c>
      <c r="G103" s="130">
        <v>48.0</v>
      </c>
      <c r="H103" s="130">
        <v>62.0</v>
      </c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ht="14.25" customHeight="1">
      <c r="A104" s="129" t="s">
        <v>265</v>
      </c>
      <c r="B104" s="130" t="s">
        <v>266</v>
      </c>
      <c r="C104" s="130" t="s">
        <v>267</v>
      </c>
      <c r="D104" s="130" t="s">
        <v>268</v>
      </c>
      <c r="E104" s="130" t="s">
        <v>269</v>
      </c>
      <c r="F104" s="130" t="s">
        <v>239</v>
      </c>
      <c r="G104" s="130">
        <v>48.0</v>
      </c>
      <c r="H104" s="130">
        <v>62.0</v>
      </c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ht="14.25" customHeight="1">
      <c r="A105" s="129" t="s">
        <v>270</v>
      </c>
      <c r="B105" s="130" t="s">
        <v>271</v>
      </c>
      <c r="C105" s="130" t="s">
        <v>272</v>
      </c>
      <c r="D105" s="130" t="s">
        <v>273</v>
      </c>
      <c r="E105" s="130" t="s">
        <v>274</v>
      </c>
      <c r="F105" s="130" t="s">
        <v>239</v>
      </c>
      <c r="G105" s="130">
        <v>48.0</v>
      </c>
      <c r="H105" s="130">
        <v>62.0</v>
      </c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ht="14.25" customHeight="1">
      <c r="A106" s="129" t="s">
        <v>275</v>
      </c>
      <c r="B106" s="130" t="s">
        <v>276</v>
      </c>
      <c r="C106" s="130" t="s">
        <v>277</v>
      </c>
      <c r="D106" s="130" t="s">
        <v>278</v>
      </c>
      <c r="E106" s="130" t="s">
        <v>279</v>
      </c>
      <c r="F106" s="130" t="s">
        <v>239</v>
      </c>
      <c r="G106" s="130">
        <v>48.0</v>
      </c>
      <c r="H106" s="130">
        <v>62.0</v>
      </c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ht="14.25" customHeight="1">
      <c r="A107" s="129" t="s">
        <v>280</v>
      </c>
      <c r="B107" s="130" t="s">
        <v>281</v>
      </c>
      <c r="C107" s="130" t="s">
        <v>282</v>
      </c>
      <c r="D107" s="130" t="s">
        <v>283</v>
      </c>
      <c r="E107" s="130" t="s">
        <v>284</v>
      </c>
      <c r="F107" s="130" t="s">
        <v>239</v>
      </c>
      <c r="G107" s="130">
        <v>48.0</v>
      </c>
      <c r="H107" s="130">
        <v>62.0</v>
      </c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ht="14.25" customHeight="1">
      <c r="A108" s="129" t="s">
        <v>285</v>
      </c>
      <c r="B108" s="130" t="s">
        <v>286</v>
      </c>
      <c r="C108" s="130" t="s">
        <v>287</v>
      </c>
      <c r="D108" s="130" t="s">
        <v>288</v>
      </c>
      <c r="E108" s="130" t="s">
        <v>289</v>
      </c>
      <c r="F108" s="130" t="s">
        <v>239</v>
      </c>
      <c r="G108" s="130">
        <v>48.0</v>
      </c>
      <c r="H108" s="130">
        <v>62.0</v>
      </c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4.25" customHeight="1">
      <c r="A109" s="129" t="s">
        <v>290</v>
      </c>
      <c r="B109" s="130" t="s">
        <v>291</v>
      </c>
      <c r="C109" s="130" t="s">
        <v>292</v>
      </c>
      <c r="D109" s="130" t="s">
        <v>293</v>
      </c>
      <c r="E109" s="130" t="s">
        <v>294</v>
      </c>
      <c r="F109" s="130" t="s">
        <v>239</v>
      </c>
      <c r="G109" s="130">
        <v>48.0</v>
      </c>
      <c r="H109" s="130">
        <v>62.0</v>
      </c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4.25" customHeight="1">
      <c r="A110" s="129" t="s">
        <v>295</v>
      </c>
      <c r="B110" s="130" t="s">
        <v>296</v>
      </c>
      <c r="C110" s="130" t="s">
        <v>297</v>
      </c>
      <c r="D110" s="130" t="s">
        <v>298</v>
      </c>
      <c r="E110" s="130" t="s">
        <v>299</v>
      </c>
      <c r="F110" s="130" t="s">
        <v>239</v>
      </c>
      <c r="G110" s="130">
        <v>48.0</v>
      </c>
      <c r="H110" s="130">
        <v>62.0</v>
      </c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4.25" customHeight="1">
      <c r="A111" s="129" t="s">
        <v>300</v>
      </c>
      <c r="B111" s="130" t="s">
        <v>301</v>
      </c>
      <c r="C111" s="130" t="s">
        <v>302</v>
      </c>
      <c r="D111" s="130" t="s">
        <v>303</v>
      </c>
      <c r="E111" s="130" t="s">
        <v>304</v>
      </c>
      <c r="F111" s="130" t="s">
        <v>239</v>
      </c>
      <c r="G111" s="130">
        <v>48.0</v>
      </c>
      <c r="H111" s="130">
        <v>62.0</v>
      </c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4.25" customHeight="1">
      <c r="A112" s="129" t="s">
        <v>305</v>
      </c>
      <c r="B112" s="130" t="s">
        <v>306</v>
      </c>
      <c r="C112" s="130" t="s">
        <v>307</v>
      </c>
      <c r="D112" s="130" t="s">
        <v>308</v>
      </c>
      <c r="E112" s="130" t="s">
        <v>309</v>
      </c>
      <c r="F112" s="130" t="s">
        <v>239</v>
      </c>
      <c r="G112" s="130">
        <v>48.0</v>
      </c>
      <c r="H112" s="130">
        <v>62.0</v>
      </c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4.25" customHeight="1">
      <c r="A113" s="129" t="s">
        <v>310</v>
      </c>
      <c r="B113" s="130" t="s">
        <v>311</v>
      </c>
      <c r="C113" s="130" t="s">
        <v>312</v>
      </c>
      <c r="D113" s="130" t="s">
        <v>313</v>
      </c>
      <c r="E113" s="130" t="s">
        <v>314</v>
      </c>
      <c r="F113" s="130" t="s">
        <v>239</v>
      </c>
      <c r="G113" s="130">
        <v>48.0</v>
      </c>
      <c r="H113" s="130">
        <v>62.0</v>
      </c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4.25" customHeight="1">
      <c r="A114" s="129" t="s">
        <v>315</v>
      </c>
      <c r="B114" s="130" t="s">
        <v>316</v>
      </c>
      <c r="C114" s="130" t="s">
        <v>317</v>
      </c>
      <c r="D114" s="130" t="s">
        <v>318</v>
      </c>
      <c r="E114" s="130" t="s">
        <v>319</v>
      </c>
      <c r="F114" s="130" t="s">
        <v>239</v>
      </c>
      <c r="G114" s="130">
        <v>48.0</v>
      </c>
      <c r="H114" s="130">
        <v>62.0</v>
      </c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4.25" customHeight="1">
      <c r="A115" s="129" t="s">
        <v>320</v>
      </c>
      <c r="B115" s="130" t="s">
        <v>321</v>
      </c>
      <c r="C115" s="130" t="s">
        <v>322</v>
      </c>
      <c r="D115" s="130" t="s">
        <v>323</v>
      </c>
      <c r="E115" s="130" t="s">
        <v>324</v>
      </c>
      <c r="F115" s="130" t="s">
        <v>239</v>
      </c>
      <c r="G115" s="130">
        <v>48.0</v>
      </c>
      <c r="H115" s="130">
        <v>62.0</v>
      </c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4.25" customHeight="1">
      <c r="A116" s="129" t="s">
        <v>325</v>
      </c>
      <c r="B116" s="130" t="s">
        <v>326</v>
      </c>
      <c r="C116" s="130" t="s">
        <v>327</v>
      </c>
      <c r="D116" s="130" t="s">
        <v>328</v>
      </c>
      <c r="E116" s="130" t="s">
        <v>329</v>
      </c>
      <c r="F116" s="130" t="s">
        <v>239</v>
      </c>
      <c r="G116" s="130">
        <v>48.0</v>
      </c>
      <c r="H116" s="130">
        <v>62.0</v>
      </c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4.25" customHeight="1">
      <c r="A117" s="129" t="s">
        <v>330</v>
      </c>
      <c r="B117" s="130" t="s">
        <v>331</v>
      </c>
      <c r="C117" s="130" t="s">
        <v>332</v>
      </c>
      <c r="D117" s="130" t="s">
        <v>333</v>
      </c>
      <c r="E117" s="130" t="s">
        <v>334</v>
      </c>
      <c r="F117" s="130" t="s">
        <v>239</v>
      </c>
      <c r="G117" s="130">
        <v>48.0</v>
      </c>
      <c r="H117" s="130">
        <v>62.0</v>
      </c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4.25" customHeight="1">
      <c r="A118" s="129" t="s">
        <v>335</v>
      </c>
      <c r="B118" s="130" t="s">
        <v>336</v>
      </c>
      <c r="C118" s="130" t="s">
        <v>337</v>
      </c>
      <c r="D118" s="130" t="s">
        <v>338</v>
      </c>
      <c r="E118" s="130" t="s">
        <v>339</v>
      </c>
      <c r="F118" s="130" t="s">
        <v>239</v>
      </c>
      <c r="G118" s="130">
        <v>48.0</v>
      </c>
      <c r="H118" s="130">
        <v>62.0</v>
      </c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4.25" customHeight="1">
      <c r="A119" s="42"/>
      <c r="B119" s="42"/>
      <c r="C119" s="42"/>
      <c r="D119" s="42"/>
      <c r="E119" s="42"/>
      <c r="F119" s="42"/>
      <c r="G119" s="4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4.25" customHeight="1">
      <c r="A120" s="42"/>
      <c r="B120" s="42"/>
      <c r="C120" s="42"/>
      <c r="D120" s="42"/>
      <c r="E120" s="42"/>
      <c r="F120" s="42"/>
      <c r="G120" s="131" t="s">
        <v>340</v>
      </c>
      <c r="H120" s="132" t="s">
        <v>341</v>
      </c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4.25" customHeight="1">
      <c r="A121" s="42"/>
      <c r="B121" s="31"/>
      <c r="C121" s="42"/>
      <c r="D121" s="31"/>
      <c r="E121" s="42"/>
      <c r="F121" s="42"/>
      <c r="G121" s="31">
        <f t="shared" ref="G121:H121" si="4">SUM(G95:G118)</f>
        <v>2388</v>
      </c>
      <c r="H121" s="62">
        <f t="shared" si="4"/>
        <v>2704</v>
      </c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ht="14.25" customHeight="1">
      <c r="A122" s="42"/>
      <c r="B122" s="31"/>
      <c r="C122" s="42"/>
      <c r="D122" s="31"/>
      <c r="E122" s="42"/>
      <c r="F122" s="4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</row>
    <row r="123" ht="14.25" customHeight="1">
      <c r="A123" s="42"/>
      <c r="B123" s="42"/>
      <c r="C123" s="42"/>
      <c r="D123" s="42"/>
      <c r="E123" s="42"/>
      <c r="F123" s="42"/>
      <c r="G123" s="4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</row>
    <row r="124" ht="14.25" customHeight="1">
      <c r="A124" s="42"/>
      <c r="B124" s="42"/>
      <c r="C124" s="42"/>
      <c r="D124" s="42"/>
      <c r="E124" s="42"/>
      <c r="F124" s="42"/>
      <c r="G124" s="4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</row>
    <row r="125" ht="14.25" customHeight="1">
      <c r="A125" s="42"/>
      <c r="B125" s="42"/>
      <c r="C125" s="42"/>
      <c r="D125" s="42"/>
      <c r="E125" s="42"/>
      <c r="F125" s="42"/>
      <c r="G125" s="4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</row>
    <row r="126" ht="14.25" customHeight="1">
      <c r="A126" s="42"/>
      <c r="B126" s="42"/>
      <c r="C126" s="42"/>
      <c r="D126" s="42"/>
      <c r="E126" s="42"/>
      <c r="F126" s="42"/>
      <c r="G126" s="4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</row>
    <row r="127" ht="14.25" customHeight="1">
      <c r="A127" s="42"/>
      <c r="B127" s="42"/>
      <c r="C127" s="42"/>
      <c r="D127" s="42"/>
      <c r="E127" s="42"/>
      <c r="F127" s="42"/>
      <c r="G127" s="4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</row>
    <row r="128" ht="14.25" customHeight="1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</row>
    <row r="129" ht="14.25" customHeight="1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</row>
    <row r="130" ht="14.25" customHeight="1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</row>
    <row r="131" ht="14.25" customHeight="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</row>
    <row r="132" ht="14.25" customHeight="1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</row>
    <row r="133" ht="14.25" customHeight="1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</row>
    <row r="134" ht="14.25" customHeight="1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</row>
    <row r="135" ht="14.25" customHeight="1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</row>
    <row r="136" ht="14.25" customHeight="1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</row>
    <row r="137" ht="14.25" customHeight="1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</row>
    <row r="138" ht="14.25" customHeight="1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</row>
    <row r="139" ht="14.25" customHeight="1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</row>
    <row r="140" ht="14.25" customHeight="1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</row>
    <row r="141" ht="14.25" customHeight="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</row>
    <row r="142" ht="14.25" customHeight="1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</row>
    <row r="143" ht="14.25" customHeight="1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ht="14.25" customHeight="1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ht="14.25" customHeight="1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ht="14.25" customHeight="1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ht="14.25" customHeight="1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ht="14.25" customHeight="1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ht="14.25" customHeight="1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ht="14.25" customHeight="1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ht="14.25" customHeight="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ht="14.25" customHeight="1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ht="14.25" customHeight="1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ht="14.25" customHeight="1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ht="14.25" customHeight="1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</row>
    <row r="156" ht="14.25" customHeight="1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</row>
    <row r="157" ht="14.25" customHeight="1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</row>
    <row r="158" ht="14.25" customHeight="1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</row>
    <row r="159" ht="14.25" customHeight="1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</row>
    <row r="160" ht="14.25" customHeight="1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</row>
    <row r="161" ht="14.25" customHeight="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</row>
    <row r="162" ht="14.25" customHeight="1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</row>
    <row r="163" ht="14.25" customHeight="1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</row>
    <row r="164" ht="14.25" customHeight="1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</row>
    <row r="165" ht="14.25" customHeight="1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</row>
    <row r="166" ht="14.25" customHeight="1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</row>
    <row r="167" ht="14.25" customHeight="1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</row>
    <row r="168" ht="14.25" customHeight="1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</row>
    <row r="169" ht="14.25" customHeight="1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</row>
    <row r="170" ht="14.25" customHeight="1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</row>
    <row r="171" ht="14.25" customHeight="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</row>
    <row r="172" ht="14.25" customHeight="1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</row>
    <row r="173" ht="14.25" customHeight="1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</row>
    <row r="174" ht="14.25" customHeight="1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</row>
    <row r="175" ht="14.25" customHeight="1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</row>
    <row r="176" ht="14.25" customHeight="1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</row>
    <row r="177" ht="14.25" customHeight="1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</row>
    <row r="178" ht="14.25" customHeight="1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</row>
    <row r="179" ht="14.25" customHeight="1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</row>
    <row r="180" ht="14.25" customHeight="1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</row>
    <row r="181" ht="14.25" customHeight="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</row>
    <row r="182" ht="14.25" customHeight="1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</row>
    <row r="183" ht="14.25" customHeight="1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</row>
    <row r="184" ht="14.25" customHeight="1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</row>
    <row r="185" ht="14.25" customHeight="1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</row>
    <row r="186" ht="14.25" customHeight="1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</row>
    <row r="187" ht="14.25" customHeight="1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</row>
    <row r="188" ht="14.25" customHeight="1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</row>
    <row r="189" ht="14.25" customHeight="1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</row>
    <row r="190" ht="14.25" customHeight="1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</row>
    <row r="191" ht="14.25" customHeight="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</row>
    <row r="192" ht="14.25" customHeight="1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</row>
    <row r="193" ht="14.25" customHeight="1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</row>
    <row r="194" ht="14.25" customHeight="1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</row>
    <row r="195" ht="14.25" customHeight="1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</row>
    <row r="196" ht="14.25" customHeight="1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</row>
    <row r="197" ht="14.25" customHeight="1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</row>
    <row r="198" ht="14.25" customHeight="1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</row>
    <row r="199" ht="14.25" customHeight="1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</row>
    <row r="200" ht="14.25" customHeight="1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</row>
    <row r="201" ht="14.25" customHeight="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</row>
    <row r="202" ht="14.25" customHeight="1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</row>
    <row r="203" ht="14.25" customHeight="1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</row>
    <row r="204" ht="14.25" customHeight="1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</row>
    <row r="205" ht="14.25" customHeight="1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</row>
    <row r="206" ht="14.25" customHeight="1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</row>
    <row r="207" ht="14.25" customHeight="1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</row>
    <row r="208" ht="14.25" customHeight="1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</row>
    <row r="209" ht="14.25" customHeight="1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</row>
    <row r="210" ht="14.25" customHeight="1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</row>
    <row r="211" ht="14.25" customHeight="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</row>
    <row r="212" ht="14.25" customHeight="1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</row>
    <row r="213" ht="14.25" customHeight="1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</row>
    <row r="214" ht="14.25" customHeight="1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</row>
    <row r="215" ht="14.25" customHeight="1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</row>
    <row r="216" ht="14.25" customHeight="1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</row>
    <row r="217" ht="14.25" customHeight="1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</row>
    <row r="218" ht="14.25" customHeight="1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</row>
    <row r="219" ht="14.25" customHeight="1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</row>
    <row r="220" ht="14.25" customHeight="1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</row>
    <row r="221" ht="14.25" customHeight="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</row>
    <row r="222" ht="14.2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</row>
    <row r="223" ht="14.2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</row>
    <row r="224" ht="14.2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</row>
    <row r="225" ht="14.2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</row>
    <row r="226" ht="14.25" customHeight="1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</row>
    <row r="227" ht="14.25" customHeight="1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</row>
    <row r="228" ht="14.25" customHeight="1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</row>
    <row r="229" ht="14.25" customHeight="1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</row>
    <row r="230" ht="14.25" customHeight="1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</row>
    <row r="231" ht="14.25" customHeight="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</row>
    <row r="232" ht="14.25" customHeight="1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</row>
    <row r="233" ht="14.25" customHeight="1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</row>
    <row r="234" ht="14.25" customHeight="1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</row>
    <row r="235" ht="14.25" customHeight="1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</row>
    <row r="236" ht="14.25" customHeight="1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</row>
    <row r="237" ht="14.25" customHeight="1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</row>
    <row r="238" ht="14.25" customHeight="1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</row>
    <row r="239" ht="14.25" customHeight="1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</row>
    <row r="240" ht="14.25" customHeight="1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</row>
    <row r="241" ht="14.25" customHeight="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</row>
    <row r="242" ht="14.25" customHeight="1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</row>
    <row r="243" ht="14.25" customHeight="1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</row>
    <row r="244" ht="14.25" customHeight="1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</row>
    <row r="245" ht="14.25" customHeight="1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</row>
    <row r="246" ht="14.25" customHeight="1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</row>
    <row r="247" ht="14.25" customHeight="1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</row>
    <row r="248" ht="14.25" customHeight="1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</row>
    <row r="249" ht="14.25" customHeight="1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</row>
    <row r="250" ht="14.25" customHeight="1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</row>
    <row r="251" ht="14.25" customHeight="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</row>
    <row r="252" ht="14.25" customHeight="1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</row>
    <row r="253" ht="14.25" customHeight="1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</row>
    <row r="254" ht="14.25" customHeight="1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</row>
    <row r="255" ht="14.25" customHeight="1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</row>
    <row r="256" ht="14.25" customHeight="1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</row>
    <row r="257" ht="14.25" customHeight="1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</row>
    <row r="258" ht="14.25" customHeight="1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</row>
    <row r="259" ht="14.25" customHeight="1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</row>
    <row r="260" ht="14.25" customHeight="1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</row>
    <row r="261" ht="14.25" customHeight="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</row>
    <row r="262" ht="14.25" customHeight="1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</row>
    <row r="263" ht="14.25" customHeight="1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</row>
    <row r="264" ht="14.25" customHeight="1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</row>
    <row r="265" ht="14.25" customHeight="1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</row>
    <row r="266" ht="14.25" customHeight="1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</row>
    <row r="267" ht="14.25" customHeight="1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</row>
    <row r="268" ht="14.25" customHeight="1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</row>
    <row r="269" ht="14.25" customHeight="1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</row>
    <row r="270" ht="14.25" customHeight="1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</row>
    <row r="271" ht="14.25" customHeight="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</row>
    <row r="272" ht="14.25" customHeight="1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</row>
    <row r="273" ht="14.25" customHeight="1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</row>
    <row r="274" ht="14.25" customHeight="1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</row>
    <row r="275" ht="14.25" customHeight="1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</row>
    <row r="276" ht="14.25" customHeight="1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</row>
    <row r="277" ht="14.25" customHeight="1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</row>
    <row r="278" ht="14.25" customHeight="1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</row>
    <row r="279" ht="14.25" customHeight="1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</row>
    <row r="280" ht="14.25" customHeight="1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</row>
    <row r="281" ht="14.25" customHeight="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</row>
    <row r="282" ht="14.25" customHeight="1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</row>
    <row r="283" ht="14.25" customHeight="1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</row>
    <row r="284" ht="14.25" customHeight="1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</row>
    <row r="285" ht="14.25" customHeight="1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</row>
    <row r="286" ht="14.25" customHeight="1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</row>
    <row r="287" ht="14.25" customHeight="1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</row>
    <row r="288" ht="14.25" customHeight="1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</row>
    <row r="289" ht="14.25" customHeight="1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</row>
    <row r="290" ht="14.25" customHeight="1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</row>
    <row r="291" ht="14.25" customHeight="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</row>
    <row r="292" ht="14.25" customHeight="1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</row>
    <row r="293" ht="14.25" customHeight="1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</row>
    <row r="294" ht="14.25" customHeight="1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</row>
    <row r="295" ht="14.25" customHeight="1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</row>
    <row r="296" ht="14.25" customHeight="1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</row>
    <row r="297" ht="14.25" customHeight="1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</row>
    <row r="298" ht="14.25" customHeight="1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</row>
    <row r="299" ht="14.25" customHeight="1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</row>
    <row r="300" ht="14.25" customHeight="1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</row>
    <row r="301" ht="14.25" customHeight="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</row>
    <row r="302" ht="14.25" customHeight="1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</row>
    <row r="303" ht="14.25" customHeight="1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</row>
    <row r="304" ht="14.25" customHeight="1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</row>
    <row r="305" ht="14.25" customHeight="1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</row>
    <row r="306" ht="14.25" customHeight="1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</row>
    <row r="307" ht="14.25" customHeight="1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</row>
    <row r="308" ht="14.25" customHeight="1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</row>
    <row r="309" ht="14.25" customHeight="1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</row>
    <row r="310" ht="14.25" customHeight="1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</row>
    <row r="311" ht="14.25" customHeight="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</row>
    <row r="312" ht="14.25" customHeight="1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</row>
    <row r="313" ht="14.25" customHeight="1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</row>
    <row r="314" ht="14.25" customHeight="1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</row>
    <row r="315" ht="14.25" customHeight="1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</row>
    <row r="316" ht="14.25" customHeight="1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</row>
    <row r="317" ht="14.25" customHeight="1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</row>
    <row r="318" ht="14.25" customHeight="1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</row>
    <row r="319" ht="14.25" customHeight="1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</row>
    <row r="320" ht="14.25" customHeight="1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</row>
    <row r="321" ht="14.25" customHeight="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</row>
    <row r="322" ht="14.25" customHeight="1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</row>
    <row r="323" ht="14.25" customHeight="1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</row>
    <row r="324" ht="14.25" customHeight="1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</row>
    <row r="325" ht="14.25" customHeight="1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</row>
    <row r="326" ht="14.25" customHeight="1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</row>
    <row r="327" ht="14.25" customHeight="1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</row>
    <row r="328" ht="14.25" customHeight="1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</row>
    <row r="329" ht="14.25" customHeight="1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</row>
    <row r="330" ht="14.25" customHeight="1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</row>
    <row r="331" ht="14.25" customHeight="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</row>
    <row r="332" ht="14.25" customHeight="1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</row>
    <row r="333" ht="14.25" customHeight="1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</row>
    <row r="334" ht="14.25" customHeight="1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</row>
    <row r="335" ht="14.25" customHeight="1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</row>
    <row r="336" ht="14.25" customHeight="1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</row>
    <row r="337" ht="14.25" customHeight="1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</row>
    <row r="338" ht="14.25" customHeight="1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</row>
    <row r="339" ht="14.25" customHeight="1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</row>
    <row r="340" ht="14.25" customHeight="1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</row>
    <row r="341" ht="14.25" customHeight="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</row>
    <row r="342" ht="14.25" customHeight="1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</row>
    <row r="343" ht="14.25" customHeight="1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</row>
    <row r="344" ht="14.25" customHeight="1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</row>
    <row r="345" ht="14.25" customHeight="1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</row>
    <row r="346" ht="14.25" customHeight="1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</row>
    <row r="347" ht="14.25" customHeight="1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</row>
    <row r="348" ht="14.25" customHeight="1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</row>
    <row r="349" ht="14.25" customHeight="1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</row>
    <row r="350" ht="14.25" customHeight="1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</row>
    <row r="351" ht="14.25" customHeight="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</row>
    <row r="352" ht="14.25" customHeight="1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</row>
    <row r="353" ht="14.25" customHeight="1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</row>
    <row r="354" ht="14.25" customHeight="1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</row>
    <row r="355" ht="14.25" customHeight="1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</row>
    <row r="356" ht="14.25" customHeight="1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</row>
    <row r="357" ht="14.25" customHeight="1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</row>
    <row r="358" ht="14.25" customHeight="1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</row>
    <row r="359" ht="14.25" customHeight="1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</row>
    <row r="360" ht="14.25" customHeight="1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</row>
    <row r="361" ht="14.25" customHeight="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</row>
    <row r="362" ht="14.25" customHeight="1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</row>
    <row r="363" ht="14.25" customHeight="1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</row>
    <row r="364" ht="14.25" customHeight="1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</row>
    <row r="365" ht="14.25" customHeight="1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</row>
    <row r="366" ht="14.25" customHeight="1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</row>
    <row r="367" ht="14.25" customHeight="1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</row>
    <row r="368" ht="14.25" customHeight="1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</row>
    <row r="369" ht="14.25" customHeight="1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</row>
    <row r="370" ht="14.25" customHeight="1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</row>
    <row r="371" ht="14.25" customHeight="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</row>
    <row r="372" ht="14.25" customHeight="1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</row>
    <row r="373" ht="14.25" customHeight="1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</row>
    <row r="374" ht="14.25" customHeight="1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</row>
    <row r="375" ht="14.25" customHeight="1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</row>
    <row r="376" ht="14.25" customHeight="1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</row>
    <row r="377" ht="14.25" customHeight="1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</row>
    <row r="378" ht="14.25" customHeight="1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</row>
    <row r="379" ht="14.25" customHeight="1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</row>
    <row r="380" ht="14.25" customHeight="1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</row>
    <row r="381" ht="14.25" customHeight="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</row>
    <row r="382" ht="14.25" customHeight="1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</row>
    <row r="383" ht="14.25" customHeight="1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</row>
    <row r="384" ht="14.25" customHeight="1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</row>
    <row r="385" ht="14.25" customHeight="1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</row>
    <row r="386" ht="14.25" customHeight="1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</row>
    <row r="387" ht="14.25" customHeight="1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</row>
    <row r="388" ht="14.25" customHeight="1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</row>
    <row r="389" ht="14.25" customHeight="1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</row>
    <row r="390" ht="14.25" customHeight="1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</row>
    <row r="391" ht="14.25" customHeight="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</row>
    <row r="392" ht="14.25" customHeight="1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</row>
    <row r="393" ht="14.25" customHeight="1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</row>
    <row r="394" ht="14.25" customHeight="1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</row>
    <row r="395" ht="14.25" customHeight="1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</row>
    <row r="396" ht="14.25" customHeight="1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</row>
    <row r="397" ht="14.25" customHeight="1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</row>
    <row r="398" ht="14.25" customHeight="1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</row>
    <row r="399" ht="14.25" customHeight="1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</row>
    <row r="400" ht="14.25" customHeight="1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</row>
    <row r="401" ht="14.25" customHeight="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</row>
    <row r="402" ht="14.25" customHeight="1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</row>
    <row r="403" ht="14.25" customHeight="1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</row>
    <row r="404" ht="14.25" customHeight="1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</row>
    <row r="405" ht="14.25" customHeight="1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</row>
    <row r="406" ht="14.25" customHeight="1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</row>
    <row r="407" ht="14.25" customHeight="1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</row>
    <row r="408" ht="14.25" customHeight="1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</row>
    <row r="409" ht="14.25" customHeight="1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</row>
    <row r="410" ht="14.25" customHeight="1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</row>
    <row r="411" ht="14.25" customHeight="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</row>
    <row r="412" ht="14.25" customHeight="1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</row>
    <row r="413" ht="14.25" customHeight="1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</row>
    <row r="414" ht="14.25" customHeight="1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</row>
    <row r="415" ht="14.25" customHeight="1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</row>
    <row r="416" ht="14.25" customHeight="1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</row>
    <row r="417" ht="14.25" customHeight="1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</row>
    <row r="418" ht="14.25" customHeight="1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</row>
    <row r="419" ht="14.25" customHeight="1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</row>
    <row r="420" ht="14.25" customHeight="1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</row>
    <row r="421" ht="14.25" customHeight="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</row>
    <row r="422" ht="14.25" customHeight="1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</row>
    <row r="423" ht="14.25" customHeight="1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</row>
    <row r="424" ht="14.25" customHeight="1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</row>
    <row r="425" ht="14.25" customHeight="1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</row>
    <row r="426" ht="14.25" customHeight="1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</row>
    <row r="427" ht="14.25" customHeight="1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</row>
    <row r="428" ht="14.25" customHeight="1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</row>
    <row r="429" ht="14.25" customHeight="1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</row>
    <row r="430" ht="14.25" customHeight="1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</row>
    <row r="431" ht="14.25" customHeight="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</row>
    <row r="432" ht="14.25" customHeight="1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</row>
    <row r="433" ht="14.25" customHeight="1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</row>
    <row r="434" ht="14.25" customHeight="1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</row>
    <row r="435" ht="14.25" customHeight="1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</row>
    <row r="436" ht="14.25" customHeight="1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</row>
    <row r="437" ht="14.25" customHeight="1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</row>
    <row r="438" ht="14.25" customHeight="1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</row>
    <row r="439" ht="14.25" customHeight="1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</row>
    <row r="440" ht="14.25" customHeight="1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</row>
    <row r="441" ht="14.25" customHeight="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</row>
    <row r="442" ht="14.25" customHeight="1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</row>
    <row r="443" ht="14.25" customHeight="1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</row>
    <row r="444" ht="14.25" customHeight="1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</row>
    <row r="445" ht="14.25" customHeight="1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</row>
    <row r="446" ht="14.25" customHeight="1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</row>
    <row r="447" ht="14.25" customHeight="1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</row>
    <row r="448" ht="14.25" customHeight="1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</row>
    <row r="449" ht="14.25" customHeight="1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</row>
    <row r="450" ht="14.25" customHeight="1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</row>
    <row r="451" ht="14.25" customHeight="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</row>
    <row r="452" ht="14.25" customHeight="1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</row>
    <row r="453" ht="14.25" customHeight="1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</row>
    <row r="454" ht="14.25" customHeight="1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</row>
    <row r="455" ht="14.25" customHeight="1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</row>
    <row r="456" ht="14.25" customHeight="1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</row>
    <row r="457" ht="14.25" customHeight="1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</row>
    <row r="458" ht="14.25" customHeight="1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</row>
    <row r="459" ht="14.25" customHeight="1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</row>
    <row r="460" ht="14.25" customHeight="1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</row>
    <row r="461" ht="14.25" customHeight="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</row>
    <row r="462" ht="14.25" customHeight="1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</row>
    <row r="463" ht="14.25" customHeight="1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</row>
    <row r="464" ht="14.25" customHeight="1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</row>
    <row r="465" ht="14.25" customHeight="1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</row>
    <row r="466" ht="14.25" customHeight="1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</row>
    <row r="467" ht="14.25" customHeight="1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</row>
    <row r="468" ht="14.25" customHeight="1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</row>
    <row r="469" ht="14.25" customHeight="1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</row>
    <row r="470" ht="14.25" customHeight="1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</row>
    <row r="471" ht="14.25" customHeight="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</row>
    <row r="472" ht="14.25" customHeight="1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</row>
    <row r="473" ht="14.25" customHeight="1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</row>
    <row r="474" ht="14.25" customHeight="1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</row>
    <row r="475" ht="14.25" customHeight="1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</row>
    <row r="476" ht="14.25" customHeight="1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</row>
    <row r="477" ht="14.25" customHeight="1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</row>
    <row r="478" ht="14.25" customHeight="1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</row>
    <row r="479" ht="14.25" customHeight="1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</row>
    <row r="480" ht="14.25" customHeight="1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</row>
    <row r="481" ht="14.25" customHeight="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</row>
    <row r="482" ht="14.25" customHeight="1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</row>
    <row r="483" ht="14.25" customHeight="1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</row>
    <row r="484" ht="14.25" customHeight="1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</row>
    <row r="485" ht="14.25" customHeight="1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</row>
    <row r="486" ht="14.25" customHeight="1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</row>
    <row r="487" ht="14.25" customHeight="1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</row>
    <row r="488" ht="14.25" customHeight="1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</row>
    <row r="489" ht="14.25" customHeight="1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</row>
    <row r="490" ht="14.25" customHeight="1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</row>
    <row r="491" ht="14.25" customHeight="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</row>
    <row r="492" ht="14.25" customHeight="1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</row>
    <row r="493" ht="14.25" customHeight="1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</row>
    <row r="494" ht="14.25" customHeight="1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</row>
    <row r="495" ht="14.25" customHeight="1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</row>
    <row r="496" ht="14.25" customHeight="1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</row>
    <row r="497" ht="14.25" customHeight="1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</row>
    <row r="498" ht="14.25" customHeight="1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</row>
    <row r="499" ht="14.25" customHeight="1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</row>
    <row r="500" ht="14.25" customHeight="1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</row>
    <row r="501" ht="14.25" customHeight="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</row>
    <row r="502" ht="14.25" customHeight="1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</row>
    <row r="503" ht="14.25" customHeight="1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</row>
    <row r="504" ht="14.25" customHeight="1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</row>
    <row r="505" ht="14.25" customHeight="1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</row>
    <row r="506" ht="14.25" customHeight="1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</row>
    <row r="507" ht="14.25" customHeight="1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</row>
    <row r="508" ht="14.25" customHeight="1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</row>
    <row r="509" ht="14.25" customHeight="1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</row>
    <row r="510" ht="14.25" customHeight="1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</row>
    <row r="511" ht="14.25" customHeight="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</row>
    <row r="512" ht="14.25" customHeight="1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</row>
    <row r="513" ht="14.25" customHeight="1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</row>
    <row r="514" ht="14.25" customHeight="1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</row>
    <row r="515" ht="14.25" customHeight="1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</row>
    <row r="516" ht="14.25" customHeight="1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</row>
    <row r="517" ht="14.25" customHeight="1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</row>
    <row r="518" ht="14.25" customHeight="1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</row>
    <row r="519" ht="14.25" customHeight="1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</row>
    <row r="520" ht="14.25" customHeight="1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</row>
    <row r="521" ht="14.25" customHeight="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</row>
    <row r="522" ht="14.25" customHeight="1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</row>
    <row r="523" ht="14.25" customHeight="1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</row>
    <row r="524" ht="14.25" customHeight="1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</row>
    <row r="525" ht="14.25" customHeight="1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</row>
    <row r="526" ht="14.25" customHeight="1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</row>
    <row r="527" ht="14.25" customHeight="1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</row>
    <row r="528" ht="14.25" customHeight="1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</row>
    <row r="529" ht="14.25" customHeight="1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</row>
    <row r="530" ht="14.25" customHeight="1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</row>
    <row r="531" ht="14.25" customHeight="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</row>
    <row r="532" ht="14.25" customHeight="1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</row>
    <row r="533" ht="14.25" customHeight="1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</row>
    <row r="534" ht="14.25" customHeight="1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</row>
    <row r="535" ht="14.25" customHeight="1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</row>
    <row r="536" ht="14.25" customHeight="1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</row>
    <row r="537" ht="14.25" customHeight="1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</row>
    <row r="538" ht="14.25" customHeight="1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</row>
    <row r="539" ht="14.25" customHeight="1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</row>
    <row r="540" ht="14.25" customHeight="1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</row>
    <row r="541" ht="14.25" customHeight="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</row>
    <row r="542" ht="14.25" customHeight="1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</row>
    <row r="543" ht="14.25" customHeight="1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</row>
    <row r="544" ht="14.25" customHeight="1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</row>
    <row r="545" ht="14.25" customHeight="1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</row>
    <row r="546" ht="14.25" customHeight="1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</row>
    <row r="547" ht="14.25" customHeight="1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</row>
    <row r="548" ht="14.25" customHeight="1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</row>
    <row r="549" ht="14.25" customHeight="1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</row>
    <row r="550" ht="14.25" customHeight="1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</row>
    <row r="551" ht="14.25" customHeight="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</row>
    <row r="552" ht="14.25" customHeight="1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</row>
    <row r="553" ht="14.25" customHeight="1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</row>
    <row r="554" ht="14.25" customHeight="1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</row>
    <row r="555" ht="14.25" customHeight="1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</row>
    <row r="556" ht="14.25" customHeight="1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</row>
    <row r="557" ht="14.25" customHeight="1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</row>
    <row r="558" ht="14.25" customHeight="1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</row>
    <row r="559" ht="14.25" customHeight="1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</row>
    <row r="560" ht="14.25" customHeight="1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</row>
    <row r="561" ht="14.25" customHeight="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</row>
    <row r="562" ht="14.25" customHeight="1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</row>
    <row r="563" ht="14.25" customHeight="1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</row>
    <row r="564" ht="14.25" customHeight="1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</row>
    <row r="565" ht="14.25" customHeight="1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</row>
    <row r="566" ht="14.25" customHeight="1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</row>
    <row r="567" ht="14.25" customHeight="1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</row>
    <row r="568" ht="14.25" customHeight="1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</row>
    <row r="569" ht="14.25" customHeight="1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</row>
    <row r="570" ht="14.25" customHeight="1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</row>
    <row r="571" ht="14.25" customHeight="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</row>
    <row r="572" ht="14.25" customHeight="1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</row>
    <row r="573" ht="14.25" customHeight="1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</row>
    <row r="574" ht="14.25" customHeight="1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</row>
    <row r="575" ht="14.25" customHeight="1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</row>
    <row r="576" ht="14.25" customHeight="1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</row>
    <row r="577" ht="14.25" customHeight="1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</row>
    <row r="578" ht="14.25" customHeight="1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</row>
    <row r="579" ht="14.25" customHeight="1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</row>
    <row r="580" ht="14.25" customHeight="1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</row>
    <row r="581" ht="14.25" customHeight="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</row>
    <row r="582" ht="14.25" customHeight="1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</row>
    <row r="583" ht="14.25" customHeight="1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</row>
    <row r="584" ht="14.25" customHeight="1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</row>
    <row r="585" ht="14.25" customHeight="1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</row>
    <row r="586" ht="14.25" customHeight="1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</row>
    <row r="587" ht="14.25" customHeight="1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</row>
    <row r="588" ht="14.25" customHeight="1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</row>
    <row r="589" ht="14.25" customHeight="1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</row>
    <row r="590" ht="14.25" customHeight="1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</row>
    <row r="591" ht="14.25" customHeight="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</row>
    <row r="592" ht="14.25" customHeight="1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</row>
    <row r="593" ht="14.25" customHeight="1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</row>
    <row r="594" ht="14.25" customHeight="1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</row>
    <row r="595" ht="14.25" customHeight="1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</row>
    <row r="596" ht="14.25" customHeight="1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</row>
    <row r="597" ht="14.25" customHeight="1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</row>
    <row r="598" ht="14.25" customHeight="1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</row>
    <row r="599" ht="14.25" customHeight="1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</row>
    <row r="600" ht="14.25" customHeight="1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</row>
    <row r="601" ht="14.25" customHeight="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</row>
    <row r="602" ht="14.25" customHeight="1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</row>
    <row r="603" ht="14.25" customHeight="1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</row>
    <row r="604" ht="14.25" customHeight="1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</row>
    <row r="605" ht="14.25" customHeight="1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</row>
    <row r="606" ht="14.25" customHeight="1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</row>
    <row r="607" ht="14.25" customHeight="1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</row>
    <row r="608" ht="14.25" customHeight="1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</row>
    <row r="609" ht="14.25" customHeight="1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</row>
    <row r="610" ht="14.25" customHeight="1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</row>
    <row r="611" ht="14.25" customHeight="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</row>
    <row r="612" ht="14.25" customHeight="1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</row>
    <row r="613" ht="14.25" customHeight="1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</row>
    <row r="614" ht="14.25" customHeight="1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</row>
    <row r="615" ht="14.25" customHeight="1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</row>
    <row r="616" ht="14.25" customHeight="1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</row>
    <row r="617" ht="14.25" customHeight="1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</row>
    <row r="618" ht="14.25" customHeight="1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</row>
    <row r="619" ht="14.25" customHeight="1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</row>
    <row r="620" ht="14.25" customHeight="1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</row>
    <row r="621" ht="14.25" customHeight="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</row>
    <row r="622" ht="14.25" customHeight="1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</row>
    <row r="623" ht="14.25" customHeight="1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</row>
    <row r="624" ht="14.25" customHeight="1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</row>
    <row r="625" ht="14.25" customHeight="1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</row>
    <row r="626" ht="14.25" customHeight="1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</row>
    <row r="627" ht="14.25" customHeight="1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</row>
    <row r="628" ht="14.25" customHeight="1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</row>
    <row r="629" ht="14.25" customHeight="1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</row>
    <row r="630" ht="14.25" customHeight="1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</row>
    <row r="631" ht="14.25" customHeight="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</row>
    <row r="632" ht="14.25" customHeight="1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</row>
    <row r="633" ht="14.25" customHeight="1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</row>
    <row r="634" ht="14.25" customHeight="1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</row>
    <row r="635" ht="14.25" customHeight="1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</row>
    <row r="636" ht="14.25" customHeight="1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</row>
    <row r="637" ht="14.25" customHeight="1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</row>
    <row r="638" ht="14.25" customHeight="1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</row>
    <row r="639" ht="14.25" customHeight="1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</row>
    <row r="640" ht="14.25" customHeight="1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</row>
    <row r="641" ht="14.25" customHeight="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</row>
    <row r="642" ht="14.25" customHeight="1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</row>
    <row r="643" ht="14.25" customHeight="1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</row>
    <row r="644" ht="14.25" customHeight="1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</row>
    <row r="645" ht="14.25" customHeight="1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</row>
    <row r="646" ht="14.25" customHeight="1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</row>
    <row r="647" ht="14.25" customHeight="1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</row>
    <row r="648" ht="14.25" customHeight="1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</row>
    <row r="649" ht="14.25" customHeight="1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</row>
    <row r="650" ht="14.25" customHeight="1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</row>
    <row r="651" ht="14.25" customHeight="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</row>
    <row r="652" ht="14.25" customHeight="1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</row>
    <row r="653" ht="14.25" customHeight="1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</row>
    <row r="654" ht="14.25" customHeight="1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</row>
    <row r="655" ht="14.25" customHeight="1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</row>
    <row r="656" ht="14.25" customHeight="1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</row>
    <row r="657" ht="14.25" customHeight="1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</row>
    <row r="658" ht="14.25" customHeight="1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</row>
    <row r="659" ht="14.25" customHeight="1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</row>
    <row r="660" ht="14.25" customHeight="1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</row>
    <row r="661" ht="14.25" customHeight="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</row>
    <row r="662" ht="14.25" customHeight="1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</row>
    <row r="663" ht="14.25" customHeight="1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</row>
    <row r="664" ht="14.25" customHeight="1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</row>
    <row r="665" ht="14.25" customHeight="1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</row>
    <row r="666" ht="14.25" customHeight="1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</row>
    <row r="667" ht="14.25" customHeight="1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</row>
    <row r="668" ht="14.25" customHeight="1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</row>
    <row r="669" ht="14.25" customHeight="1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</row>
    <row r="670" ht="14.25" customHeight="1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</row>
    <row r="671" ht="14.25" customHeight="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</row>
    <row r="672" ht="14.25" customHeight="1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</row>
    <row r="673" ht="14.25" customHeight="1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</row>
    <row r="674" ht="14.25" customHeight="1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</row>
    <row r="675" ht="14.25" customHeight="1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</row>
    <row r="676" ht="14.25" customHeight="1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</row>
    <row r="677" ht="14.25" customHeight="1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</row>
    <row r="678" ht="14.25" customHeight="1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</row>
    <row r="679" ht="14.25" customHeight="1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</row>
    <row r="680" ht="14.25" customHeight="1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</row>
    <row r="681" ht="14.25" customHeight="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</row>
    <row r="682" ht="14.25" customHeight="1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</row>
    <row r="683" ht="14.25" customHeight="1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</row>
    <row r="684" ht="14.25" customHeight="1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</row>
    <row r="685" ht="14.25" customHeight="1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</row>
    <row r="686" ht="14.25" customHeight="1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</row>
    <row r="687" ht="14.25" customHeight="1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</row>
    <row r="688" ht="14.25" customHeight="1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</row>
    <row r="689" ht="14.25" customHeight="1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</row>
    <row r="690" ht="14.25" customHeight="1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</row>
    <row r="691" ht="14.25" customHeight="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</row>
    <row r="692" ht="14.25" customHeight="1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</row>
    <row r="693" ht="14.25" customHeight="1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</row>
    <row r="694" ht="14.25" customHeight="1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</row>
    <row r="695" ht="14.25" customHeight="1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</row>
    <row r="696" ht="14.25" customHeight="1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</row>
    <row r="697" ht="14.25" customHeight="1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</row>
    <row r="698" ht="14.25" customHeight="1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</row>
    <row r="699" ht="14.25" customHeight="1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</row>
    <row r="700" ht="14.25" customHeight="1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</row>
    <row r="701" ht="14.25" customHeight="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</row>
    <row r="702" ht="14.25" customHeight="1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</row>
    <row r="703" ht="14.25" customHeight="1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</row>
    <row r="704" ht="14.25" customHeight="1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</row>
    <row r="705" ht="14.25" customHeight="1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</row>
    <row r="706" ht="14.25" customHeight="1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</row>
    <row r="707" ht="14.25" customHeight="1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</row>
    <row r="708" ht="14.25" customHeight="1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</row>
    <row r="709" ht="14.25" customHeight="1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</row>
    <row r="710" ht="14.25" customHeight="1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</row>
    <row r="711" ht="14.25" customHeight="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</row>
    <row r="712" ht="14.25" customHeight="1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</row>
    <row r="713" ht="14.25" customHeight="1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</row>
    <row r="714" ht="14.25" customHeight="1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</row>
    <row r="715" ht="14.25" customHeight="1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</row>
    <row r="716" ht="14.25" customHeight="1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</row>
    <row r="717" ht="14.25" customHeight="1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</row>
    <row r="718" ht="14.25" customHeight="1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</row>
    <row r="719" ht="14.25" customHeight="1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</row>
    <row r="720" ht="14.25" customHeight="1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</row>
    <row r="721" ht="14.25" customHeight="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</row>
    <row r="722" ht="14.25" customHeight="1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</row>
    <row r="723" ht="14.25" customHeight="1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</row>
    <row r="724" ht="14.25" customHeight="1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</row>
    <row r="725" ht="14.25" customHeight="1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</row>
    <row r="726" ht="14.25" customHeight="1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</row>
    <row r="727" ht="14.25" customHeight="1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</row>
    <row r="728" ht="14.25" customHeight="1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</row>
    <row r="729" ht="14.25" customHeight="1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</row>
    <row r="730" ht="14.25" customHeight="1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</row>
    <row r="731" ht="14.25" customHeight="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</row>
    <row r="732" ht="14.25" customHeight="1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</row>
    <row r="733" ht="14.25" customHeight="1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</row>
    <row r="734" ht="14.25" customHeight="1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</row>
    <row r="735" ht="14.25" customHeight="1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</row>
    <row r="736" ht="14.25" customHeight="1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</row>
    <row r="737" ht="14.25" customHeight="1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</row>
    <row r="738" ht="14.25" customHeight="1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</row>
    <row r="739" ht="14.25" customHeight="1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</row>
    <row r="740" ht="14.25" customHeight="1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</row>
    <row r="741" ht="14.25" customHeight="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</row>
    <row r="742" ht="14.25" customHeight="1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</row>
    <row r="743" ht="14.25" customHeight="1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</row>
    <row r="744" ht="14.25" customHeight="1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</row>
    <row r="745" ht="14.25" customHeight="1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</row>
    <row r="746" ht="14.25" customHeight="1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</row>
    <row r="747" ht="14.25" customHeight="1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</row>
    <row r="748" ht="14.25" customHeight="1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</row>
    <row r="749" ht="14.25" customHeight="1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</row>
    <row r="750" ht="14.25" customHeight="1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</row>
    <row r="751" ht="14.25" customHeight="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</row>
    <row r="752" ht="14.25" customHeight="1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</row>
    <row r="753" ht="14.25" customHeight="1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</row>
    <row r="754" ht="14.25" customHeight="1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</row>
    <row r="755" ht="14.25" customHeight="1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</row>
    <row r="756" ht="14.25" customHeight="1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</row>
    <row r="757" ht="14.25" customHeight="1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</row>
    <row r="758" ht="14.25" customHeight="1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</row>
    <row r="759" ht="14.25" customHeight="1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</row>
    <row r="760" ht="14.25" customHeight="1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</row>
    <row r="761" ht="14.25" customHeight="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</row>
    <row r="762" ht="14.25" customHeight="1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</row>
    <row r="763" ht="14.25" customHeight="1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</row>
    <row r="764" ht="14.25" customHeight="1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</row>
    <row r="765" ht="14.25" customHeight="1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</row>
    <row r="766" ht="14.25" customHeight="1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</row>
    <row r="767" ht="14.25" customHeight="1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</row>
    <row r="768" ht="14.25" customHeight="1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</row>
    <row r="769" ht="14.25" customHeight="1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</row>
    <row r="770" ht="14.25" customHeight="1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</row>
    <row r="771" ht="14.25" customHeight="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</row>
    <row r="772" ht="14.25" customHeight="1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</row>
    <row r="773" ht="14.25" customHeight="1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</row>
    <row r="774" ht="14.25" customHeight="1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</row>
    <row r="775" ht="14.25" customHeight="1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</row>
    <row r="776" ht="14.25" customHeight="1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</row>
    <row r="777" ht="14.25" customHeight="1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</row>
    <row r="778" ht="14.25" customHeight="1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</row>
    <row r="779" ht="14.25" customHeight="1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</row>
    <row r="780" ht="14.25" customHeight="1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</row>
    <row r="781" ht="14.25" customHeight="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</row>
    <row r="782" ht="14.25" customHeight="1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</row>
    <row r="783" ht="14.25" customHeight="1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</row>
    <row r="784" ht="14.25" customHeight="1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</row>
    <row r="785" ht="14.25" customHeight="1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</row>
    <row r="786" ht="14.25" customHeight="1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</row>
    <row r="787" ht="14.25" customHeight="1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</row>
    <row r="788" ht="14.25" customHeight="1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</row>
    <row r="789" ht="14.25" customHeight="1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</row>
    <row r="790" ht="14.25" customHeight="1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</row>
    <row r="791" ht="14.25" customHeight="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</row>
    <row r="792" ht="14.25" customHeight="1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</row>
    <row r="793" ht="14.25" customHeight="1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</row>
    <row r="794" ht="14.25" customHeight="1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</row>
    <row r="795" ht="14.25" customHeight="1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</row>
    <row r="796" ht="14.25" customHeight="1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</row>
    <row r="797" ht="14.25" customHeight="1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</row>
    <row r="798" ht="14.25" customHeight="1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</row>
    <row r="799" ht="14.25" customHeight="1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</row>
    <row r="800" ht="14.25" customHeight="1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</row>
    <row r="801" ht="14.25" customHeight="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</row>
    <row r="802" ht="14.25" customHeight="1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</row>
    <row r="803" ht="14.25" customHeight="1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</row>
    <row r="804" ht="14.25" customHeight="1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</row>
    <row r="805" ht="14.25" customHeight="1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</row>
    <row r="806" ht="14.25" customHeight="1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</row>
    <row r="807" ht="14.25" customHeight="1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</row>
    <row r="808" ht="14.25" customHeight="1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</row>
    <row r="809" ht="14.25" customHeight="1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</row>
    <row r="810" ht="14.25" customHeight="1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</row>
    <row r="811" ht="14.25" customHeight="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</row>
    <row r="812" ht="14.25" customHeight="1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</row>
    <row r="813" ht="14.25" customHeight="1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</row>
    <row r="814" ht="14.25" customHeight="1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</row>
    <row r="815" ht="14.25" customHeight="1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</row>
    <row r="816" ht="14.25" customHeight="1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</row>
    <row r="817" ht="14.25" customHeight="1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</row>
    <row r="818" ht="14.25" customHeight="1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</row>
    <row r="819" ht="14.25" customHeight="1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</row>
    <row r="820" ht="14.25" customHeight="1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</row>
    <row r="821" ht="14.25" customHeight="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</row>
    <row r="822" ht="14.25" customHeight="1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</row>
    <row r="823" ht="14.25" customHeight="1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</row>
    <row r="824" ht="14.25" customHeight="1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</row>
    <row r="825" ht="14.25" customHeight="1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</row>
    <row r="826" ht="14.25" customHeight="1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</row>
    <row r="827" ht="14.25" customHeight="1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</row>
    <row r="828" ht="14.25" customHeight="1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</row>
    <row r="829" ht="14.25" customHeight="1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</row>
    <row r="830" ht="14.25" customHeight="1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</row>
    <row r="831" ht="14.25" customHeight="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</row>
    <row r="832" ht="14.25" customHeight="1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</row>
    <row r="833" ht="14.25" customHeight="1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</row>
    <row r="834" ht="14.25" customHeight="1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</row>
    <row r="835" ht="14.25" customHeight="1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</row>
    <row r="836" ht="14.25" customHeight="1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</row>
    <row r="837" ht="14.25" customHeight="1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</row>
    <row r="838" ht="14.25" customHeight="1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</row>
    <row r="839" ht="14.25" customHeight="1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</row>
    <row r="840" ht="14.25" customHeight="1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</row>
    <row r="841" ht="14.25" customHeight="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</row>
    <row r="842" ht="14.25" customHeight="1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</row>
    <row r="843" ht="14.25" customHeight="1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</row>
    <row r="844" ht="14.25" customHeight="1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</row>
    <row r="845" ht="14.25" customHeight="1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</row>
    <row r="846" ht="14.25" customHeight="1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</row>
    <row r="847" ht="14.25" customHeight="1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</row>
    <row r="848" ht="14.25" customHeight="1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</row>
    <row r="849" ht="14.25" customHeight="1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</row>
    <row r="850" ht="14.25" customHeight="1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</row>
    <row r="851" ht="14.25" customHeight="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</row>
    <row r="852" ht="14.25" customHeight="1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</row>
    <row r="853" ht="14.25" customHeight="1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</row>
    <row r="854" ht="14.25" customHeight="1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</row>
    <row r="855" ht="14.25" customHeight="1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</row>
    <row r="856" ht="14.25" customHeight="1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</row>
    <row r="857" ht="14.25" customHeight="1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</row>
    <row r="858" ht="14.25" customHeight="1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</row>
    <row r="859" ht="14.25" customHeight="1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</row>
    <row r="860" ht="14.25" customHeight="1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</row>
    <row r="861" ht="14.25" customHeight="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</row>
    <row r="862" ht="14.25" customHeight="1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</row>
    <row r="863" ht="14.25" customHeight="1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</row>
    <row r="864" ht="14.25" customHeight="1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</row>
    <row r="865" ht="14.25" customHeight="1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</row>
    <row r="866" ht="14.25" customHeight="1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</row>
    <row r="867" ht="14.25" customHeight="1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</row>
    <row r="868" ht="14.25" customHeight="1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</row>
    <row r="869" ht="14.25" customHeight="1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</row>
    <row r="870" ht="14.25" customHeight="1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</row>
    <row r="871" ht="14.25" customHeight="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</row>
    <row r="872" ht="14.25" customHeight="1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</row>
    <row r="873" ht="14.25" customHeight="1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</row>
    <row r="874" ht="14.25" customHeight="1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</row>
    <row r="875" ht="14.25" customHeight="1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</row>
    <row r="876" ht="14.25" customHeight="1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</row>
    <row r="877" ht="14.25" customHeight="1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</row>
    <row r="878" ht="14.25" customHeight="1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</row>
    <row r="879" ht="14.25" customHeight="1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</row>
    <row r="880" ht="14.25" customHeight="1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</row>
    <row r="881" ht="14.25" customHeight="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</row>
    <row r="882" ht="14.25" customHeight="1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</row>
    <row r="883" ht="14.25" customHeight="1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</row>
    <row r="884" ht="14.25" customHeight="1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</row>
    <row r="885" ht="14.25" customHeight="1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</row>
    <row r="886" ht="14.25" customHeight="1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</row>
    <row r="887" ht="14.25" customHeight="1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</row>
    <row r="888" ht="14.25" customHeight="1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</row>
    <row r="889" ht="14.25" customHeight="1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</row>
    <row r="890" ht="14.25" customHeight="1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</row>
    <row r="891" ht="14.25" customHeight="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</row>
    <row r="892" ht="14.25" customHeight="1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</row>
    <row r="893" ht="14.25" customHeight="1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</row>
    <row r="894" ht="14.25" customHeight="1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</row>
    <row r="895" ht="14.25" customHeight="1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</row>
    <row r="896" ht="14.25" customHeight="1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</row>
    <row r="897" ht="14.25" customHeight="1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</row>
    <row r="898" ht="14.25" customHeight="1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</row>
    <row r="899" ht="14.25" customHeight="1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</row>
    <row r="900" ht="14.25" customHeight="1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</row>
    <row r="901" ht="14.25" customHeight="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</row>
    <row r="902" ht="14.25" customHeight="1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</row>
    <row r="903" ht="14.25" customHeight="1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</row>
    <row r="904" ht="14.25" customHeight="1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</row>
    <row r="905" ht="14.25" customHeight="1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</row>
    <row r="906" ht="14.25" customHeight="1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</row>
    <row r="907" ht="14.25" customHeight="1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</row>
    <row r="908" ht="14.25" customHeight="1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</row>
    <row r="909" ht="14.25" customHeight="1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</row>
    <row r="910" ht="14.25" customHeight="1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</row>
    <row r="911" ht="14.25" customHeight="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</row>
    <row r="912" ht="14.25" customHeight="1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</row>
    <row r="913" ht="14.25" customHeight="1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</row>
    <row r="914" ht="14.25" customHeight="1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</row>
    <row r="915" ht="14.25" customHeight="1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</row>
    <row r="916" ht="14.25" customHeight="1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</row>
    <row r="917" ht="14.25" customHeight="1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</row>
    <row r="918" ht="14.25" customHeight="1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</row>
    <row r="919" ht="14.25" customHeight="1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</row>
    <row r="920" ht="14.25" customHeight="1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</row>
    <row r="921" ht="14.25" customHeight="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</row>
    <row r="922" ht="14.25" customHeight="1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</row>
    <row r="923" ht="14.25" customHeight="1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</row>
    <row r="924" ht="14.25" customHeight="1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</row>
    <row r="925" ht="14.25" customHeight="1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</row>
    <row r="926" ht="14.25" customHeight="1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</row>
    <row r="927" ht="14.25" customHeight="1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</row>
    <row r="928" ht="14.25" customHeight="1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</row>
    <row r="929" ht="14.25" customHeight="1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</row>
    <row r="930" ht="14.25" customHeight="1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</row>
    <row r="931" ht="14.25" customHeight="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</row>
    <row r="932" ht="14.25" customHeight="1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</row>
    <row r="933" ht="14.25" customHeight="1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</row>
    <row r="934" ht="14.25" customHeight="1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</row>
    <row r="935" ht="14.25" customHeight="1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</row>
    <row r="936" ht="14.25" customHeight="1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</row>
    <row r="937" ht="14.25" customHeight="1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</row>
    <row r="938" ht="14.25" customHeight="1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</row>
    <row r="939" ht="14.25" customHeight="1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</row>
    <row r="940" ht="14.25" customHeight="1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</row>
    <row r="941" ht="14.25" customHeight="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</row>
    <row r="942" ht="14.25" customHeight="1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</row>
    <row r="943" ht="14.25" customHeight="1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</row>
    <row r="944" ht="14.25" customHeight="1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</row>
    <row r="945" ht="14.25" customHeight="1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</row>
    <row r="946" ht="14.25" customHeight="1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</row>
    <row r="947" ht="14.25" customHeight="1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</row>
    <row r="948" ht="14.25" customHeight="1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</row>
    <row r="949" ht="14.25" customHeight="1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</row>
    <row r="950" ht="14.25" customHeight="1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</row>
    <row r="951" ht="14.25" customHeight="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</row>
    <row r="952" ht="14.25" customHeight="1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</row>
    <row r="953" ht="14.25" customHeight="1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</row>
    <row r="954" ht="14.25" customHeight="1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</row>
    <row r="955" ht="14.25" customHeight="1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</row>
    <row r="956" ht="14.25" customHeight="1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</row>
    <row r="957" ht="14.25" customHeight="1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</row>
    <row r="958" ht="14.25" customHeight="1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</row>
    <row r="959" ht="14.25" customHeight="1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</row>
    <row r="960" ht="14.25" customHeight="1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</row>
    <row r="961" ht="14.25" customHeight="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</row>
    <row r="962" ht="14.25" customHeight="1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</row>
    <row r="963" ht="14.25" customHeight="1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</row>
    <row r="964" ht="14.25" customHeight="1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</row>
    <row r="965" ht="14.25" customHeight="1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</row>
    <row r="966" ht="14.25" customHeight="1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</row>
    <row r="967" ht="14.25" customHeight="1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</row>
    <row r="968" ht="14.25" customHeight="1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</row>
    <row r="969" ht="14.25" customHeight="1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</row>
    <row r="970" ht="14.25" customHeight="1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</row>
    <row r="971" ht="14.25" customHeight="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</row>
    <row r="972" ht="14.25" customHeight="1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  <c r="Z972" s="62"/>
    </row>
    <row r="973" ht="14.25" customHeight="1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  <c r="Z973" s="62"/>
    </row>
    <row r="974" ht="14.25" customHeight="1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  <c r="Z974" s="62"/>
    </row>
    <row r="975" ht="14.25" customHeight="1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  <c r="Z975" s="62"/>
    </row>
    <row r="976" ht="14.25" customHeight="1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  <c r="Z976" s="62"/>
    </row>
    <row r="977" ht="14.25" customHeight="1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  <c r="Z977" s="62"/>
    </row>
    <row r="978" ht="14.25" customHeight="1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  <c r="Z978" s="62"/>
    </row>
    <row r="979" ht="14.25" customHeight="1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  <c r="Z979" s="62"/>
    </row>
    <row r="980" ht="14.25" customHeight="1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  <c r="Z980" s="62"/>
    </row>
    <row r="981" ht="14.25" customHeight="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  <c r="Z981" s="62"/>
    </row>
    <row r="982" ht="14.25" customHeight="1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  <c r="Z982" s="62"/>
    </row>
    <row r="983" ht="14.25" customHeight="1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  <c r="Z983" s="62"/>
    </row>
    <row r="984" ht="14.25" customHeight="1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</row>
    <row r="985" ht="14.25" customHeight="1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  <c r="Z985" s="62"/>
    </row>
    <row r="986" ht="14.25" customHeight="1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  <c r="Z986" s="62"/>
    </row>
    <row r="987" ht="14.25" customHeight="1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  <c r="Z987" s="62"/>
    </row>
    <row r="988" ht="14.25" customHeight="1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  <c r="Z988" s="62"/>
    </row>
    <row r="989" ht="14.25" customHeight="1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</row>
    <row r="990" ht="14.25" customHeight="1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</row>
    <row r="991" ht="14.25" customHeight="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</row>
    <row r="992" ht="14.25" customHeight="1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  <c r="Z992" s="62"/>
    </row>
    <row r="993" ht="14.25" customHeight="1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</row>
    <row r="994" ht="14.25" customHeight="1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  <c r="Z994" s="62"/>
    </row>
    <row r="995" ht="14.25" customHeight="1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</row>
    <row r="996" ht="14.25" customHeight="1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  <c r="Z996" s="62"/>
    </row>
    <row r="997" ht="14.25" customHeight="1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  <c r="R997" s="62"/>
      <c r="S997" s="62"/>
      <c r="T997" s="62"/>
      <c r="U997" s="62"/>
      <c r="V997" s="62"/>
      <c r="W997" s="62"/>
      <c r="X997" s="62"/>
      <c r="Y997" s="62"/>
      <c r="Z997" s="62"/>
    </row>
  </sheetData>
  <mergeCells count="82">
    <mergeCell ref="B9:C9"/>
    <mergeCell ref="B10:C10"/>
    <mergeCell ref="B11:C11"/>
    <mergeCell ref="B12:C12"/>
    <mergeCell ref="B13:C13"/>
    <mergeCell ref="B14:C14"/>
    <mergeCell ref="B21:C21"/>
    <mergeCell ref="B22:C22"/>
    <mergeCell ref="B23:C23"/>
    <mergeCell ref="B24:C24"/>
    <mergeCell ref="B25:C25"/>
    <mergeCell ref="B26:C26"/>
    <mergeCell ref="B27:C27"/>
    <mergeCell ref="B28:C28"/>
    <mergeCell ref="F53:F54"/>
    <mergeCell ref="G53:G54"/>
    <mergeCell ref="B43:C43"/>
    <mergeCell ref="A47:J47"/>
    <mergeCell ref="B48:E48"/>
    <mergeCell ref="F48:I48"/>
    <mergeCell ref="J48:J49"/>
    <mergeCell ref="B53:B54"/>
    <mergeCell ref="C53:C54"/>
    <mergeCell ref="D53:D54"/>
    <mergeCell ref="E53:E54"/>
    <mergeCell ref="C63:C64"/>
    <mergeCell ref="D63:D64"/>
    <mergeCell ref="E63:E64"/>
    <mergeCell ref="F63:F64"/>
    <mergeCell ref="G63:G64"/>
    <mergeCell ref="J70:J78"/>
    <mergeCell ref="J79:J87"/>
    <mergeCell ref="H53:H54"/>
    <mergeCell ref="I53:I54"/>
    <mergeCell ref="J61:J69"/>
    <mergeCell ref="H63:H64"/>
    <mergeCell ref="I63:I64"/>
    <mergeCell ref="H72:H73"/>
    <mergeCell ref="I72:I73"/>
    <mergeCell ref="B81:B82"/>
    <mergeCell ref="C81:C82"/>
    <mergeCell ref="D81:D82"/>
    <mergeCell ref="E81:E82"/>
    <mergeCell ref="F81:F82"/>
    <mergeCell ref="G81:G82"/>
    <mergeCell ref="H81:H82"/>
    <mergeCell ref="I81:I82"/>
    <mergeCell ref="B63:B64"/>
    <mergeCell ref="B72:B73"/>
    <mergeCell ref="C72:C73"/>
    <mergeCell ref="D72:D73"/>
    <mergeCell ref="E72:E73"/>
    <mergeCell ref="F72:F73"/>
    <mergeCell ref="G72:G73"/>
    <mergeCell ref="B15:C15"/>
    <mergeCell ref="B16:C16"/>
    <mergeCell ref="B17:C17"/>
    <mergeCell ref="B18:C18"/>
    <mergeCell ref="B19:C19"/>
    <mergeCell ref="B20:C20"/>
    <mergeCell ref="A10:A21"/>
    <mergeCell ref="A22:A33"/>
    <mergeCell ref="A38:A39"/>
    <mergeCell ref="A48:A49"/>
    <mergeCell ref="H35:I35"/>
    <mergeCell ref="H36:I36"/>
    <mergeCell ref="H37:I37"/>
    <mergeCell ref="J51:J60"/>
    <mergeCell ref="B29:C29"/>
    <mergeCell ref="B30:C30"/>
    <mergeCell ref="B31:C31"/>
    <mergeCell ref="B32:C32"/>
    <mergeCell ref="B33:C33"/>
    <mergeCell ref="B34:D34"/>
    <mergeCell ref="H34:I34"/>
    <mergeCell ref="B38:C39"/>
    <mergeCell ref="D38:D39"/>
    <mergeCell ref="E38:E39"/>
    <mergeCell ref="F38:Q38"/>
    <mergeCell ref="B40:C40"/>
    <mergeCell ref="B41:C41"/>
    <mergeCell ref="B42:C42"/>
  </mergeCells>
  <hyperlinks>
    <hyperlink r:id="rId1" ref="D50"/>
    <hyperlink r:id="rId2" ref="E50"/>
    <hyperlink r:id="rId3" ref="I50"/>
    <hyperlink r:id="rId4" ref="D51"/>
    <hyperlink r:id="rId5" ref="E51"/>
    <hyperlink r:id="rId6" ref="H51"/>
    <hyperlink r:id="rId7" ref="I51"/>
    <hyperlink r:id="rId8" ref="D52"/>
    <hyperlink r:id="rId9" ref="E52"/>
    <hyperlink r:id="rId10" ref="H52"/>
    <hyperlink r:id="rId11" ref="I52"/>
    <hyperlink r:id="rId12" ref="E53"/>
    <hyperlink r:id="rId13" ref="D55"/>
    <hyperlink r:id="rId14" ref="E55"/>
    <hyperlink r:id="rId15" ref="H55"/>
    <hyperlink r:id="rId16" ref="I55"/>
    <hyperlink r:id="rId17" ref="D56"/>
    <hyperlink r:id="rId18" ref="E56"/>
    <hyperlink r:id="rId19" ref="H56"/>
    <hyperlink r:id="rId20" ref="I56"/>
    <hyperlink r:id="rId21" ref="D57"/>
    <hyperlink r:id="rId22" ref="E57"/>
    <hyperlink r:id="rId23" ref="H57"/>
    <hyperlink r:id="rId24" ref="I57"/>
    <hyperlink r:id="rId25" ref="D58"/>
    <hyperlink r:id="rId26" ref="E58"/>
    <hyperlink r:id="rId27" ref="H58"/>
    <hyperlink r:id="rId28" ref="I58"/>
    <hyperlink r:id="rId29" ref="D59"/>
    <hyperlink r:id="rId30" location="Detailedperformancespecificationsandfeaturehighlights" ref="E59"/>
    <hyperlink r:id="rId31" ref="H59"/>
    <hyperlink r:id="rId32" ref="I59"/>
    <hyperlink r:id="rId33" ref="D60"/>
    <hyperlink r:id="rId34" ref="E60"/>
    <hyperlink r:id="rId35" ref="H60"/>
    <hyperlink r:id="rId36" ref="I60"/>
    <hyperlink r:id="rId37" ref="D61"/>
    <hyperlink r:id="rId38" ref="E61"/>
    <hyperlink r:id="rId39" ref="H61"/>
    <hyperlink r:id="rId40" ref="I61"/>
    <hyperlink r:id="rId41" ref="D62"/>
    <hyperlink r:id="rId42" ref="E62"/>
    <hyperlink r:id="rId43" ref="H62"/>
    <hyperlink r:id="rId44" ref="I62"/>
    <hyperlink r:id="rId45" ref="E63"/>
    <hyperlink r:id="rId46" ref="D65"/>
    <hyperlink r:id="rId47" ref="E65"/>
    <hyperlink r:id="rId48" ref="H65"/>
    <hyperlink r:id="rId49" ref="I65"/>
    <hyperlink r:id="rId50" ref="D66"/>
    <hyperlink r:id="rId51" ref="E66"/>
    <hyperlink r:id="rId52" ref="H66"/>
    <hyperlink r:id="rId53" ref="I66"/>
    <hyperlink r:id="rId54" ref="D67"/>
    <hyperlink r:id="rId55" ref="E67"/>
    <hyperlink r:id="rId56" ref="H67"/>
    <hyperlink r:id="rId57" ref="I67"/>
    <hyperlink r:id="rId58" ref="D68"/>
    <hyperlink r:id="rId59" ref="E68"/>
    <hyperlink r:id="rId60" ref="H68"/>
    <hyperlink r:id="rId61" ref="I68"/>
    <hyperlink r:id="rId62" ref="D69"/>
    <hyperlink r:id="rId63" ref="E69"/>
    <hyperlink r:id="rId64" ref="H69"/>
    <hyperlink r:id="rId65" ref="I69"/>
    <hyperlink r:id="rId66" ref="D70"/>
    <hyperlink r:id="rId67" ref="E70"/>
    <hyperlink r:id="rId68" ref="H70"/>
    <hyperlink r:id="rId69" ref="I70"/>
    <hyperlink r:id="rId70" ref="D71"/>
    <hyperlink r:id="rId71" ref="E71"/>
    <hyperlink r:id="rId72" ref="H71"/>
    <hyperlink r:id="rId73" ref="I71"/>
    <hyperlink r:id="rId74" ref="E72"/>
    <hyperlink r:id="rId75" ref="D74"/>
    <hyperlink r:id="rId76" ref="E74"/>
    <hyperlink r:id="rId77" ref="H74"/>
    <hyperlink r:id="rId78" ref="I74"/>
    <hyperlink r:id="rId79" ref="D75"/>
    <hyperlink r:id="rId80" ref="E75"/>
    <hyperlink r:id="rId81" ref="H75"/>
    <hyperlink r:id="rId82" ref="I75"/>
    <hyperlink r:id="rId83" ref="D76"/>
    <hyperlink r:id="rId84" ref="E76"/>
    <hyperlink r:id="rId85" ref="H76"/>
    <hyperlink r:id="rId86" ref="I76"/>
    <hyperlink r:id="rId87" ref="D77"/>
    <hyperlink r:id="rId88" ref="E77"/>
    <hyperlink r:id="rId89" ref="H77"/>
    <hyperlink r:id="rId90" ref="I77"/>
    <hyperlink r:id="rId91" ref="D78"/>
    <hyperlink r:id="rId92" ref="E78"/>
    <hyperlink r:id="rId93" ref="H78"/>
    <hyperlink r:id="rId94" ref="I78"/>
    <hyperlink r:id="rId95" ref="D79"/>
    <hyperlink r:id="rId96" ref="E79"/>
    <hyperlink r:id="rId97" ref="H79"/>
    <hyperlink r:id="rId98" ref="I79"/>
    <hyperlink r:id="rId99" ref="D80"/>
    <hyperlink r:id="rId100" ref="E80"/>
    <hyperlink r:id="rId101" ref="H80"/>
    <hyperlink r:id="rId102" ref="I80"/>
    <hyperlink r:id="rId103" ref="E81"/>
    <hyperlink r:id="rId104" ref="D83"/>
    <hyperlink r:id="rId105" ref="E83"/>
    <hyperlink r:id="rId106" ref="H83"/>
    <hyperlink r:id="rId107" ref="I83"/>
    <hyperlink r:id="rId108" ref="D84"/>
    <hyperlink r:id="rId109" ref="E84"/>
    <hyperlink r:id="rId110" ref="H84"/>
    <hyperlink r:id="rId111" ref="I84"/>
    <hyperlink r:id="rId112" ref="D85"/>
    <hyperlink r:id="rId113" ref="E85"/>
    <hyperlink r:id="rId114" ref="H85"/>
    <hyperlink r:id="rId115" ref="I85"/>
    <hyperlink r:id="rId116" ref="D86"/>
    <hyperlink r:id="rId117" ref="E86"/>
    <hyperlink r:id="rId118" ref="H86"/>
    <hyperlink r:id="rId119" ref="I86"/>
    <hyperlink r:id="rId120" ref="D87"/>
    <hyperlink r:id="rId121" ref="E87"/>
    <hyperlink r:id="rId122" ref="H87"/>
    <hyperlink r:id="rId123" ref="I87"/>
  </hyperlinks>
  <printOptions/>
  <pageMargins bottom="0.75" footer="0.0" header="0.0" left="0.7" right="0.7" top="0.75"/>
  <pageSetup orientation="portrait"/>
  <drawing r:id="rId12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7.29"/>
    <col customWidth="1" min="3" max="3" width="30.86"/>
    <col customWidth="1" min="4" max="4" width="26.0"/>
    <col customWidth="1" min="5" max="5" width="23.57"/>
    <col customWidth="1" min="6" max="6" width="16.29"/>
    <col customWidth="1" min="7" max="7" width="20.14"/>
    <col customWidth="1" min="8" max="9" width="8.71"/>
  </cols>
  <sheetData>
    <row r="1" ht="15.0" customHeight="1">
      <c r="A1" s="133" t="s">
        <v>342</v>
      </c>
      <c r="B1" s="134"/>
      <c r="C1" s="134"/>
      <c r="D1" s="134"/>
      <c r="E1" s="134"/>
      <c r="F1" s="134"/>
      <c r="G1" s="134"/>
      <c r="H1" s="135"/>
    </row>
    <row r="2" ht="14.25" customHeight="1">
      <c r="A2" s="60" t="s">
        <v>343</v>
      </c>
      <c r="B2" s="136" t="s">
        <v>344</v>
      </c>
      <c r="C2" s="137" t="s">
        <v>345</v>
      </c>
      <c r="D2" s="137" t="s">
        <v>346</v>
      </c>
      <c r="E2" s="137" t="s">
        <v>347</v>
      </c>
      <c r="F2" s="137" t="s">
        <v>348</v>
      </c>
      <c r="G2" s="138" t="s">
        <v>349</v>
      </c>
      <c r="H2" s="109" t="s">
        <v>343</v>
      </c>
    </row>
    <row r="3" ht="14.25" customHeight="1">
      <c r="A3" s="139" t="s">
        <v>350</v>
      </c>
      <c r="B3" s="140">
        <v>1.0</v>
      </c>
      <c r="C3" s="141" t="s">
        <v>351</v>
      </c>
      <c r="D3" s="141" t="s">
        <v>352</v>
      </c>
      <c r="E3" s="141">
        <v>72.0</v>
      </c>
      <c r="F3" s="141"/>
      <c r="G3" s="142"/>
      <c r="H3" s="139" t="s">
        <v>350</v>
      </c>
    </row>
    <row r="4" ht="14.25" customHeight="1">
      <c r="A4" s="76"/>
      <c r="B4" s="143">
        <v>13.0</v>
      </c>
      <c r="C4" s="144" t="s">
        <v>353</v>
      </c>
      <c r="D4" s="144" t="s">
        <v>174</v>
      </c>
      <c r="E4" s="144"/>
      <c r="F4" s="145"/>
      <c r="G4" s="145"/>
      <c r="H4" s="76"/>
    </row>
    <row r="5" ht="14.25" customHeight="1">
      <c r="A5" s="76"/>
      <c r="B5" s="146"/>
      <c r="C5" s="147" t="s">
        <v>354</v>
      </c>
      <c r="D5" s="147" t="str">
        <f>'Tech Stack'!B52</f>
        <v>C9400-SUP-1XL</v>
      </c>
      <c r="E5" s="147">
        <v>2.0</v>
      </c>
      <c r="F5" s="147">
        <v>-350.0</v>
      </c>
      <c r="G5" s="148">
        <f t="shared" ref="G5:G7" si="1">ABS(F5)*3.41</f>
        <v>1193.5</v>
      </c>
      <c r="H5" s="76"/>
    </row>
    <row r="6" ht="14.25" customHeight="1">
      <c r="A6" s="76"/>
      <c r="B6" s="146"/>
      <c r="C6" s="147" t="s">
        <v>354</v>
      </c>
      <c r="D6" s="147"/>
      <c r="E6" s="147"/>
      <c r="F6" s="147"/>
      <c r="G6" s="148">
        <f t="shared" si="1"/>
        <v>0</v>
      </c>
      <c r="H6" s="76"/>
    </row>
    <row r="7" ht="14.25" customHeight="1">
      <c r="A7" s="76"/>
      <c r="B7" s="146"/>
      <c r="C7" s="147" t="s">
        <v>355</v>
      </c>
      <c r="D7" s="147" t="str">
        <f>'Tech Stack'!B56</f>
        <v>C9400-LC-12QC (12x40GE)</v>
      </c>
      <c r="E7" s="147">
        <v>12.0</v>
      </c>
      <c r="F7" s="147">
        <v>-280.0</v>
      </c>
      <c r="G7" s="148">
        <f t="shared" si="1"/>
        <v>954.8</v>
      </c>
      <c r="H7" s="76"/>
    </row>
    <row r="8" ht="14.25" customHeight="1">
      <c r="A8" s="76"/>
      <c r="B8" s="146"/>
      <c r="C8" s="147" t="s">
        <v>356</v>
      </c>
      <c r="D8" s="147" t="str">
        <f>'Tech Stack'!B53</f>
        <v>C9400-LC-48P</v>
      </c>
      <c r="E8" s="147">
        <v>48.0</v>
      </c>
      <c r="F8" s="147">
        <f t="shared" ref="F8:F13" si="2">-(E8*30+65)</f>
        <v>-1505</v>
      </c>
      <c r="G8" s="148">
        <f t="shared" ref="G8:G13" si="3">(ABS(F8)-E8*30)*3.41</f>
        <v>221.65</v>
      </c>
      <c r="H8" s="76"/>
    </row>
    <row r="9" ht="14.25" customHeight="1">
      <c r="A9" s="76"/>
      <c r="B9" s="146"/>
      <c r="C9" s="147" t="s">
        <v>356</v>
      </c>
      <c r="D9" s="147" t="str">
        <f>'Tech Stack'!B53</f>
        <v>C9400-LC-48P</v>
      </c>
      <c r="E9" s="147">
        <v>48.0</v>
      </c>
      <c r="F9" s="147">
        <f t="shared" si="2"/>
        <v>-1505</v>
      </c>
      <c r="G9" s="148">
        <f t="shared" si="3"/>
        <v>221.65</v>
      </c>
      <c r="H9" s="76"/>
    </row>
    <row r="10" ht="14.25" customHeight="1">
      <c r="A10" s="76"/>
      <c r="B10" s="146"/>
      <c r="C10" s="147" t="s">
        <v>356</v>
      </c>
      <c r="D10" s="147" t="str">
        <f>'Tech Stack'!B53</f>
        <v>C9400-LC-48P</v>
      </c>
      <c r="E10" s="147">
        <v>48.0</v>
      </c>
      <c r="F10" s="147">
        <f t="shared" si="2"/>
        <v>-1505</v>
      </c>
      <c r="G10" s="148">
        <f t="shared" si="3"/>
        <v>221.65</v>
      </c>
      <c r="H10" s="76"/>
    </row>
    <row r="11" ht="14.25" customHeight="1">
      <c r="A11" s="76"/>
      <c r="B11" s="146"/>
      <c r="C11" s="147" t="s">
        <v>356</v>
      </c>
      <c r="D11" s="147" t="str">
        <f>'Tech Stack'!B53</f>
        <v>C9400-LC-48P</v>
      </c>
      <c r="E11" s="147">
        <v>48.0</v>
      </c>
      <c r="F11" s="147">
        <f t="shared" si="2"/>
        <v>-1505</v>
      </c>
      <c r="G11" s="148">
        <f t="shared" si="3"/>
        <v>221.65</v>
      </c>
      <c r="H11" s="76"/>
    </row>
    <row r="12" ht="14.25" customHeight="1">
      <c r="A12" s="76"/>
      <c r="B12" s="146"/>
      <c r="C12" s="147" t="s">
        <v>356</v>
      </c>
      <c r="D12" s="147" t="str">
        <f>'Tech Stack'!B53</f>
        <v>C9400-LC-48P</v>
      </c>
      <c r="E12" s="147">
        <v>48.0</v>
      </c>
      <c r="F12" s="147">
        <f t="shared" si="2"/>
        <v>-1505</v>
      </c>
      <c r="G12" s="148">
        <f t="shared" si="3"/>
        <v>221.65</v>
      </c>
      <c r="H12" s="76"/>
    </row>
    <row r="13" ht="14.25" customHeight="1">
      <c r="A13" s="76"/>
      <c r="B13" s="146"/>
      <c r="C13" s="147" t="s">
        <v>357</v>
      </c>
      <c r="D13" s="147" t="str">
        <f>'Tech Stack'!B53</f>
        <v>C9400-LC-48P</v>
      </c>
      <c r="E13" s="147">
        <v>48.0</v>
      </c>
      <c r="F13" s="147">
        <f t="shared" si="2"/>
        <v>-1505</v>
      </c>
      <c r="G13" s="148">
        <f t="shared" si="3"/>
        <v>221.65</v>
      </c>
      <c r="H13" s="76"/>
    </row>
    <row r="14" ht="14.25" customHeight="1">
      <c r="A14" s="76"/>
      <c r="B14" s="146"/>
      <c r="C14" s="147" t="s">
        <v>358</v>
      </c>
      <c r="D14" s="147" t="str">
        <f>'Tech Stack'!B57</f>
        <v>C9400-LC-48UX</v>
      </c>
      <c r="E14" s="147">
        <v>48.0</v>
      </c>
      <c r="F14" s="147">
        <f>-(60*E14+70)</f>
        <v>-2950</v>
      </c>
      <c r="G14" s="148">
        <f>(ABS(F14)-E14*60)*3.41</f>
        <v>238.7</v>
      </c>
      <c r="H14" s="76"/>
    </row>
    <row r="15" ht="14.25" customHeight="1">
      <c r="A15" s="76"/>
      <c r="B15" s="146"/>
      <c r="C15" s="149" t="s">
        <v>359</v>
      </c>
      <c r="D15" s="150" t="s">
        <v>360</v>
      </c>
      <c r="E15" s="149"/>
      <c r="F15" s="151">
        <v>3200.0</v>
      </c>
      <c r="G15" s="151">
        <f t="shared" ref="G15:G23" si="4">ABS(F15)*3.41</f>
        <v>10912</v>
      </c>
      <c r="H15" s="76"/>
    </row>
    <row r="16" ht="14.25" customHeight="1">
      <c r="A16" s="76"/>
      <c r="B16" s="146"/>
      <c r="C16" s="149" t="s">
        <v>359</v>
      </c>
      <c r="D16" s="152" t="s">
        <v>360</v>
      </c>
      <c r="E16" s="149"/>
      <c r="F16" s="153">
        <v>3200.0</v>
      </c>
      <c r="G16" s="153">
        <f t="shared" si="4"/>
        <v>10912</v>
      </c>
      <c r="H16" s="76"/>
    </row>
    <row r="17" ht="14.25" customHeight="1">
      <c r="A17" s="76"/>
      <c r="B17" s="146"/>
      <c r="C17" s="149" t="s">
        <v>359</v>
      </c>
      <c r="D17" s="152" t="s">
        <v>360</v>
      </c>
      <c r="E17" s="149"/>
      <c r="F17" s="153">
        <v>3200.0</v>
      </c>
      <c r="G17" s="153">
        <f t="shared" si="4"/>
        <v>10912</v>
      </c>
      <c r="H17" s="76"/>
    </row>
    <row r="18" ht="14.25" customHeight="1">
      <c r="A18" s="76"/>
      <c r="B18" s="146"/>
      <c r="C18" s="149" t="s">
        <v>359</v>
      </c>
      <c r="D18" s="152" t="s">
        <v>360</v>
      </c>
      <c r="E18" s="154"/>
      <c r="F18" s="153">
        <v>3200.0</v>
      </c>
      <c r="G18" s="153">
        <f t="shared" si="4"/>
        <v>10912</v>
      </c>
      <c r="H18" s="76"/>
    </row>
    <row r="19" ht="14.25" customHeight="1">
      <c r="A19" s="76"/>
      <c r="B19" s="146"/>
      <c r="C19" s="149" t="s">
        <v>359</v>
      </c>
      <c r="D19" s="152" t="s">
        <v>360</v>
      </c>
      <c r="E19" s="154"/>
      <c r="F19" s="153">
        <v>3200.0</v>
      </c>
      <c r="G19" s="153">
        <f t="shared" si="4"/>
        <v>10912</v>
      </c>
      <c r="H19" s="76"/>
    </row>
    <row r="20" ht="14.25" customHeight="1">
      <c r="A20" s="76"/>
      <c r="B20" s="146"/>
      <c r="C20" s="149" t="s">
        <v>359</v>
      </c>
      <c r="D20" s="152" t="s">
        <v>360</v>
      </c>
      <c r="E20" s="154"/>
      <c r="F20" s="153">
        <v>3200.0</v>
      </c>
      <c r="G20" s="153">
        <f t="shared" si="4"/>
        <v>10912</v>
      </c>
      <c r="H20" s="76"/>
    </row>
    <row r="21" ht="14.25" customHeight="1">
      <c r="A21" s="76"/>
      <c r="B21" s="146"/>
      <c r="C21" s="149" t="s">
        <v>359</v>
      </c>
      <c r="D21" s="152"/>
      <c r="E21" s="154"/>
      <c r="F21" s="153"/>
      <c r="G21" s="153">
        <f t="shared" si="4"/>
        <v>0</v>
      </c>
      <c r="H21" s="76"/>
    </row>
    <row r="22" ht="14.25" customHeight="1">
      <c r="A22" s="76"/>
      <c r="B22" s="146"/>
      <c r="C22" s="155" t="s">
        <v>359</v>
      </c>
      <c r="D22" s="156"/>
      <c r="E22" s="157"/>
      <c r="F22" s="158"/>
      <c r="G22" s="158">
        <f t="shared" si="4"/>
        <v>0</v>
      </c>
      <c r="H22" s="76"/>
    </row>
    <row r="23" ht="14.25" customHeight="1">
      <c r="A23" s="76"/>
      <c r="B23" s="159"/>
      <c r="C23" s="160" t="s">
        <v>361</v>
      </c>
      <c r="D23" s="161" t="s">
        <v>362</v>
      </c>
      <c r="E23" s="161"/>
      <c r="F23" s="161">
        <v>600.0</v>
      </c>
      <c r="G23" s="162">
        <f t="shared" si="4"/>
        <v>2046</v>
      </c>
      <c r="H23" s="76"/>
    </row>
    <row r="24" ht="14.25" customHeight="1">
      <c r="A24" s="76"/>
      <c r="B24" s="163">
        <v>2.0</v>
      </c>
      <c r="C24" s="164" t="s">
        <v>363</v>
      </c>
      <c r="D24" s="165" t="s">
        <v>364</v>
      </c>
      <c r="E24" s="164">
        <v>48.0</v>
      </c>
      <c r="F24" s="164"/>
      <c r="G24" s="166"/>
      <c r="H24" s="76"/>
    </row>
    <row r="25" ht="14.25" customHeight="1">
      <c r="A25" s="76"/>
      <c r="B25" s="167">
        <v>2.0</v>
      </c>
      <c r="C25" s="168" t="s">
        <v>363</v>
      </c>
      <c r="D25" s="169" t="s">
        <v>364</v>
      </c>
      <c r="E25" s="168">
        <v>48.0</v>
      </c>
      <c r="F25" s="170"/>
      <c r="G25" s="171"/>
      <c r="H25" s="76"/>
    </row>
    <row r="26" ht="14.25" customHeight="1">
      <c r="A26" s="76"/>
      <c r="B26" s="167">
        <v>2.0</v>
      </c>
      <c r="C26" s="168" t="s">
        <v>363</v>
      </c>
      <c r="D26" s="169" t="s">
        <v>364</v>
      </c>
      <c r="E26" s="168">
        <v>48.0</v>
      </c>
      <c r="F26" s="170"/>
      <c r="G26" s="171"/>
      <c r="H26" s="76"/>
    </row>
    <row r="27" ht="14.25" customHeight="1">
      <c r="A27" s="76"/>
      <c r="B27" s="167">
        <v>2.0</v>
      </c>
      <c r="C27" s="168" t="s">
        <v>363</v>
      </c>
      <c r="D27" s="169" t="s">
        <v>364</v>
      </c>
      <c r="E27" s="168">
        <v>48.0</v>
      </c>
      <c r="F27" s="170"/>
      <c r="G27" s="171"/>
      <c r="H27" s="76"/>
    </row>
    <row r="28" ht="14.25" customHeight="1">
      <c r="A28" s="76"/>
      <c r="B28" s="167">
        <v>2.0</v>
      </c>
      <c r="C28" s="141" t="s">
        <v>363</v>
      </c>
      <c r="D28" s="140" t="s">
        <v>364</v>
      </c>
      <c r="E28" s="141">
        <v>48.0</v>
      </c>
      <c r="F28" s="172"/>
      <c r="G28" s="173"/>
      <c r="H28" s="76"/>
    </row>
    <row r="29" ht="14.25" customHeight="1">
      <c r="A29" s="76"/>
      <c r="B29" s="167">
        <v>2.0</v>
      </c>
      <c r="C29" s="170" t="s">
        <v>363</v>
      </c>
      <c r="D29" s="174" t="s">
        <v>364</v>
      </c>
      <c r="E29" s="170">
        <v>48.0</v>
      </c>
      <c r="F29" s="170"/>
      <c r="G29" s="171"/>
      <c r="H29" s="76"/>
    </row>
    <row r="30" ht="14.25" customHeight="1">
      <c r="A30" s="76"/>
      <c r="B30" s="175">
        <v>2.0</v>
      </c>
      <c r="C30" s="176" t="s">
        <v>363</v>
      </c>
      <c r="D30" s="177" t="s">
        <v>364</v>
      </c>
      <c r="E30" s="176">
        <v>48.0</v>
      </c>
      <c r="F30" s="176"/>
      <c r="G30" s="178"/>
      <c r="H30" s="76"/>
    </row>
    <row r="31" ht="14.25" customHeight="1">
      <c r="A31" s="76"/>
      <c r="B31" s="179">
        <v>1.0</v>
      </c>
      <c r="C31" s="180" t="s">
        <v>365</v>
      </c>
      <c r="D31" s="181"/>
      <c r="E31" s="181"/>
      <c r="F31" s="181"/>
      <c r="G31" s="182"/>
      <c r="H31" s="76"/>
    </row>
    <row r="32" ht="14.25" customHeight="1">
      <c r="A32" s="76"/>
      <c r="B32" s="183"/>
      <c r="C32" s="88"/>
      <c r="D32" s="184"/>
      <c r="E32" s="184"/>
      <c r="F32" s="184"/>
      <c r="G32" s="185"/>
      <c r="H32" s="76"/>
    </row>
    <row r="33" ht="14.25" customHeight="1">
      <c r="A33" s="76"/>
      <c r="B33" s="186">
        <v>1.0</v>
      </c>
      <c r="C33" s="187" t="s">
        <v>366</v>
      </c>
      <c r="D33" s="188" t="str">
        <f>'Tech Stack'!B59</f>
        <v>Cisco Secure Firewall 4245</v>
      </c>
      <c r="E33" s="187"/>
      <c r="F33" s="187">
        <v>1900.0</v>
      </c>
      <c r="G33" s="189">
        <f t="shared" ref="G33:G36" si="5">ABS(F33)*3.41</f>
        <v>6479</v>
      </c>
      <c r="H33" s="76"/>
    </row>
    <row r="34" ht="14.25" customHeight="1">
      <c r="A34" s="76"/>
      <c r="B34" s="146"/>
      <c r="C34" s="190" t="s">
        <v>367</v>
      </c>
      <c r="D34" s="191" t="s">
        <v>368</v>
      </c>
      <c r="E34" s="192"/>
      <c r="F34" s="190">
        <v>45.0</v>
      </c>
      <c r="G34" s="193">
        <f t="shared" si="5"/>
        <v>153.45</v>
      </c>
      <c r="H34" s="76"/>
    </row>
    <row r="35" ht="14.25" customHeight="1">
      <c r="A35" s="76"/>
      <c r="B35" s="146"/>
      <c r="C35" s="190" t="s">
        <v>367</v>
      </c>
      <c r="D35" s="191" t="s">
        <v>368</v>
      </c>
      <c r="E35" s="192"/>
      <c r="F35" s="190">
        <v>45.0</v>
      </c>
      <c r="G35" s="193">
        <f t="shared" si="5"/>
        <v>153.45</v>
      </c>
      <c r="H35" s="76"/>
    </row>
    <row r="36" ht="14.25" customHeight="1">
      <c r="A36" s="76"/>
      <c r="B36" s="194"/>
      <c r="C36" s="161" t="s">
        <v>367</v>
      </c>
      <c r="D36" s="195" t="s">
        <v>368</v>
      </c>
      <c r="E36" s="161"/>
      <c r="F36" s="161">
        <v>45.0</v>
      </c>
      <c r="G36" s="162">
        <f t="shared" si="5"/>
        <v>153.45</v>
      </c>
      <c r="H36" s="76"/>
    </row>
    <row r="37" ht="14.25" customHeight="1">
      <c r="A37" s="76"/>
      <c r="B37" s="196">
        <v>2.0</v>
      </c>
      <c r="C37" s="197" t="s">
        <v>365</v>
      </c>
      <c r="D37" s="39"/>
      <c r="E37" s="39"/>
      <c r="F37" s="39"/>
      <c r="G37" s="198"/>
      <c r="H37" s="76"/>
    </row>
    <row r="38" ht="14.25" customHeight="1">
      <c r="A38" s="76"/>
      <c r="B38" s="183"/>
      <c r="C38" s="88"/>
      <c r="D38" s="184"/>
      <c r="E38" s="184"/>
      <c r="F38" s="184"/>
      <c r="G38" s="185"/>
      <c r="H38" s="76"/>
    </row>
    <row r="39" ht="14.25" customHeight="1">
      <c r="A39" s="76"/>
      <c r="B39" s="199">
        <v>6.0</v>
      </c>
      <c r="C39" s="200" t="s">
        <v>369</v>
      </c>
      <c r="D39" s="201" t="s">
        <v>370</v>
      </c>
      <c r="E39" s="200"/>
      <c r="F39" s="200">
        <v>10000.0</v>
      </c>
      <c r="G39" s="202">
        <v>2450.0</v>
      </c>
      <c r="H39" s="76"/>
    </row>
    <row r="40" ht="14.25" customHeight="1">
      <c r="A40" s="76"/>
      <c r="B40" s="199">
        <v>6.0</v>
      </c>
      <c r="C40" s="200" t="s">
        <v>369</v>
      </c>
      <c r="D40" s="201" t="s">
        <v>370</v>
      </c>
      <c r="E40" s="200"/>
      <c r="F40" s="200">
        <v>10000.0</v>
      </c>
      <c r="G40" s="202">
        <v>2450.0</v>
      </c>
      <c r="H40" s="76"/>
    </row>
    <row r="41" ht="14.25" customHeight="1">
      <c r="A41" s="76"/>
      <c r="B41" s="199">
        <v>6.0</v>
      </c>
      <c r="C41" s="200" t="s">
        <v>369</v>
      </c>
      <c r="D41" s="201" t="s">
        <v>370</v>
      </c>
      <c r="E41" s="200"/>
      <c r="F41" s="200">
        <v>10000.0</v>
      </c>
      <c r="G41" s="202">
        <v>2450.0</v>
      </c>
      <c r="H41" s="76"/>
    </row>
    <row r="42" ht="14.25" customHeight="1">
      <c r="A42" s="78"/>
      <c r="B42" s="199">
        <v>6.0</v>
      </c>
      <c r="C42" s="200" t="s">
        <v>369</v>
      </c>
      <c r="D42" s="201" t="s">
        <v>370</v>
      </c>
      <c r="E42" s="200"/>
      <c r="F42" s="200">
        <v>10000.0</v>
      </c>
      <c r="G42" s="202">
        <v>2450.0</v>
      </c>
      <c r="H42" s="78"/>
    </row>
    <row r="43" ht="14.25" customHeight="1">
      <c r="A43" s="203" t="s">
        <v>371</v>
      </c>
      <c r="B43" s="204">
        <f>SUM(B4:B42)</f>
        <v>55</v>
      </c>
      <c r="C43" s="205"/>
      <c r="D43" s="205"/>
      <c r="E43" s="205"/>
      <c r="F43" s="205">
        <f>SUM(F5:F42)</f>
        <v>49225</v>
      </c>
      <c r="G43" s="205">
        <f>SUM(G4:G42)</f>
        <v>87974.25</v>
      </c>
      <c r="H43" s="206"/>
    </row>
    <row r="44" ht="14.25" customHeight="1">
      <c r="B44" s="62"/>
      <c r="C44" s="62"/>
      <c r="D44" s="62"/>
      <c r="E44" s="207" t="s">
        <v>372</v>
      </c>
      <c r="F44" s="207">
        <f>SUM(F33:F36,F15:F23)</f>
        <v>21835</v>
      </c>
      <c r="G44" s="62"/>
    </row>
    <row r="45" ht="14.25" customHeight="1">
      <c r="B45" s="62"/>
      <c r="C45" s="62"/>
      <c r="D45" s="62"/>
      <c r="E45" s="208" t="s">
        <v>373</v>
      </c>
      <c r="F45" s="208">
        <f>SUM(F39:F42)</f>
        <v>40000</v>
      </c>
      <c r="G45" s="62"/>
    </row>
    <row r="46" ht="14.25" customHeight="1">
      <c r="B46" s="62"/>
      <c r="E46" s="42"/>
      <c r="G46" s="42"/>
    </row>
    <row r="47" ht="14.25" customHeight="1">
      <c r="D47" s="42" t="s">
        <v>374</v>
      </c>
      <c r="E47" s="42" t="s">
        <v>375</v>
      </c>
    </row>
    <row r="48" ht="17.25" customHeight="1">
      <c r="B48" s="209" t="s">
        <v>376</v>
      </c>
      <c r="C48" s="210" t="s">
        <v>377</v>
      </c>
      <c r="D48" s="211">
        <v>12000.0</v>
      </c>
      <c r="E48" s="212">
        <v>86000.0</v>
      </c>
    </row>
    <row r="49" ht="14.25" customHeight="1">
      <c r="B49" s="213" t="s">
        <v>378</v>
      </c>
      <c r="C49" s="214" t="s">
        <v>377</v>
      </c>
      <c r="D49" s="211">
        <v>12000.0</v>
      </c>
      <c r="E49" s="215">
        <v>86000.0</v>
      </c>
    </row>
    <row r="50" ht="14.25" customHeight="1">
      <c r="C50" s="216" t="s">
        <v>371</v>
      </c>
      <c r="D50" s="216">
        <f t="shared" ref="D50:E50" si="6">SUM(D48:D49)</f>
        <v>24000</v>
      </c>
      <c r="E50" s="216">
        <f t="shared" si="6"/>
        <v>172000</v>
      </c>
    </row>
    <row r="51" ht="14.25" customHeight="1">
      <c r="B51" s="62"/>
      <c r="E51" s="22"/>
      <c r="F51" s="22"/>
      <c r="G51" s="22"/>
    </row>
    <row r="52" ht="14.25" customHeight="1">
      <c r="B52" s="217" t="s">
        <v>379</v>
      </c>
      <c r="C52" s="218">
        <f>SUM('Tech Stack'!B40:E40)</f>
        <v>280</v>
      </c>
      <c r="E52" s="219"/>
      <c r="F52" s="22"/>
      <c r="G52" s="22"/>
    </row>
    <row r="53" ht="14.25" customHeight="1">
      <c r="B53" s="220" t="s">
        <v>380</v>
      </c>
      <c r="C53" s="218">
        <f>COUNTIF(C2:C43,"UTP Patch Panel")*48</f>
        <v>336</v>
      </c>
      <c r="E53" s="22"/>
      <c r="F53" s="22"/>
      <c r="G53" s="22"/>
    </row>
    <row r="54" ht="14.25" customHeight="1">
      <c r="B54" s="62"/>
    </row>
    <row r="55" ht="14.25" customHeight="1">
      <c r="B55" s="62"/>
    </row>
    <row r="56" ht="14.25" customHeight="1">
      <c r="A56" s="221" t="s">
        <v>381</v>
      </c>
      <c r="B56" s="222"/>
      <c r="C56" s="221"/>
      <c r="D56" s="221"/>
      <c r="E56" s="221"/>
      <c r="F56" s="221"/>
      <c r="G56" s="221"/>
    </row>
    <row r="57" ht="14.25" customHeight="1">
      <c r="A57" s="62" t="s">
        <v>382</v>
      </c>
    </row>
    <row r="58" ht="14.25" customHeight="1">
      <c r="A58" s="222" t="s">
        <v>383</v>
      </c>
    </row>
    <row r="59" ht="14.25" customHeight="1">
      <c r="A59" s="222" t="s">
        <v>384</v>
      </c>
    </row>
    <row r="60" ht="14.25" customHeight="1">
      <c r="A60" s="222" t="s">
        <v>385</v>
      </c>
    </row>
    <row r="61" ht="14.25" customHeight="1">
      <c r="A61" s="222" t="s">
        <v>386</v>
      </c>
    </row>
    <row r="62" ht="14.25" customHeight="1">
      <c r="A62" s="222" t="s">
        <v>387</v>
      </c>
    </row>
    <row r="63" ht="14.25" customHeight="1">
      <c r="A63" s="222" t="s">
        <v>388</v>
      </c>
    </row>
    <row r="64" ht="14.25" customHeight="1">
      <c r="A64" s="222" t="s">
        <v>389</v>
      </c>
    </row>
    <row r="65" ht="14.25" customHeight="1">
      <c r="A65" s="222" t="s">
        <v>390</v>
      </c>
    </row>
    <row r="66" ht="14.25" customHeight="1">
      <c r="A66" s="222" t="s">
        <v>391</v>
      </c>
    </row>
    <row r="67" ht="14.25" customHeight="1">
      <c r="A67" s="222" t="s">
        <v>392</v>
      </c>
    </row>
    <row r="68" ht="14.25" customHeight="1">
      <c r="A68" s="223"/>
    </row>
    <row r="69" ht="14.25" customHeight="1">
      <c r="B69" s="62"/>
    </row>
    <row r="70" ht="14.25" customHeight="1">
      <c r="B70" s="62"/>
    </row>
    <row r="71" ht="14.25" customHeight="1">
      <c r="B71" s="62"/>
    </row>
    <row r="72" ht="14.25" customHeight="1">
      <c r="B72" s="62"/>
    </row>
    <row r="73" ht="14.25" customHeight="1">
      <c r="B73" s="62"/>
    </row>
    <row r="74" ht="14.25" customHeight="1">
      <c r="B74" s="62"/>
    </row>
    <row r="75" ht="14.25" customHeight="1">
      <c r="B75" s="62"/>
    </row>
    <row r="76" ht="14.25" customHeight="1">
      <c r="B76" s="62"/>
    </row>
    <row r="77" ht="14.25" customHeight="1">
      <c r="B77" s="62"/>
    </row>
    <row r="78" ht="14.25" customHeight="1">
      <c r="B78" s="62"/>
    </row>
    <row r="79" ht="14.25" customHeight="1">
      <c r="B79" s="62"/>
    </row>
    <row r="80" ht="14.25" customHeight="1">
      <c r="B80" s="62"/>
      <c r="C80" s="221"/>
      <c r="D80" s="221"/>
      <c r="E80" s="221"/>
      <c r="F80" s="221"/>
      <c r="G80" s="221"/>
      <c r="H80" s="221"/>
      <c r="I80" s="221"/>
    </row>
    <row r="81" ht="14.25" customHeight="1">
      <c r="B81" s="62"/>
    </row>
    <row r="82" ht="14.25" customHeight="1">
      <c r="B82" s="62"/>
    </row>
    <row r="83" ht="14.25" customHeight="1">
      <c r="B83" s="62"/>
    </row>
    <row r="84" ht="14.25" customHeight="1">
      <c r="B84" s="62"/>
    </row>
    <row r="85" ht="14.25" customHeight="1">
      <c r="B85" s="62"/>
    </row>
    <row r="86" ht="14.25" customHeight="1">
      <c r="B86" s="62"/>
    </row>
    <row r="87" ht="14.25" customHeight="1">
      <c r="B87" s="62"/>
    </row>
    <row r="88" ht="14.25" customHeight="1">
      <c r="B88" s="62"/>
    </row>
    <row r="89" ht="14.25" customHeight="1">
      <c r="B89" s="62"/>
    </row>
    <row r="90" ht="14.25" customHeight="1">
      <c r="B90" s="62"/>
    </row>
    <row r="91" ht="14.25" customHeight="1">
      <c r="B91" s="62"/>
    </row>
    <row r="92" ht="14.25" customHeight="1">
      <c r="B92" s="62"/>
    </row>
    <row r="93" ht="14.25" customHeight="1">
      <c r="B93" s="62"/>
    </row>
    <row r="94" ht="14.25" customHeight="1">
      <c r="B94" s="62"/>
    </row>
    <row r="95" ht="14.25" customHeight="1">
      <c r="B95" s="62"/>
    </row>
    <row r="96" ht="14.25" customHeight="1">
      <c r="B96" s="62"/>
    </row>
    <row r="97" ht="14.25" customHeight="1">
      <c r="B97" s="62"/>
    </row>
    <row r="98" ht="14.25" customHeight="1">
      <c r="B98" s="62"/>
    </row>
    <row r="99" ht="14.25" customHeight="1">
      <c r="B99" s="62"/>
    </row>
    <row r="100" ht="14.25" customHeight="1">
      <c r="B100" s="62"/>
    </row>
    <row r="101" ht="14.25" customHeight="1">
      <c r="B101" s="62"/>
    </row>
    <row r="102" ht="14.25" customHeight="1">
      <c r="B102" s="62"/>
    </row>
    <row r="103" ht="14.25" customHeight="1">
      <c r="B103" s="62"/>
    </row>
    <row r="104" ht="14.25" customHeight="1">
      <c r="B104" s="62"/>
    </row>
    <row r="105" ht="14.25" customHeight="1">
      <c r="B105" s="62"/>
    </row>
    <row r="106" ht="14.25" customHeight="1">
      <c r="B106" s="62"/>
    </row>
    <row r="107" ht="14.25" customHeight="1">
      <c r="B107" s="62"/>
    </row>
    <row r="108" ht="14.25" customHeight="1">
      <c r="B108" s="62"/>
    </row>
    <row r="109" ht="14.25" customHeight="1">
      <c r="B109" s="62"/>
    </row>
    <row r="110" ht="14.25" customHeight="1">
      <c r="B110" s="62"/>
    </row>
    <row r="111" ht="14.25" customHeight="1">
      <c r="B111" s="62"/>
    </row>
    <row r="112" ht="14.25" customHeight="1">
      <c r="B112" s="62"/>
    </row>
    <row r="113" ht="14.25" customHeight="1">
      <c r="B113" s="62"/>
    </row>
    <row r="114" ht="14.25" customHeight="1">
      <c r="B114" s="62"/>
    </row>
    <row r="115" ht="14.25" customHeight="1">
      <c r="B115" s="62"/>
    </row>
    <row r="116" ht="14.25" customHeight="1">
      <c r="B116" s="62"/>
    </row>
    <row r="117" ht="14.25" customHeight="1">
      <c r="B117" s="62"/>
    </row>
    <row r="118" ht="14.25" customHeight="1">
      <c r="B118" s="62"/>
    </row>
    <row r="119" ht="14.25" customHeight="1">
      <c r="B119" s="62"/>
    </row>
    <row r="120" ht="14.25" customHeight="1">
      <c r="B120" s="62"/>
    </row>
    <row r="121" ht="14.25" customHeight="1">
      <c r="B121" s="62"/>
    </row>
    <row r="122" ht="14.25" customHeight="1">
      <c r="B122" s="62"/>
    </row>
    <row r="123" ht="14.25" customHeight="1">
      <c r="B123" s="62"/>
    </row>
    <row r="124" ht="14.25" customHeight="1">
      <c r="B124" s="62"/>
    </row>
    <row r="125" ht="14.25" customHeight="1">
      <c r="B125" s="62"/>
    </row>
    <row r="126" ht="14.25" customHeight="1">
      <c r="B126" s="62"/>
    </row>
    <row r="127" ht="14.25" customHeight="1">
      <c r="B127" s="62"/>
    </row>
    <row r="128" ht="14.25" customHeight="1">
      <c r="B128" s="62"/>
    </row>
    <row r="129" ht="14.25" customHeight="1">
      <c r="B129" s="62"/>
    </row>
    <row r="130" ht="14.25" customHeight="1">
      <c r="B130" s="62"/>
    </row>
    <row r="131" ht="14.25" customHeight="1">
      <c r="B131" s="62"/>
    </row>
    <row r="132" ht="14.25" customHeight="1">
      <c r="B132" s="62"/>
    </row>
    <row r="133" ht="14.25" customHeight="1">
      <c r="B133" s="62"/>
    </row>
    <row r="134" ht="14.25" customHeight="1">
      <c r="B134" s="62"/>
    </row>
    <row r="135" ht="14.25" customHeight="1">
      <c r="B135" s="62"/>
    </row>
    <row r="136" ht="14.25" customHeight="1">
      <c r="B136" s="62"/>
    </row>
    <row r="137" ht="14.25" customHeight="1">
      <c r="B137" s="62"/>
    </row>
    <row r="138" ht="14.25" customHeight="1">
      <c r="B138" s="62"/>
    </row>
    <row r="139" ht="14.25" customHeight="1">
      <c r="B139" s="62"/>
    </row>
    <row r="140" ht="14.25" customHeight="1">
      <c r="B140" s="62"/>
    </row>
    <row r="141" ht="14.25" customHeight="1">
      <c r="B141" s="62"/>
    </row>
    <row r="142" ht="14.25" customHeight="1">
      <c r="B142" s="62"/>
    </row>
    <row r="143" ht="14.25" customHeight="1">
      <c r="B143" s="62"/>
    </row>
    <row r="144" ht="14.25" customHeight="1">
      <c r="B144" s="62"/>
    </row>
    <row r="145" ht="14.25" customHeight="1">
      <c r="B145" s="62"/>
    </row>
    <row r="146" ht="14.25" customHeight="1">
      <c r="B146" s="62"/>
    </row>
    <row r="147" ht="14.25" customHeight="1">
      <c r="B147" s="62"/>
    </row>
    <row r="148" ht="14.25" customHeight="1">
      <c r="B148" s="62"/>
    </row>
    <row r="149" ht="14.25" customHeight="1">
      <c r="B149" s="62"/>
    </row>
    <row r="150" ht="14.25" customHeight="1">
      <c r="B150" s="62"/>
    </row>
    <row r="151" ht="14.25" customHeight="1">
      <c r="B151" s="62"/>
    </row>
    <row r="152" ht="14.25" customHeight="1">
      <c r="B152" s="62"/>
    </row>
    <row r="153" ht="14.25" customHeight="1">
      <c r="B153" s="62"/>
    </row>
    <row r="154" ht="14.25" customHeight="1">
      <c r="B154" s="62"/>
    </row>
    <row r="155" ht="14.25" customHeight="1">
      <c r="B155" s="62"/>
    </row>
    <row r="156" ht="14.25" customHeight="1">
      <c r="B156" s="62"/>
    </row>
    <row r="157" ht="14.25" customHeight="1">
      <c r="B157" s="62"/>
    </row>
    <row r="158" ht="14.25" customHeight="1">
      <c r="B158" s="62"/>
    </row>
    <row r="159" ht="14.25" customHeight="1">
      <c r="B159" s="62"/>
    </row>
    <row r="160" ht="14.25" customHeight="1">
      <c r="B160" s="62"/>
    </row>
    <row r="161" ht="14.25" customHeight="1">
      <c r="B161" s="62"/>
    </row>
    <row r="162" ht="14.25" customHeight="1">
      <c r="B162" s="62"/>
    </row>
    <row r="163" ht="14.25" customHeight="1">
      <c r="B163" s="62"/>
    </row>
    <row r="164" ht="14.25" customHeight="1">
      <c r="B164" s="62"/>
    </row>
    <row r="165" ht="14.25" customHeight="1">
      <c r="B165" s="62"/>
    </row>
    <row r="166" ht="14.25" customHeight="1">
      <c r="B166" s="62"/>
    </row>
    <row r="167" ht="14.25" customHeight="1">
      <c r="B167" s="62"/>
    </row>
    <row r="168" ht="14.25" customHeight="1">
      <c r="B168" s="62"/>
    </row>
    <row r="169" ht="14.25" customHeight="1">
      <c r="B169" s="62"/>
    </row>
    <row r="170" ht="14.25" customHeight="1">
      <c r="B170" s="62"/>
    </row>
    <row r="171" ht="14.25" customHeight="1">
      <c r="B171" s="62"/>
    </row>
    <row r="172" ht="14.25" customHeight="1">
      <c r="B172" s="62"/>
    </row>
    <row r="173" ht="14.25" customHeight="1">
      <c r="B173" s="62"/>
    </row>
    <row r="174" ht="14.25" customHeight="1">
      <c r="B174" s="62"/>
    </row>
    <row r="175" ht="14.25" customHeight="1">
      <c r="B175" s="62"/>
    </row>
    <row r="176" ht="14.25" customHeight="1">
      <c r="B176" s="62"/>
    </row>
    <row r="177" ht="14.25" customHeight="1">
      <c r="B177" s="62"/>
    </row>
    <row r="178" ht="14.25" customHeight="1">
      <c r="B178" s="62"/>
    </row>
    <row r="179" ht="14.25" customHeight="1">
      <c r="B179" s="62"/>
    </row>
    <row r="180" ht="14.25" customHeight="1">
      <c r="B180" s="62"/>
    </row>
    <row r="181" ht="14.25" customHeight="1">
      <c r="B181" s="62"/>
    </row>
    <row r="182" ht="14.25" customHeight="1">
      <c r="B182" s="62"/>
    </row>
    <row r="183" ht="14.25" customHeight="1">
      <c r="B183" s="62"/>
    </row>
    <row r="184" ht="14.25" customHeight="1">
      <c r="B184" s="62"/>
    </row>
    <row r="185" ht="14.25" customHeight="1">
      <c r="B185" s="62"/>
    </row>
    <row r="186" ht="14.25" customHeight="1">
      <c r="B186" s="62"/>
    </row>
    <row r="187" ht="14.25" customHeight="1">
      <c r="B187" s="62"/>
    </row>
    <row r="188" ht="14.25" customHeight="1">
      <c r="B188" s="62"/>
    </row>
    <row r="189" ht="14.25" customHeight="1">
      <c r="B189" s="62"/>
    </row>
    <row r="190" ht="14.25" customHeight="1">
      <c r="B190" s="62"/>
    </row>
    <row r="191" ht="14.25" customHeight="1">
      <c r="B191" s="62"/>
    </row>
    <row r="192" ht="14.25" customHeight="1">
      <c r="B192" s="62"/>
    </row>
    <row r="193" ht="14.25" customHeight="1">
      <c r="B193" s="62"/>
    </row>
    <row r="194" ht="14.25" customHeight="1">
      <c r="B194" s="62"/>
    </row>
    <row r="195" ht="14.25" customHeight="1">
      <c r="B195" s="62"/>
    </row>
    <row r="196" ht="14.25" customHeight="1">
      <c r="B196" s="62"/>
    </row>
    <row r="197" ht="14.25" customHeight="1">
      <c r="B197" s="62"/>
    </row>
    <row r="198" ht="14.25" customHeight="1">
      <c r="B198" s="62"/>
    </row>
    <row r="199" ht="14.25" customHeight="1">
      <c r="B199" s="62"/>
    </row>
    <row r="200" ht="14.25" customHeight="1">
      <c r="B200" s="62"/>
    </row>
    <row r="201" ht="14.25" customHeight="1">
      <c r="B201" s="62"/>
    </row>
    <row r="202" ht="14.25" customHeight="1">
      <c r="B202" s="62"/>
    </row>
    <row r="203" ht="14.25" customHeight="1">
      <c r="B203" s="62"/>
    </row>
    <row r="204" ht="14.25" customHeight="1">
      <c r="B204" s="62"/>
    </row>
    <row r="205" ht="14.25" customHeight="1">
      <c r="B205" s="62"/>
    </row>
    <row r="206" ht="14.25" customHeight="1">
      <c r="B206" s="62"/>
    </row>
    <row r="207" ht="14.25" customHeight="1">
      <c r="B207" s="62"/>
    </row>
    <row r="208" ht="14.25" customHeight="1">
      <c r="B208" s="62"/>
    </row>
    <row r="209" ht="14.25" customHeight="1">
      <c r="B209" s="62"/>
    </row>
    <row r="210" ht="14.25" customHeight="1">
      <c r="B210" s="62"/>
    </row>
    <row r="211" ht="14.25" customHeight="1">
      <c r="B211" s="62"/>
    </row>
    <row r="212" ht="14.25" customHeight="1">
      <c r="B212" s="62"/>
    </row>
    <row r="213" ht="14.25" customHeight="1">
      <c r="B213" s="62"/>
    </row>
    <row r="214" ht="14.25" customHeight="1">
      <c r="B214" s="62"/>
    </row>
    <row r="215" ht="14.25" customHeight="1">
      <c r="B215" s="62"/>
    </row>
    <row r="216" ht="14.25" customHeight="1">
      <c r="B216" s="62"/>
    </row>
    <row r="217" ht="14.25" customHeight="1">
      <c r="B217" s="62"/>
    </row>
    <row r="218" ht="14.25" customHeight="1">
      <c r="B218" s="62"/>
    </row>
    <row r="219" ht="14.25" customHeight="1">
      <c r="B219" s="62"/>
    </row>
    <row r="220" ht="14.25" customHeight="1">
      <c r="B220" s="62"/>
    </row>
    <row r="221" ht="14.25" customHeight="1">
      <c r="B221" s="62"/>
    </row>
    <row r="222" ht="14.25" customHeight="1">
      <c r="B222" s="62"/>
    </row>
    <row r="223" ht="14.25" customHeight="1">
      <c r="B223" s="62"/>
    </row>
    <row r="224" ht="14.25" customHeight="1">
      <c r="B224" s="62"/>
    </row>
    <row r="225" ht="14.25" customHeight="1">
      <c r="B225" s="62"/>
    </row>
    <row r="226" ht="14.25" customHeight="1">
      <c r="B226" s="62"/>
    </row>
    <row r="227" ht="14.25" customHeight="1">
      <c r="B227" s="62"/>
    </row>
    <row r="228" ht="14.25" customHeight="1">
      <c r="B228" s="62"/>
    </row>
    <row r="229" ht="14.25" customHeight="1">
      <c r="B229" s="62"/>
    </row>
    <row r="230" ht="14.25" customHeight="1">
      <c r="B230" s="62"/>
    </row>
    <row r="231" ht="14.25" customHeight="1">
      <c r="B231" s="62"/>
    </row>
    <row r="232" ht="14.25" customHeight="1">
      <c r="B232" s="62"/>
    </row>
    <row r="233" ht="14.25" customHeight="1">
      <c r="B233" s="62"/>
    </row>
    <row r="234" ht="14.25" customHeight="1">
      <c r="B234" s="62"/>
    </row>
    <row r="235" ht="14.25" customHeight="1">
      <c r="B235" s="62"/>
    </row>
    <row r="236" ht="14.25" customHeight="1">
      <c r="B236" s="62"/>
    </row>
    <row r="237" ht="14.25" customHeight="1">
      <c r="B237" s="62"/>
    </row>
    <row r="238" ht="14.25" customHeight="1">
      <c r="B238" s="62"/>
    </row>
    <row r="239" ht="14.25" customHeight="1">
      <c r="B239" s="62"/>
    </row>
    <row r="240" ht="14.25" customHeight="1">
      <c r="B240" s="62"/>
    </row>
    <row r="241" ht="14.25" customHeight="1">
      <c r="B241" s="62"/>
    </row>
    <row r="242" ht="14.25" customHeight="1">
      <c r="B242" s="62"/>
    </row>
    <row r="243" ht="14.25" customHeight="1">
      <c r="B243" s="62"/>
    </row>
    <row r="244" ht="14.25" customHeight="1">
      <c r="B244" s="62"/>
    </row>
    <row r="245" ht="14.25" customHeight="1">
      <c r="B245" s="62"/>
    </row>
    <row r="246" ht="14.25" customHeight="1">
      <c r="B246" s="62"/>
    </row>
    <row r="247" ht="14.25" customHeight="1">
      <c r="B247" s="62"/>
    </row>
    <row r="248" ht="14.25" customHeight="1">
      <c r="B248" s="62"/>
    </row>
    <row r="249" ht="14.25" customHeight="1">
      <c r="B249" s="62"/>
    </row>
    <row r="250" ht="14.25" customHeight="1">
      <c r="B250" s="62"/>
    </row>
    <row r="251" ht="14.25" customHeight="1">
      <c r="B251" s="62"/>
    </row>
    <row r="252" ht="14.25" customHeight="1">
      <c r="B252" s="62"/>
    </row>
    <row r="253" ht="14.25" customHeight="1">
      <c r="B253" s="62"/>
    </row>
    <row r="254" ht="14.25" customHeight="1">
      <c r="B254" s="62"/>
    </row>
    <row r="255" ht="14.25" customHeight="1">
      <c r="B255" s="62"/>
    </row>
    <row r="256" ht="14.25" customHeight="1">
      <c r="B256" s="62"/>
    </row>
    <row r="257" ht="14.25" customHeight="1">
      <c r="B257" s="62"/>
    </row>
    <row r="258" ht="14.25" customHeight="1">
      <c r="B258" s="62"/>
    </row>
    <row r="259" ht="14.25" customHeight="1">
      <c r="B259" s="62"/>
    </row>
    <row r="260" ht="14.25" customHeight="1">
      <c r="B260" s="62"/>
    </row>
    <row r="261" ht="14.25" customHeight="1">
      <c r="B261" s="62"/>
    </row>
    <row r="262" ht="14.25" customHeight="1">
      <c r="B262" s="62"/>
    </row>
    <row r="263" ht="14.25" customHeight="1">
      <c r="B263" s="62"/>
    </row>
    <row r="264" ht="14.25" customHeight="1">
      <c r="B264" s="62"/>
    </row>
    <row r="265" ht="14.25" customHeight="1">
      <c r="B265" s="62"/>
    </row>
    <row r="266" ht="14.25" customHeight="1">
      <c r="B266" s="62"/>
    </row>
    <row r="267" ht="14.25" customHeight="1">
      <c r="B267" s="62"/>
    </row>
    <row r="268" ht="15.75" customHeight="1">
      <c r="B268" s="62"/>
    </row>
    <row r="269" ht="15.75" customHeight="1">
      <c r="B269" s="62"/>
    </row>
    <row r="270" ht="15.75" customHeight="1">
      <c r="B270" s="62"/>
    </row>
    <row r="271" ht="15.75" customHeight="1">
      <c r="B271" s="62"/>
    </row>
    <row r="272" ht="15.75" customHeight="1">
      <c r="B272" s="62"/>
    </row>
    <row r="273" ht="15.75" customHeight="1">
      <c r="B273" s="62"/>
    </row>
    <row r="274" ht="15.75" customHeight="1">
      <c r="B274" s="62"/>
    </row>
    <row r="275" ht="15.75" customHeight="1">
      <c r="B275" s="62"/>
    </row>
    <row r="276" ht="15.75" customHeight="1">
      <c r="B276" s="62"/>
    </row>
    <row r="277" ht="15.75" customHeight="1">
      <c r="B277" s="62"/>
    </row>
    <row r="278" ht="15.75" customHeight="1">
      <c r="B278" s="62"/>
    </row>
    <row r="279" ht="15.75" customHeight="1">
      <c r="B279" s="62"/>
    </row>
    <row r="280" ht="15.75" customHeight="1">
      <c r="B280" s="62"/>
    </row>
    <row r="281" ht="15.75" customHeight="1">
      <c r="B281" s="62"/>
    </row>
    <row r="282" ht="15.75" customHeight="1">
      <c r="B282" s="62"/>
    </row>
    <row r="283" ht="15.75" customHeight="1">
      <c r="B283" s="62"/>
    </row>
    <row r="284" ht="15.75" customHeight="1">
      <c r="B284" s="62"/>
    </row>
    <row r="285" ht="15.75" customHeight="1">
      <c r="B285" s="62"/>
    </row>
    <row r="286" ht="15.75" customHeight="1">
      <c r="B286" s="62"/>
    </row>
    <row r="287" ht="15.75" customHeight="1">
      <c r="B287" s="62"/>
    </row>
    <row r="288" ht="15.75" customHeight="1">
      <c r="B288" s="62"/>
    </row>
    <row r="289" ht="15.75" customHeight="1">
      <c r="B289" s="62"/>
    </row>
    <row r="290" ht="15.75" customHeight="1">
      <c r="B290" s="62"/>
    </row>
    <row r="291" ht="15.75" customHeight="1">
      <c r="B291" s="62"/>
    </row>
    <row r="292" ht="15.75" customHeight="1">
      <c r="B292" s="62"/>
    </row>
    <row r="293" ht="15.75" customHeight="1">
      <c r="B293" s="62"/>
    </row>
    <row r="294" ht="15.75" customHeight="1">
      <c r="B294" s="62"/>
    </row>
    <row r="295" ht="15.75" customHeight="1">
      <c r="B295" s="62"/>
    </row>
    <row r="296" ht="15.75" customHeight="1">
      <c r="B296" s="62"/>
    </row>
    <row r="297" ht="15.75" customHeight="1">
      <c r="B297" s="62"/>
    </row>
    <row r="298" ht="15.75" customHeight="1">
      <c r="B298" s="62"/>
    </row>
    <row r="299" ht="15.75" customHeight="1">
      <c r="B299" s="62"/>
    </row>
    <row r="300" ht="15.75" customHeight="1">
      <c r="B300" s="62"/>
    </row>
    <row r="301" ht="15.75" customHeight="1">
      <c r="B301" s="62"/>
    </row>
    <row r="302" ht="15.75" customHeight="1">
      <c r="B302" s="62"/>
    </row>
    <row r="303" ht="15.75" customHeight="1">
      <c r="B303" s="62"/>
    </row>
    <row r="304" ht="15.75" customHeight="1">
      <c r="B304" s="62"/>
    </row>
    <row r="305" ht="15.75" customHeight="1">
      <c r="B305" s="62"/>
    </row>
    <row r="306" ht="15.75" customHeight="1">
      <c r="B306" s="62"/>
    </row>
    <row r="307" ht="15.75" customHeight="1">
      <c r="B307" s="62"/>
    </row>
    <row r="308" ht="15.75" customHeight="1">
      <c r="B308" s="62"/>
    </row>
    <row r="309" ht="15.75" customHeight="1">
      <c r="B309" s="62"/>
    </row>
    <row r="310" ht="15.75" customHeight="1">
      <c r="B310" s="62"/>
    </row>
    <row r="311" ht="15.75" customHeight="1">
      <c r="B311" s="62"/>
    </row>
    <row r="312" ht="15.75" customHeight="1">
      <c r="B312" s="62"/>
    </row>
    <row r="313" ht="15.75" customHeight="1">
      <c r="B313" s="62"/>
    </row>
    <row r="314" ht="15.75" customHeight="1">
      <c r="B314" s="62"/>
    </row>
    <row r="315" ht="15.75" customHeight="1">
      <c r="B315" s="62"/>
    </row>
    <row r="316" ht="15.75" customHeight="1">
      <c r="B316" s="62"/>
    </row>
    <row r="317" ht="15.75" customHeight="1">
      <c r="B317" s="62"/>
    </row>
    <row r="318" ht="15.75" customHeight="1">
      <c r="B318" s="62"/>
    </row>
    <row r="319" ht="15.75" customHeight="1">
      <c r="B319" s="62"/>
    </row>
    <row r="320" ht="15.75" customHeight="1">
      <c r="B320" s="62"/>
    </row>
    <row r="321" ht="15.75" customHeight="1">
      <c r="B321" s="62"/>
    </row>
    <row r="322" ht="15.75" customHeight="1">
      <c r="B322" s="62"/>
    </row>
    <row r="323" ht="15.75" customHeight="1">
      <c r="B323" s="62"/>
    </row>
    <row r="324" ht="15.75" customHeight="1">
      <c r="B324" s="62"/>
    </row>
    <row r="325" ht="15.75" customHeight="1">
      <c r="B325" s="62"/>
    </row>
    <row r="326" ht="15.75" customHeight="1">
      <c r="B326" s="62"/>
    </row>
    <row r="327" ht="15.75" customHeight="1">
      <c r="B327" s="62"/>
    </row>
    <row r="328" ht="15.75" customHeight="1">
      <c r="B328" s="62"/>
    </row>
    <row r="329" ht="15.75" customHeight="1">
      <c r="B329" s="62"/>
    </row>
    <row r="330" ht="15.75" customHeight="1">
      <c r="B330" s="62"/>
    </row>
    <row r="331" ht="15.75" customHeight="1">
      <c r="B331" s="62"/>
    </row>
    <row r="332" ht="15.75" customHeight="1">
      <c r="B332" s="62"/>
    </row>
    <row r="333" ht="15.75" customHeight="1">
      <c r="B333" s="62"/>
    </row>
    <row r="334" ht="15.75" customHeight="1">
      <c r="B334" s="62"/>
    </row>
    <row r="335" ht="15.75" customHeight="1">
      <c r="B335" s="62"/>
    </row>
    <row r="336" ht="15.75" customHeight="1">
      <c r="B336" s="62"/>
    </row>
    <row r="337" ht="15.75" customHeight="1">
      <c r="B337" s="62"/>
    </row>
    <row r="338" ht="15.75" customHeight="1">
      <c r="B338" s="62"/>
    </row>
    <row r="339" ht="15.75" customHeight="1">
      <c r="B339" s="62"/>
    </row>
    <row r="340" ht="15.75" customHeight="1">
      <c r="B340" s="62"/>
    </row>
    <row r="341" ht="15.75" customHeight="1">
      <c r="B341" s="62"/>
    </row>
    <row r="342" ht="15.75" customHeight="1">
      <c r="B342" s="62"/>
    </row>
    <row r="343" ht="15.75" customHeight="1">
      <c r="B343" s="62"/>
    </row>
    <row r="344" ht="15.75" customHeight="1">
      <c r="B344" s="62"/>
    </row>
    <row r="345" ht="15.75" customHeight="1">
      <c r="B345" s="62"/>
    </row>
    <row r="346" ht="15.75" customHeight="1">
      <c r="B346" s="62"/>
    </row>
    <row r="347" ht="15.75" customHeight="1">
      <c r="B347" s="62"/>
    </row>
    <row r="348" ht="15.75" customHeight="1">
      <c r="B348" s="62"/>
    </row>
    <row r="349" ht="15.75" customHeight="1">
      <c r="B349" s="62"/>
    </row>
    <row r="350" ht="15.75" customHeight="1">
      <c r="B350" s="62"/>
    </row>
    <row r="351" ht="15.75" customHeight="1">
      <c r="B351" s="62"/>
    </row>
    <row r="352" ht="15.75" customHeight="1">
      <c r="B352" s="62"/>
    </row>
    <row r="353" ht="15.75" customHeight="1">
      <c r="B353" s="62"/>
    </row>
    <row r="354" ht="15.75" customHeight="1">
      <c r="B354" s="62"/>
    </row>
    <row r="355" ht="15.75" customHeight="1">
      <c r="B355" s="62"/>
    </row>
    <row r="356" ht="15.75" customHeight="1">
      <c r="B356" s="62"/>
    </row>
    <row r="357" ht="15.75" customHeight="1">
      <c r="B357" s="62"/>
    </row>
    <row r="358" ht="15.75" customHeight="1">
      <c r="B358" s="62"/>
    </row>
    <row r="359" ht="15.75" customHeight="1">
      <c r="B359" s="62"/>
    </row>
    <row r="360" ht="15.75" customHeight="1">
      <c r="B360" s="62"/>
    </row>
    <row r="361" ht="15.75" customHeight="1">
      <c r="B361" s="62"/>
    </row>
    <row r="362" ht="15.75" customHeight="1">
      <c r="B362" s="62"/>
    </row>
    <row r="363" ht="15.75" customHeight="1">
      <c r="B363" s="62"/>
    </row>
    <row r="364" ht="15.75" customHeight="1">
      <c r="B364" s="62"/>
    </row>
    <row r="365" ht="15.75" customHeight="1">
      <c r="B365" s="62"/>
    </row>
    <row r="366" ht="15.75" customHeight="1">
      <c r="B366" s="62"/>
    </row>
    <row r="367" ht="15.75" customHeight="1">
      <c r="B367" s="62"/>
    </row>
    <row r="368" ht="15.75" customHeight="1">
      <c r="B368" s="62"/>
    </row>
    <row r="369" ht="15.75" customHeight="1">
      <c r="B369" s="62"/>
    </row>
    <row r="370" ht="15.75" customHeight="1">
      <c r="B370" s="62"/>
    </row>
    <row r="371" ht="15.75" customHeight="1">
      <c r="B371" s="62"/>
    </row>
    <row r="372" ht="15.75" customHeight="1">
      <c r="B372" s="62"/>
    </row>
    <row r="373" ht="15.75" customHeight="1">
      <c r="B373" s="62"/>
    </row>
    <row r="374" ht="15.75" customHeight="1">
      <c r="B374" s="62"/>
    </row>
    <row r="375" ht="15.75" customHeight="1">
      <c r="B375" s="62"/>
    </row>
    <row r="376" ht="15.75" customHeight="1">
      <c r="B376" s="62"/>
    </row>
    <row r="377" ht="15.75" customHeight="1">
      <c r="B377" s="62"/>
    </row>
    <row r="378" ht="15.75" customHeight="1">
      <c r="B378" s="62"/>
    </row>
    <row r="379" ht="15.75" customHeight="1">
      <c r="B379" s="62"/>
    </row>
    <row r="380" ht="15.75" customHeight="1">
      <c r="B380" s="62"/>
    </row>
    <row r="381" ht="15.75" customHeight="1">
      <c r="B381" s="62"/>
    </row>
    <row r="382" ht="15.75" customHeight="1">
      <c r="B382" s="62"/>
    </row>
    <row r="383" ht="15.75" customHeight="1">
      <c r="B383" s="62"/>
    </row>
    <row r="384" ht="15.75" customHeight="1">
      <c r="B384" s="62"/>
    </row>
    <row r="385" ht="15.75" customHeight="1">
      <c r="B385" s="62"/>
    </row>
    <row r="386" ht="15.75" customHeight="1">
      <c r="B386" s="62"/>
    </row>
    <row r="387" ht="15.75" customHeight="1">
      <c r="B387" s="62"/>
    </row>
    <row r="388" ht="15.75" customHeight="1">
      <c r="B388" s="62"/>
    </row>
    <row r="389" ht="15.75" customHeight="1">
      <c r="B389" s="62"/>
    </row>
    <row r="390" ht="15.75" customHeight="1">
      <c r="B390" s="62"/>
    </row>
    <row r="391" ht="15.75" customHeight="1">
      <c r="B391" s="62"/>
    </row>
    <row r="392" ht="15.75" customHeight="1">
      <c r="B392" s="62"/>
    </row>
    <row r="393" ht="15.75" customHeight="1">
      <c r="B393" s="62"/>
    </row>
    <row r="394" ht="15.75" customHeight="1">
      <c r="B394" s="62"/>
    </row>
    <row r="395" ht="15.75" customHeight="1">
      <c r="B395" s="62"/>
    </row>
    <row r="396" ht="15.75" customHeight="1">
      <c r="B396" s="62"/>
    </row>
    <row r="397" ht="15.75" customHeight="1">
      <c r="B397" s="62"/>
    </row>
    <row r="398" ht="15.75" customHeight="1">
      <c r="B398" s="62"/>
    </row>
    <row r="399" ht="15.75" customHeight="1">
      <c r="B399" s="62"/>
    </row>
    <row r="400" ht="15.75" customHeight="1">
      <c r="B400" s="62"/>
    </row>
    <row r="401" ht="15.75" customHeight="1">
      <c r="B401" s="62"/>
    </row>
    <row r="402" ht="15.75" customHeight="1">
      <c r="B402" s="62"/>
    </row>
    <row r="403" ht="15.75" customHeight="1">
      <c r="B403" s="62"/>
    </row>
    <row r="404" ht="15.75" customHeight="1">
      <c r="B404" s="62"/>
    </row>
    <row r="405" ht="15.75" customHeight="1">
      <c r="B405" s="62"/>
    </row>
    <row r="406" ht="15.75" customHeight="1">
      <c r="B406" s="62"/>
    </row>
    <row r="407" ht="15.75" customHeight="1">
      <c r="B407" s="62"/>
    </row>
    <row r="408" ht="15.75" customHeight="1">
      <c r="B408" s="62"/>
    </row>
    <row r="409" ht="15.75" customHeight="1">
      <c r="B409" s="62"/>
    </row>
    <row r="410" ht="15.75" customHeight="1">
      <c r="B410" s="62"/>
    </row>
    <row r="411" ht="15.75" customHeight="1">
      <c r="B411" s="62"/>
    </row>
    <row r="412" ht="15.75" customHeight="1">
      <c r="B412" s="62"/>
    </row>
    <row r="413" ht="15.75" customHeight="1">
      <c r="B413" s="62"/>
    </row>
    <row r="414" ht="15.75" customHeight="1">
      <c r="B414" s="62"/>
    </row>
    <row r="415" ht="15.75" customHeight="1">
      <c r="B415" s="62"/>
    </row>
    <row r="416" ht="15.75" customHeight="1">
      <c r="B416" s="62"/>
    </row>
    <row r="417" ht="15.75" customHeight="1">
      <c r="B417" s="62"/>
    </row>
    <row r="418" ht="15.75" customHeight="1">
      <c r="B418" s="62"/>
    </row>
    <row r="419" ht="15.75" customHeight="1">
      <c r="B419" s="62"/>
    </row>
    <row r="420" ht="15.75" customHeight="1">
      <c r="B420" s="62"/>
    </row>
    <row r="421" ht="15.75" customHeight="1">
      <c r="B421" s="62"/>
    </row>
    <row r="422" ht="15.75" customHeight="1">
      <c r="B422" s="62"/>
    </row>
    <row r="423" ht="15.75" customHeight="1">
      <c r="B423" s="62"/>
    </row>
    <row r="424" ht="15.75" customHeight="1">
      <c r="B424" s="62"/>
    </row>
    <row r="425" ht="15.75" customHeight="1">
      <c r="B425" s="62"/>
    </row>
    <row r="426" ht="15.75" customHeight="1">
      <c r="B426" s="62"/>
    </row>
    <row r="427" ht="15.75" customHeight="1">
      <c r="B427" s="62"/>
    </row>
    <row r="428" ht="15.75" customHeight="1">
      <c r="B428" s="62"/>
    </row>
    <row r="429" ht="15.75" customHeight="1">
      <c r="B429" s="62"/>
    </row>
    <row r="430" ht="15.75" customHeight="1">
      <c r="B430" s="62"/>
    </row>
    <row r="431" ht="15.75" customHeight="1">
      <c r="B431" s="62"/>
    </row>
    <row r="432" ht="15.75" customHeight="1">
      <c r="B432" s="62"/>
    </row>
    <row r="433" ht="15.75" customHeight="1">
      <c r="B433" s="62"/>
    </row>
    <row r="434" ht="15.75" customHeight="1">
      <c r="B434" s="62"/>
    </row>
    <row r="435" ht="15.75" customHeight="1">
      <c r="B435" s="62"/>
    </row>
    <row r="436" ht="15.75" customHeight="1">
      <c r="B436" s="62"/>
    </row>
    <row r="437" ht="15.75" customHeight="1">
      <c r="B437" s="62"/>
    </row>
    <row r="438" ht="15.75" customHeight="1">
      <c r="B438" s="62"/>
    </row>
    <row r="439" ht="15.75" customHeight="1">
      <c r="B439" s="62"/>
    </row>
    <row r="440" ht="15.75" customHeight="1">
      <c r="B440" s="62"/>
    </row>
    <row r="441" ht="15.75" customHeight="1">
      <c r="B441" s="62"/>
    </row>
    <row r="442" ht="15.75" customHeight="1">
      <c r="B442" s="62"/>
    </row>
    <row r="443" ht="15.75" customHeight="1">
      <c r="B443" s="62"/>
    </row>
    <row r="444" ht="15.75" customHeight="1">
      <c r="B444" s="62"/>
    </row>
    <row r="445" ht="15.75" customHeight="1">
      <c r="B445" s="62"/>
    </row>
    <row r="446" ht="15.75" customHeight="1">
      <c r="B446" s="62"/>
    </row>
    <row r="447" ht="15.75" customHeight="1">
      <c r="B447" s="62"/>
    </row>
    <row r="448" ht="15.75" customHeight="1">
      <c r="B448" s="62"/>
    </row>
    <row r="449" ht="15.75" customHeight="1">
      <c r="B449" s="62"/>
    </row>
    <row r="450" ht="15.75" customHeight="1">
      <c r="B450" s="62"/>
    </row>
    <row r="451" ht="15.75" customHeight="1">
      <c r="B451" s="62"/>
    </row>
    <row r="452" ht="15.75" customHeight="1">
      <c r="B452" s="62"/>
    </row>
    <row r="453" ht="15.75" customHeight="1">
      <c r="B453" s="62"/>
    </row>
    <row r="454" ht="15.75" customHeight="1">
      <c r="B454" s="62"/>
    </row>
    <row r="455" ht="15.75" customHeight="1">
      <c r="B455" s="62"/>
    </row>
    <row r="456" ht="15.75" customHeight="1">
      <c r="B456" s="62"/>
    </row>
    <row r="457" ht="15.75" customHeight="1">
      <c r="B457" s="62"/>
    </row>
    <row r="458" ht="15.75" customHeight="1">
      <c r="B458" s="62"/>
    </row>
    <row r="459" ht="15.75" customHeight="1">
      <c r="B459" s="62"/>
    </row>
    <row r="460" ht="15.75" customHeight="1">
      <c r="B460" s="62"/>
    </row>
    <row r="461" ht="15.75" customHeight="1">
      <c r="B461" s="62"/>
    </row>
    <row r="462" ht="15.75" customHeight="1">
      <c r="B462" s="62"/>
    </row>
    <row r="463" ht="15.75" customHeight="1">
      <c r="B463" s="62"/>
    </row>
    <row r="464" ht="15.75" customHeight="1">
      <c r="B464" s="62"/>
    </row>
    <row r="465" ht="15.75" customHeight="1">
      <c r="B465" s="62"/>
    </row>
    <row r="466" ht="15.75" customHeight="1">
      <c r="B466" s="62"/>
    </row>
    <row r="467" ht="15.75" customHeight="1">
      <c r="B467" s="62"/>
    </row>
    <row r="468" ht="15.75" customHeight="1">
      <c r="B468" s="62"/>
    </row>
    <row r="469" ht="15.75" customHeight="1">
      <c r="B469" s="62"/>
    </row>
    <row r="470" ht="15.75" customHeight="1">
      <c r="B470" s="62"/>
    </row>
    <row r="471" ht="15.75" customHeight="1">
      <c r="B471" s="62"/>
    </row>
    <row r="472" ht="15.75" customHeight="1">
      <c r="B472" s="62"/>
    </row>
    <row r="473" ht="15.75" customHeight="1">
      <c r="B473" s="62"/>
    </row>
    <row r="474" ht="15.75" customHeight="1">
      <c r="B474" s="62"/>
    </row>
    <row r="475" ht="15.75" customHeight="1">
      <c r="B475" s="62"/>
    </row>
    <row r="476" ht="15.75" customHeight="1">
      <c r="B476" s="62"/>
    </row>
    <row r="477" ht="15.75" customHeight="1">
      <c r="B477" s="62"/>
    </row>
    <row r="478" ht="15.75" customHeight="1">
      <c r="B478" s="62"/>
    </row>
    <row r="479" ht="15.75" customHeight="1">
      <c r="B479" s="62"/>
    </row>
    <row r="480" ht="15.75" customHeight="1">
      <c r="B480" s="62"/>
    </row>
    <row r="481" ht="15.75" customHeight="1">
      <c r="B481" s="62"/>
    </row>
    <row r="482" ht="15.75" customHeight="1">
      <c r="B482" s="62"/>
    </row>
    <row r="483" ht="15.75" customHeight="1">
      <c r="B483" s="62"/>
    </row>
    <row r="484" ht="15.75" customHeight="1">
      <c r="B484" s="62"/>
    </row>
    <row r="485" ht="15.75" customHeight="1">
      <c r="B485" s="62"/>
    </row>
    <row r="486" ht="15.75" customHeight="1">
      <c r="B486" s="62"/>
    </row>
    <row r="487" ht="15.75" customHeight="1">
      <c r="B487" s="62"/>
    </row>
    <row r="488" ht="15.75" customHeight="1">
      <c r="B488" s="62"/>
    </row>
    <row r="489" ht="15.75" customHeight="1">
      <c r="B489" s="62"/>
    </row>
    <row r="490" ht="15.75" customHeight="1">
      <c r="B490" s="62"/>
    </row>
    <row r="491" ht="15.75" customHeight="1">
      <c r="B491" s="62"/>
    </row>
    <row r="492" ht="15.75" customHeight="1">
      <c r="B492" s="62"/>
    </row>
    <row r="493" ht="15.75" customHeight="1">
      <c r="B493" s="62"/>
    </row>
    <row r="494" ht="15.75" customHeight="1">
      <c r="B494" s="62"/>
    </row>
    <row r="495" ht="15.75" customHeight="1">
      <c r="B495" s="62"/>
    </row>
    <row r="496" ht="15.75" customHeight="1">
      <c r="B496" s="62"/>
    </row>
    <row r="497" ht="15.75" customHeight="1">
      <c r="B497" s="62"/>
    </row>
    <row r="498" ht="15.75" customHeight="1">
      <c r="B498" s="62"/>
    </row>
    <row r="499" ht="15.75" customHeight="1">
      <c r="B499" s="62"/>
    </row>
    <row r="500" ht="15.75" customHeight="1">
      <c r="B500" s="62"/>
    </row>
    <row r="501" ht="15.75" customHeight="1">
      <c r="B501" s="62"/>
    </row>
    <row r="502" ht="15.75" customHeight="1">
      <c r="B502" s="62"/>
    </row>
    <row r="503" ht="15.75" customHeight="1">
      <c r="B503" s="62"/>
    </row>
    <row r="504" ht="15.75" customHeight="1">
      <c r="B504" s="62"/>
    </row>
    <row r="505" ht="15.75" customHeight="1">
      <c r="B505" s="62"/>
    </row>
    <row r="506" ht="15.75" customHeight="1">
      <c r="B506" s="62"/>
    </row>
    <row r="507" ht="15.75" customHeight="1">
      <c r="B507" s="62"/>
    </row>
    <row r="508" ht="15.75" customHeight="1">
      <c r="B508" s="62"/>
    </row>
    <row r="509" ht="15.75" customHeight="1">
      <c r="B509" s="62"/>
    </row>
    <row r="510" ht="15.75" customHeight="1">
      <c r="B510" s="62"/>
    </row>
    <row r="511" ht="15.75" customHeight="1">
      <c r="B511" s="62"/>
    </row>
    <row r="512" ht="15.75" customHeight="1">
      <c r="B512" s="62"/>
    </row>
    <row r="513" ht="15.75" customHeight="1">
      <c r="B513" s="62"/>
    </row>
    <row r="514" ht="15.75" customHeight="1">
      <c r="B514" s="62"/>
    </row>
    <row r="515" ht="15.75" customHeight="1">
      <c r="B515" s="62"/>
    </row>
    <row r="516" ht="15.75" customHeight="1">
      <c r="B516" s="62"/>
    </row>
    <row r="517" ht="15.75" customHeight="1">
      <c r="B517" s="62"/>
    </row>
    <row r="518" ht="15.75" customHeight="1">
      <c r="B518" s="62"/>
    </row>
    <row r="519" ht="15.75" customHeight="1">
      <c r="B519" s="62"/>
    </row>
    <row r="520" ht="15.75" customHeight="1">
      <c r="B520" s="62"/>
    </row>
    <row r="521" ht="15.75" customHeight="1">
      <c r="B521" s="62"/>
    </row>
    <row r="522" ht="15.75" customHeight="1">
      <c r="B522" s="62"/>
    </row>
    <row r="523" ht="15.75" customHeight="1">
      <c r="B523" s="62"/>
    </row>
    <row r="524" ht="15.75" customHeight="1">
      <c r="B524" s="62"/>
    </row>
    <row r="525" ht="15.75" customHeight="1">
      <c r="B525" s="62"/>
    </row>
    <row r="526" ht="15.75" customHeight="1">
      <c r="B526" s="62"/>
    </row>
    <row r="527" ht="15.75" customHeight="1">
      <c r="B527" s="62"/>
    </row>
    <row r="528" ht="15.75" customHeight="1">
      <c r="B528" s="62"/>
    </row>
    <row r="529" ht="15.75" customHeight="1">
      <c r="B529" s="62"/>
    </row>
    <row r="530" ht="15.75" customHeight="1">
      <c r="B530" s="62"/>
    </row>
    <row r="531" ht="15.75" customHeight="1">
      <c r="B531" s="62"/>
    </row>
    <row r="532" ht="15.75" customHeight="1">
      <c r="B532" s="62"/>
    </row>
    <row r="533" ht="15.75" customHeight="1">
      <c r="B533" s="62"/>
    </row>
    <row r="534" ht="15.75" customHeight="1">
      <c r="B534" s="62"/>
    </row>
    <row r="535" ht="15.75" customHeight="1">
      <c r="B535" s="62"/>
    </row>
    <row r="536" ht="15.75" customHeight="1">
      <c r="B536" s="62"/>
    </row>
    <row r="537" ht="15.75" customHeight="1">
      <c r="B537" s="62"/>
    </row>
    <row r="538" ht="15.75" customHeight="1">
      <c r="B538" s="62"/>
    </row>
    <row r="539" ht="15.75" customHeight="1">
      <c r="B539" s="62"/>
    </row>
    <row r="540" ht="15.75" customHeight="1">
      <c r="B540" s="62"/>
    </row>
    <row r="541" ht="15.75" customHeight="1">
      <c r="B541" s="62"/>
    </row>
    <row r="542" ht="15.75" customHeight="1">
      <c r="B542" s="62"/>
    </row>
    <row r="543" ht="15.75" customHeight="1">
      <c r="B543" s="62"/>
    </row>
    <row r="544" ht="15.75" customHeight="1">
      <c r="B544" s="62"/>
    </row>
    <row r="545" ht="15.75" customHeight="1">
      <c r="B545" s="62"/>
    </row>
    <row r="546" ht="15.75" customHeight="1">
      <c r="B546" s="62"/>
    </row>
    <row r="547" ht="15.75" customHeight="1">
      <c r="B547" s="62"/>
    </row>
    <row r="548" ht="15.75" customHeight="1">
      <c r="B548" s="62"/>
    </row>
    <row r="549" ht="15.75" customHeight="1">
      <c r="B549" s="62"/>
    </row>
    <row r="550" ht="15.75" customHeight="1">
      <c r="B550" s="62"/>
    </row>
    <row r="551" ht="15.75" customHeight="1">
      <c r="B551" s="62"/>
    </row>
    <row r="552" ht="15.75" customHeight="1">
      <c r="B552" s="62"/>
    </row>
    <row r="553" ht="15.75" customHeight="1">
      <c r="B553" s="62"/>
    </row>
    <row r="554" ht="15.75" customHeight="1">
      <c r="B554" s="62"/>
    </row>
    <row r="555" ht="15.75" customHeight="1">
      <c r="B555" s="62"/>
    </row>
    <row r="556" ht="15.75" customHeight="1">
      <c r="B556" s="62"/>
    </row>
    <row r="557" ht="15.75" customHeight="1">
      <c r="B557" s="62"/>
    </row>
    <row r="558" ht="15.75" customHeight="1">
      <c r="B558" s="62"/>
    </row>
    <row r="559" ht="15.75" customHeight="1">
      <c r="B559" s="62"/>
    </row>
    <row r="560" ht="15.75" customHeight="1">
      <c r="B560" s="62"/>
    </row>
    <row r="561" ht="15.75" customHeight="1">
      <c r="B561" s="62"/>
    </row>
    <row r="562" ht="15.75" customHeight="1">
      <c r="B562" s="62"/>
    </row>
    <row r="563" ht="15.75" customHeight="1">
      <c r="B563" s="62"/>
    </row>
    <row r="564" ht="15.75" customHeight="1">
      <c r="B564" s="62"/>
    </row>
    <row r="565" ht="15.75" customHeight="1">
      <c r="B565" s="62"/>
    </row>
    <row r="566" ht="15.75" customHeight="1">
      <c r="B566" s="62"/>
    </row>
    <row r="567" ht="15.75" customHeight="1">
      <c r="B567" s="62"/>
    </row>
    <row r="568" ht="15.75" customHeight="1">
      <c r="B568" s="62"/>
    </row>
    <row r="569" ht="15.75" customHeight="1">
      <c r="B569" s="62"/>
    </row>
    <row r="570" ht="15.75" customHeight="1">
      <c r="B570" s="62"/>
    </row>
    <row r="571" ht="15.75" customHeight="1">
      <c r="B571" s="62"/>
    </row>
    <row r="572" ht="15.75" customHeight="1">
      <c r="B572" s="62"/>
    </row>
    <row r="573" ht="15.75" customHeight="1">
      <c r="B573" s="62"/>
    </row>
    <row r="574" ht="15.75" customHeight="1">
      <c r="B574" s="62"/>
    </row>
    <row r="575" ht="15.75" customHeight="1">
      <c r="B575" s="62"/>
    </row>
    <row r="576" ht="15.75" customHeight="1">
      <c r="B576" s="62"/>
    </row>
    <row r="577" ht="15.75" customHeight="1">
      <c r="B577" s="62"/>
    </row>
    <row r="578" ht="15.75" customHeight="1">
      <c r="B578" s="62"/>
    </row>
    <row r="579" ht="15.75" customHeight="1">
      <c r="B579" s="62"/>
    </row>
    <row r="580" ht="15.75" customHeight="1">
      <c r="B580" s="62"/>
    </row>
    <row r="581" ht="15.75" customHeight="1">
      <c r="B581" s="62"/>
    </row>
    <row r="582" ht="15.75" customHeight="1">
      <c r="B582" s="62"/>
    </row>
    <row r="583" ht="15.75" customHeight="1">
      <c r="B583" s="62"/>
    </row>
    <row r="584" ht="15.75" customHeight="1">
      <c r="B584" s="62"/>
    </row>
    <row r="585" ht="15.75" customHeight="1">
      <c r="B585" s="62"/>
    </row>
    <row r="586" ht="15.75" customHeight="1">
      <c r="B586" s="62"/>
    </row>
    <row r="587" ht="15.75" customHeight="1">
      <c r="B587" s="62"/>
    </row>
    <row r="588" ht="15.75" customHeight="1">
      <c r="B588" s="62"/>
    </row>
    <row r="589" ht="15.75" customHeight="1">
      <c r="B589" s="62"/>
    </row>
    <row r="590" ht="15.75" customHeight="1">
      <c r="B590" s="62"/>
    </row>
    <row r="591" ht="15.75" customHeight="1">
      <c r="B591" s="62"/>
    </row>
    <row r="592" ht="15.75" customHeight="1">
      <c r="B592" s="62"/>
    </row>
    <row r="593" ht="15.75" customHeight="1">
      <c r="B593" s="62"/>
    </row>
    <row r="594" ht="15.75" customHeight="1">
      <c r="B594" s="62"/>
    </row>
    <row r="595" ht="15.75" customHeight="1">
      <c r="B595" s="62"/>
    </row>
    <row r="596" ht="15.75" customHeight="1">
      <c r="B596" s="62"/>
    </row>
    <row r="597" ht="15.75" customHeight="1">
      <c r="B597" s="62"/>
    </row>
    <row r="598" ht="15.75" customHeight="1">
      <c r="B598" s="62"/>
    </row>
    <row r="599" ht="15.75" customHeight="1">
      <c r="B599" s="62"/>
    </row>
    <row r="600" ht="15.75" customHeight="1">
      <c r="B600" s="62"/>
    </row>
    <row r="601" ht="15.75" customHeight="1">
      <c r="B601" s="62"/>
    </row>
    <row r="602" ht="15.75" customHeight="1">
      <c r="B602" s="62"/>
    </row>
    <row r="603" ht="15.75" customHeight="1">
      <c r="B603" s="62"/>
    </row>
    <row r="604" ht="15.75" customHeight="1">
      <c r="B604" s="62"/>
    </row>
    <row r="605" ht="15.75" customHeight="1">
      <c r="B605" s="62"/>
    </row>
    <row r="606" ht="15.75" customHeight="1">
      <c r="B606" s="62"/>
    </row>
    <row r="607" ht="15.75" customHeight="1">
      <c r="B607" s="62"/>
    </row>
    <row r="608" ht="15.75" customHeight="1">
      <c r="B608" s="62"/>
    </row>
    <row r="609" ht="15.75" customHeight="1">
      <c r="B609" s="62"/>
    </row>
    <row r="610" ht="15.75" customHeight="1">
      <c r="B610" s="62"/>
    </row>
    <row r="611" ht="15.75" customHeight="1">
      <c r="B611" s="62"/>
    </row>
    <row r="612" ht="15.75" customHeight="1">
      <c r="B612" s="62"/>
    </row>
    <row r="613" ht="15.75" customHeight="1">
      <c r="B613" s="62"/>
    </row>
    <row r="614" ht="15.75" customHeight="1">
      <c r="B614" s="62"/>
    </row>
    <row r="615" ht="15.75" customHeight="1">
      <c r="B615" s="62"/>
    </row>
    <row r="616" ht="15.75" customHeight="1">
      <c r="B616" s="62"/>
    </row>
    <row r="617" ht="15.75" customHeight="1">
      <c r="B617" s="62"/>
    </row>
    <row r="618" ht="15.75" customHeight="1">
      <c r="B618" s="62"/>
    </row>
    <row r="619" ht="15.75" customHeight="1">
      <c r="B619" s="62"/>
    </row>
    <row r="620" ht="15.75" customHeight="1">
      <c r="B620" s="62"/>
    </row>
    <row r="621" ht="15.75" customHeight="1">
      <c r="B621" s="62"/>
    </row>
    <row r="622" ht="15.75" customHeight="1">
      <c r="B622" s="62"/>
    </row>
    <row r="623" ht="15.75" customHeight="1">
      <c r="B623" s="62"/>
    </row>
    <row r="624" ht="15.75" customHeight="1">
      <c r="B624" s="62"/>
    </row>
    <row r="625" ht="15.75" customHeight="1">
      <c r="B625" s="62"/>
    </row>
    <row r="626" ht="15.75" customHeight="1">
      <c r="B626" s="62"/>
    </row>
    <row r="627" ht="15.75" customHeight="1">
      <c r="B627" s="62"/>
    </row>
    <row r="628" ht="15.75" customHeight="1">
      <c r="B628" s="62"/>
    </row>
    <row r="629" ht="15.75" customHeight="1">
      <c r="B629" s="62"/>
    </row>
    <row r="630" ht="15.75" customHeight="1">
      <c r="B630" s="62"/>
    </row>
    <row r="631" ht="15.75" customHeight="1">
      <c r="B631" s="62"/>
    </row>
    <row r="632" ht="15.75" customHeight="1">
      <c r="B632" s="62"/>
    </row>
    <row r="633" ht="15.75" customHeight="1">
      <c r="B633" s="62"/>
    </row>
    <row r="634" ht="15.75" customHeight="1">
      <c r="B634" s="62"/>
    </row>
    <row r="635" ht="15.75" customHeight="1">
      <c r="B635" s="62"/>
    </row>
    <row r="636" ht="15.75" customHeight="1">
      <c r="B636" s="62"/>
    </row>
    <row r="637" ht="15.75" customHeight="1">
      <c r="B637" s="62"/>
    </row>
    <row r="638" ht="15.75" customHeight="1">
      <c r="B638" s="62"/>
    </row>
    <row r="639" ht="15.75" customHeight="1">
      <c r="B639" s="62"/>
    </row>
    <row r="640" ht="15.75" customHeight="1">
      <c r="B640" s="62"/>
    </row>
    <row r="641" ht="15.75" customHeight="1">
      <c r="B641" s="62"/>
    </row>
    <row r="642" ht="15.75" customHeight="1">
      <c r="B642" s="62"/>
    </row>
    <row r="643" ht="15.75" customHeight="1">
      <c r="B643" s="62"/>
    </row>
    <row r="644" ht="15.75" customHeight="1">
      <c r="B644" s="62"/>
    </row>
    <row r="645" ht="15.75" customHeight="1">
      <c r="B645" s="62"/>
    </row>
    <row r="646" ht="15.75" customHeight="1">
      <c r="B646" s="62"/>
    </row>
    <row r="647" ht="15.75" customHeight="1">
      <c r="B647" s="62"/>
    </row>
    <row r="648" ht="15.75" customHeight="1">
      <c r="B648" s="62"/>
    </row>
    <row r="649" ht="15.75" customHeight="1">
      <c r="B649" s="62"/>
    </row>
    <row r="650" ht="15.75" customHeight="1">
      <c r="B650" s="62"/>
    </row>
    <row r="651" ht="15.75" customHeight="1">
      <c r="B651" s="62"/>
    </row>
    <row r="652" ht="15.75" customHeight="1">
      <c r="B652" s="62"/>
    </row>
    <row r="653" ht="15.75" customHeight="1">
      <c r="B653" s="62"/>
    </row>
    <row r="654" ht="15.75" customHeight="1">
      <c r="B654" s="62"/>
    </row>
    <row r="655" ht="15.75" customHeight="1">
      <c r="B655" s="62"/>
    </row>
    <row r="656" ht="15.75" customHeight="1">
      <c r="B656" s="62"/>
    </row>
    <row r="657" ht="15.75" customHeight="1">
      <c r="B657" s="62"/>
    </row>
    <row r="658" ht="15.75" customHeight="1">
      <c r="B658" s="62"/>
    </row>
    <row r="659" ht="15.75" customHeight="1">
      <c r="B659" s="62"/>
    </row>
    <row r="660" ht="15.75" customHeight="1">
      <c r="B660" s="62"/>
    </row>
    <row r="661" ht="15.75" customHeight="1">
      <c r="B661" s="62"/>
    </row>
    <row r="662" ht="15.75" customHeight="1">
      <c r="B662" s="62"/>
    </row>
    <row r="663" ht="15.75" customHeight="1">
      <c r="B663" s="62"/>
    </row>
    <row r="664" ht="15.75" customHeight="1">
      <c r="B664" s="62"/>
    </row>
    <row r="665" ht="15.75" customHeight="1">
      <c r="B665" s="62"/>
    </row>
    <row r="666" ht="15.75" customHeight="1">
      <c r="B666" s="62"/>
    </row>
    <row r="667" ht="15.75" customHeight="1">
      <c r="B667" s="62"/>
    </row>
    <row r="668" ht="15.75" customHeight="1">
      <c r="B668" s="62"/>
    </row>
    <row r="669" ht="15.75" customHeight="1">
      <c r="B669" s="62"/>
    </row>
    <row r="670" ht="15.75" customHeight="1">
      <c r="B670" s="62"/>
    </row>
    <row r="671" ht="15.75" customHeight="1">
      <c r="B671" s="62"/>
    </row>
    <row r="672" ht="15.75" customHeight="1">
      <c r="B672" s="62"/>
    </row>
    <row r="673" ht="15.75" customHeight="1">
      <c r="B673" s="62"/>
    </row>
    <row r="674" ht="15.75" customHeight="1">
      <c r="B674" s="62"/>
    </row>
    <row r="675" ht="15.75" customHeight="1">
      <c r="B675" s="62"/>
    </row>
    <row r="676" ht="15.75" customHeight="1">
      <c r="B676" s="62"/>
    </row>
    <row r="677" ht="15.75" customHeight="1">
      <c r="B677" s="62"/>
    </row>
    <row r="678" ht="15.75" customHeight="1">
      <c r="B678" s="62"/>
    </row>
    <row r="679" ht="15.75" customHeight="1">
      <c r="B679" s="62"/>
    </row>
    <row r="680" ht="15.75" customHeight="1">
      <c r="B680" s="62"/>
    </row>
    <row r="681" ht="15.75" customHeight="1">
      <c r="B681" s="62"/>
    </row>
    <row r="682" ht="15.75" customHeight="1">
      <c r="B682" s="62"/>
    </row>
    <row r="683" ht="15.75" customHeight="1">
      <c r="B683" s="62"/>
    </row>
    <row r="684" ht="15.75" customHeight="1">
      <c r="B684" s="62"/>
    </row>
    <row r="685" ht="15.75" customHeight="1">
      <c r="B685" s="62"/>
    </row>
    <row r="686" ht="15.75" customHeight="1">
      <c r="B686" s="62"/>
    </row>
    <row r="687" ht="15.75" customHeight="1">
      <c r="B687" s="62"/>
    </row>
    <row r="688" ht="15.75" customHeight="1">
      <c r="B688" s="62"/>
    </row>
    <row r="689" ht="15.75" customHeight="1">
      <c r="B689" s="62"/>
    </row>
    <row r="690" ht="15.75" customHeight="1">
      <c r="B690" s="62"/>
    </row>
    <row r="691" ht="15.75" customHeight="1">
      <c r="B691" s="62"/>
    </row>
    <row r="692" ht="15.75" customHeight="1">
      <c r="B692" s="62"/>
    </row>
    <row r="693" ht="15.75" customHeight="1">
      <c r="B693" s="62"/>
    </row>
    <row r="694" ht="15.75" customHeight="1">
      <c r="B694" s="62"/>
    </row>
    <row r="695" ht="15.75" customHeight="1">
      <c r="B695" s="62"/>
    </row>
    <row r="696" ht="15.75" customHeight="1">
      <c r="B696" s="62"/>
    </row>
    <row r="697" ht="15.75" customHeight="1">
      <c r="B697" s="62"/>
    </row>
    <row r="698" ht="15.75" customHeight="1">
      <c r="B698" s="62"/>
    </row>
    <row r="699" ht="15.75" customHeight="1">
      <c r="B699" s="62"/>
    </row>
    <row r="700" ht="15.75" customHeight="1">
      <c r="B700" s="62"/>
    </row>
    <row r="701" ht="15.75" customHeight="1">
      <c r="B701" s="62"/>
    </row>
    <row r="702" ht="15.75" customHeight="1">
      <c r="B702" s="62"/>
    </row>
    <row r="703" ht="15.75" customHeight="1">
      <c r="B703" s="62"/>
    </row>
    <row r="704" ht="15.75" customHeight="1">
      <c r="B704" s="62"/>
    </row>
    <row r="705" ht="15.75" customHeight="1">
      <c r="B705" s="62"/>
    </row>
    <row r="706" ht="15.75" customHeight="1">
      <c r="B706" s="62"/>
    </row>
    <row r="707" ht="15.75" customHeight="1">
      <c r="B707" s="62"/>
    </row>
    <row r="708" ht="15.75" customHeight="1">
      <c r="B708" s="62"/>
    </row>
    <row r="709" ht="15.75" customHeight="1">
      <c r="B709" s="62"/>
    </row>
    <row r="710" ht="15.75" customHeight="1">
      <c r="B710" s="62"/>
    </row>
    <row r="711" ht="15.75" customHeight="1">
      <c r="B711" s="62"/>
    </row>
    <row r="712" ht="15.75" customHeight="1">
      <c r="B712" s="62"/>
    </row>
    <row r="713" ht="15.75" customHeight="1">
      <c r="B713" s="62"/>
    </row>
    <row r="714" ht="15.75" customHeight="1">
      <c r="B714" s="62"/>
    </row>
    <row r="715" ht="15.75" customHeight="1">
      <c r="B715" s="62"/>
    </row>
    <row r="716" ht="15.75" customHeight="1">
      <c r="B716" s="62"/>
    </row>
    <row r="717" ht="15.75" customHeight="1">
      <c r="B717" s="62"/>
    </row>
    <row r="718" ht="15.75" customHeight="1">
      <c r="B718" s="62"/>
    </row>
    <row r="719" ht="15.75" customHeight="1">
      <c r="B719" s="62"/>
    </row>
    <row r="720" ht="15.75" customHeight="1">
      <c r="B720" s="62"/>
    </row>
    <row r="721" ht="15.75" customHeight="1">
      <c r="B721" s="62"/>
    </row>
    <row r="722" ht="15.75" customHeight="1">
      <c r="B722" s="62"/>
    </row>
    <row r="723" ht="15.75" customHeight="1">
      <c r="B723" s="62"/>
    </row>
    <row r="724" ht="15.75" customHeight="1">
      <c r="B724" s="62"/>
    </row>
    <row r="725" ht="15.75" customHeight="1">
      <c r="B725" s="62"/>
    </row>
    <row r="726" ht="15.75" customHeight="1">
      <c r="B726" s="62"/>
    </row>
    <row r="727" ht="15.75" customHeight="1">
      <c r="B727" s="62"/>
    </row>
    <row r="728" ht="15.75" customHeight="1">
      <c r="B728" s="62"/>
    </row>
    <row r="729" ht="15.75" customHeight="1">
      <c r="B729" s="62"/>
    </row>
    <row r="730" ht="15.75" customHeight="1">
      <c r="B730" s="62"/>
    </row>
    <row r="731" ht="15.75" customHeight="1">
      <c r="B731" s="62"/>
    </row>
    <row r="732" ht="15.75" customHeight="1">
      <c r="B732" s="62"/>
    </row>
    <row r="733" ht="15.75" customHeight="1">
      <c r="B733" s="62"/>
    </row>
    <row r="734" ht="15.75" customHeight="1">
      <c r="B734" s="62"/>
    </row>
    <row r="735" ht="15.75" customHeight="1">
      <c r="B735" s="62"/>
    </row>
    <row r="736" ht="15.75" customHeight="1">
      <c r="B736" s="62"/>
    </row>
    <row r="737" ht="15.75" customHeight="1">
      <c r="B737" s="62"/>
    </row>
    <row r="738" ht="15.75" customHeight="1">
      <c r="B738" s="62"/>
    </row>
    <row r="739" ht="15.75" customHeight="1">
      <c r="B739" s="62"/>
    </row>
    <row r="740" ht="15.75" customHeight="1">
      <c r="B740" s="62"/>
    </row>
    <row r="741" ht="15.75" customHeight="1">
      <c r="B741" s="62"/>
    </row>
    <row r="742" ht="15.75" customHeight="1">
      <c r="B742" s="62"/>
    </row>
    <row r="743" ht="15.75" customHeight="1">
      <c r="B743" s="62"/>
    </row>
    <row r="744" ht="15.75" customHeight="1">
      <c r="B744" s="62"/>
    </row>
    <row r="745" ht="15.75" customHeight="1">
      <c r="B745" s="62"/>
    </row>
    <row r="746" ht="15.75" customHeight="1">
      <c r="B746" s="62"/>
    </row>
    <row r="747" ht="15.75" customHeight="1">
      <c r="B747" s="62"/>
    </row>
    <row r="748" ht="15.75" customHeight="1">
      <c r="B748" s="62"/>
    </row>
    <row r="749" ht="15.75" customHeight="1">
      <c r="B749" s="62"/>
    </row>
    <row r="750" ht="15.75" customHeight="1">
      <c r="B750" s="62"/>
    </row>
    <row r="751" ht="15.75" customHeight="1">
      <c r="B751" s="62"/>
    </row>
    <row r="752" ht="15.75" customHeight="1">
      <c r="B752" s="62"/>
    </row>
    <row r="753" ht="15.75" customHeight="1">
      <c r="B753" s="62"/>
    </row>
    <row r="754" ht="15.75" customHeight="1">
      <c r="B754" s="62"/>
    </row>
    <row r="755" ht="15.75" customHeight="1">
      <c r="B755" s="62"/>
    </row>
    <row r="756" ht="15.75" customHeight="1">
      <c r="B756" s="62"/>
    </row>
    <row r="757" ht="15.75" customHeight="1">
      <c r="B757" s="62"/>
    </row>
    <row r="758" ht="15.75" customHeight="1">
      <c r="B758" s="62"/>
    </row>
    <row r="759" ht="15.75" customHeight="1">
      <c r="B759" s="62"/>
    </row>
    <row r="760" ht="15.75" customHeight="1">
      <c r="B760" s="62"/>
    </row>
    <row r="761" ht="15.75" customHeight="1">
      <c r="B761" s="62"/>
    </row>
    <row r="762" ht="15.75" customHeight="1">
      <c r="B762" s="62"/>
    </row>
    <row r="763" ht="15.75" customHeight="1">
      <c r="B763" s="62"/>
    </row>
    <row r="764" ht="15.75" customHeight="1">
      <c r="B764" s="62"/>
    </row>
    <row r="765" ht="15.75" customHeight="1">
      <c r="B765" s="62"/>
    </row>
    <row r="766" ht="15.75" customHeight="1">
      <c r="B766" s="62"/>
    </row>
    <row r="767" ht="15.75" customHeight="1">
      <c r="B767" s="62"/>
    </row>
    <row r="768" ht="15.75" customHeight="1">
      <c r="B768" s="62"/>
    </row>
    <row r="769" ht="15.75" customHeight="1">
      <c r="B769" s="62"/>
    </row>
    <row r="770" ht="15.75" customHeight="1">
      <c r="B770" s="62"/>
    </row>
    <row r="771" ht="15.75" customHeight="1">
      <c r="B771" s="62"/>
    </row>
    <row r="772" ht="15.75" customHeight="1">
      <c r="B772" s="62"/>
    </row>
    <row r="773" ht="15.75" customHeight="1">
      <c r="B773" s="62"/>
    </row>
    <row r="774" ht="15.75" customHeight="1">
      <c r="B774" s="62"/>
    </row>
    <row r="775" ht="15.75" customHeight="1">
      <c r="B775" s="62"/>
    </row>
    <row r="776" ht="15.75" customHeight="1">
      <c r="B776" s="62"/>
    </row>
    <row r="777" ht="15.75" customHeight="1">
      <c r="B777" s="62"/>
    </row>
    <row r="778" ht="15.75" customHeight="1">
      <c r="B778" s="62"/>
    </row>
    <row r="779" ht="15.75" customHeight="1">
      <c r="B779" s="62"/>
    </row>
    <row r="780" ht="15.75" customHeight="1">
      <c r="B780" s="62"/>
    </row>
    <row r="781" ht="15.75" customHeight="1">
      <c r="B781" s="62"/>
    </row>
    <row r="782" ht="15.75" customHeight="1">
      <c r="B782" s="62"/>
    </row>
    <row r="783" ht="15.75" customHeight="1">
      <c r="B783" s="62"/>
    </row>
    <row r="784" ht="15.75" customHeight="1">
      <c r="B784" s="62"/>
    </row>
    <row r="785" ht="15.75" customHeight="1">
      <c r="B785" s="62"/>
    </row>
    <row r="786" ht="15.75" customHeight="1">
      <c r="B786" s="62"/>
    </row>
    <row r="787" ht="15.75" customHeight="1">
      <c r="B787" s="62"/>
    </row>
    <row r="788" ht="15.75" customHeight="1">
      <c r="B788" s="62"/>
    </row>
    <row r="789" ht="15.75" customHeight="1">
      <c r="B789" s="62"/>
    </row>
    <row r="790" ht="15.75" customHeight="1">
      <c r="B790" s="62"/>
    </row>
    <row r="791" ht="15.75" customHeight="1">
      <c r="B791" s="62"/>
    </row>
    <row r="792" ht="15.75" customHeight="1">
      <c r="B792" s="62"/>
    </row>
    <row r="793" ht="15.75" customHeight="1">
      <c r="B793" s="62"/>
    </row>
    <row r="794" ht="15.75" customHeight="1">
      <c r="B794" s="62"/>
    </row>
    <row r="795" ht="15.75" customHeight="1">
      <c r="B795" s="62"/>
    </row>
    <row r="796" ht="15.75" customHeight="1">
      <c r="B796" s="62"/>
    </row>
    <row r="797" ht="15.75" customHeight="1">
      <c r="B797" s="62"/>
    </row>
    <row r="798" ht="15.75" customHeight="1">
      <c r="B798" s="62"/>
    </row>
    <row r="799" ht="15.75" customHeight="1">
      <c r="B799" s="62"/>
    </row>
    <row r="800" ht="15.75" customHeight="1">
      <c r="B800" s="62"/>
    </row>
    <row r="801" ht="15.75" customHeight="1">
      <c r="B801" s="62"/>
    </row>
    <row r="802" ht="15.75" customHeight="1">
      <c r="B802" s="62"/>
    </row>
    <row r="803" ht="15.75" customHeight="1">
      <c r="B803" s="62"/>
    </row>
    <row r="804" ht="15.75" customHeight="1">
      <c r="B804" s="62"/>
    </row>
    <row r="805" ht="15.75" customHeight="1">
      <c r="B805" s="62"/>
    </row>
    <row r="806" ht="15.75" customHeight="1">
      <c r="B806" s="62"/>
    </row>
    <row r="807" ht="15.75" customHeight="1">
      <c r="B807" s="62"/>
    </row>
    <row r="808" ht="15.75" customHeight="1">
      <c r="B808" s="62"/>
    </row>
    <row r="809" ht="15.75" customHeight="1">
      <c r="B809" s="62"/>
    </row>
    <row r="810" ht="15.75" customHeight="1">
      <c r="B810" s="62"/>
    </row>
    <row r="811" ht="15.75" customHeight="1">
      <c r="B811" s="62"/>
    </row>
    <row r="812" ht="15.75" customHeight="1">
      <c r="B812" s="62"/>
    </row>
    <row r="813" ht="15.75" customHeight="1">
      <c r="B813" s="62"/>
    </row>
    <row r="814" ht="15.75" customHeight="1">
      <c r="B814" s="62"/>
    </row>
    <row r="815" ht="15.75" customHeight="1">
      <c r="B815" s="62"/>
    </row>
    <row r="816" ht="15.75" customHeight="1">
      <c r="B816" s="62"/>
    </row>
    <row r="817" ht="15.75" customHeight="1">
      <c r="B817" s="62"/>
    </row>
    <row r="818" ht="15.75" customHeight="1">
      <c r="B818" s="62"/>
    </row>
    <row r="819" ht="15.75" customHeight="1">
      <c r="B819" s="62"/>
    </row>
    <row r="820" ht="15.75" customHeight="1">
      <c r="B820" s="62"/>
    </row>
    <row r="821" ht="15.75" customHeight="1">
      <c r="B821" s="62"/>
    </row>
    <row r="822" ht="15.75" customHeight="1">
      <c r="B822" s="62"/>
    </row>
    <row r="823" ht="15.75" customHeight="1">
      <c r="B823" s="62"/>
    </row>
    <row r="824" ht="15.75" customHeight="1">
      <c r="B824" s="62"/>
    </row>
    <row r="825" ht="15.75" customHeight="1">
      <c r="B825" s="62"/>
    </row>
    <row r="826" ht="15.75" customHeight="1">
      <c r="B826" s="62"/>
    </row>
    <row r="827" ht="15.75" customHeight="1">
      <c r="B827" s="62"/>
    </row>
    <row r="828" ht="15.75" customHeight="1">
      <c r="B828" s="62"/>
    </row>
    <row r="829" ht="15.75" customHeight="1">
      <c r="B829" s="62"/>
    </row>
    <row r="830" ht="15.75" customHeight="1">
      <c r="B830" s="62"/>
    </row>
    <row r="831" ht="15.75" customHeight="1">
      <c r="B831" s="62"/>
    </row>
    <row r="832" ht="15.75" customHeight="1">
      <c r="B832" s="62"/>
    </row>
    <row r="833" ht="15.75" customHeight="1">
      <c r="B833" s="62"/>
    </row>
    <row r="834" ht="15.75" customHeight="1">
      <c r="B834" s="62"/>
    </row>
    <row r="835" ht="15.75" customHeight="1">
      <c r="B835" s="62"/>
    </row>
    <row r="836" ht="15.75" customHeight="1">
      <c r="B836" s="62"/>
    </row>
    <row r="837" ht="15.75" customHeight="1">
      <c r="B837" s="62"/>
    </row>
    <row r="838" ht="15.75" customHeight="1">
      <c r="B838" s="62"/>
    </row>
    <row r="839" ht="15.75" customHeight="1">
      <c r="B839" s="62"/>
    </row>
    <row r="840" ht="15.75" customHeight="1">
      <c r="B840" s="62"/>
    </row>
    <row r="841" ht="15.75" customHeight="1">
      <c r="B841" s="62"/>
    </row>
    <row r="842" ht="15.75" customHeight="1">
      <c r="B842" s="62"/>
    </row>
    <row r="843" ht="15.75" customHeight="1">
      <c r="B843" s="62"/>
    </row>
    <row r="844" ht="15.75" customHeight="1">
      <c r="B844" s="62"/>
    </row>
    <row r="845" ht="15.75" customHeight="1">
      <c r="B845" s="62"/>
    </row>
    <row r="846" ht="15.75" customHeight="1">
      <c r="B846" s="62"/>
    </row>
    <row r="847" ht="15.75" customHeight="1">
      <c r="B847" s="62"/>
    </row>
    <row r="848" ht="15.75" customHeight="1">
      <c r="B848" s="62"/>
    </row>
    <row r="849" ht="15.75" customHeight="1">
      <c r="B849" s="62"/>
    </row>
    <row r="850" ht="15.75" customHeight="1">
      <c r="B850" s="62"/>
    </row>
    <row r="851" ht="15.75" customHeight="1">
      <c r="B851" s="62"/>
    </row>
    <row r="852" ht="15.75" customHeight="1">
      <c r="B852" s="62"/>
    </row>
    <row r="853" ht="15.75" customHeight="1">
      <c r="B853" s="62"/>
    </row>
    <row r="854" ht="15.75" customHeight="1">
      <c r="B854" s="62"/>
    </row>
    <row r="855" ht="15.75" customHeight="1">
      <c r="B855" s="62"/>
    </row>
    <row r="856" ht="15.75" customHeight="1">
      <c r="B856" s="62"/>
    </row>
    <row r="857" ht="15.75" customHeight="1">
      <c r="B857" s="62"/>
    </row>
    <row r="858" ht="15.75" customHeight="1">
      <c r="B858" s="62"/>
    </row>
    <row r="859" ht="15.75" customHeight="1">
      <c r="B859" s="62"/>
    </row>
    <row r="860" ht="15.75" customHeight="1">
      <c r="B860" s="62"/>
    </row>
    <row r="861" ht="15.75" customHeight="1">
      <c r="B861" s="62"/>
    </row>
    <row r="862" ht="15.75" customHeight="1">
      <c r="B862" s="62"/>
    </row>
    <row r="863" ht="15.75" customHeight="1">
      <c r="B863" s="62"/>
    </row>
    <row r="864" ht="15.75" customHeight="1">
      <c r="B864" s="62"/>
    </row>
    <row r="865" ht="15.75" customHeight="1">
      <c r="B865" s="62"/>
    </row>
    <row r="866" ht="15.75" customHeight="1">
      <c r="B866" s="62"/>
    </row>
    <row r="867" ht="15.75" customHeight="1">
      <c r="B867" s="62"/>
    </row>
    <row r="868" ht="15.75" customHeight="1">
      <c r="B868" s="62"/>
    </row>
    <row r="869" ht="15.75" customHeight="1">
      <c r="B869" s="62"/>
    </row>
    <row r="870" ht="15.75" customHeight="1">
      <c r="B870" s="62"/>
    </row>
    <row r="871" ht="15.75" customHeight="1">
      <c r="B871" s="62"/>
    </row>
    <row r="872" ht="15.75" customHeight="1">
      <c r="B872" s="62"/>
    </row>
    <row r="873" ht="15.75" customHeight="1">
      <c r="B873" s="62"/>
    </row>
    <row r="874" ht="15.75" customHeight="1">
      <c r="B874" s="62"/>
    </row>
    <row r="875" ht="15.75" customHeight="1">
      <c r="B875" s="62"/>
    </row>
    <row r="876" ht="15.75" customHeight="1">
      <c r="B876" s="62"/>
    </row>
    <row r="877" ht="15.75" customHeight="1">
      <c r="B877" s="62"/>
    </row>
    <row r="878" ht="15.75" customHeight="1">
      <c r="B878" s="62"/>
    </row>
    <row r="879" ht="15.75" customHeight="1">
      <c r="B879" s="62"/>
    </row>
    <row r="880" ht="15.75" customHeight="1">
      <c r="B880" s="62"/>
    </row>
    <row r="881" ht="15.75" customHeight="1">
      <c r="B881" s="62"/>
    </row>
    <row r="882" ht="15.75" customHeight="1">
      <c r="B882" s="62"/>
    </row>
    <row r="883" ht="15.75" customHeight="1">
      <c r="B883" s="62"/>
    </row>
    <row r="884" ht="15.75" customHeight="1">
      <c r="B884" s="62"/>
    </row>
    <row r="885" ht="15.75" customHeight="1">
      <c r="B885" s="62"/>
    </row>
    <row r="886" ht="15.75" customHeight="1">
      <c r="B886" s="62"/>
    </row>
    <row r="887" ht="15.75" customHeight="1">
      <c r="B887" s="62"/>
    </row>
    <row r="888" ht="15.75" customHeight="1">
      <c r="B888" s="62"/>
    </row>
    <row r="889" ht="15.75" customHeight="1">
      <c r="B889" s="62"/>
    </row>
    <row r="890" ht="15.75" customHeight="1">
      <c r="B890" s="62"/>
    </row>
    <row r="891" ht="15.75" customHeight="1">
      <c r="B891" s="62"/>
    </row>
    <row r="892" ht="15.75" customHeight="1">
      <c r="B892" s="62"/>
    </row>
    <row r="893" ht="15.75" customHeight="1">
      <c r="B893" s="62"/>
    </row>
    <row r="894" ht="15.75" customHeight="1">
      <c r="B894" s="62"/>
    </row>
    <row r="895" ht="15.75" customHeight="1">
      <c r="B895" s="62"/>
    </row>
    <row r="896" ht="15.75" customHeight="1">
      <c r="B896" s="62"/>
    </row>
    <row r="897" ht="15.75" customHeight="1">
      <c r="B897" s="62"/>
    </row>
    <row r="898" ht="15.75" customHeight="1">
      <c r="B898" s="62"/>
    </row>
    <row r="899" ht="15.75" customHeight="1">
      <c r="B899" s="62"/>
    </row>
    <row r="900" ht="15.75" customHeight="1">
      <c r="B900" s="62"/>
    </row>
    <row r="901" ht="15.75" customHeight="1">
      <c r="B901" s="62"/>
    </row>
    <row r="902" ht="15.75" customHeight="1">
      <c r="B902" s="62"/>
    </row>
    <row r="903" ht="15.75" customHeight="1">
      <c r="B903" s="62"/>
    </row>
    <row r="904" ht="15.75" customHeight="1">
      <c r="B904" s="62"/>
    </row>
    <row r="905" ht="15.75" customHeight="1">
      <c r="B905" s="62"/>
    </row>
    <row r="906" ht="15.75" customHeight="1">
      <c r="B906" s="62"/>
    </row>
    <row r="907" ht="15.75" customHeight="1">
      <c r="B907" s="62"/>
    </row>
    <row r="908" ht="15.75" customHeight="1">
      <c r="B908" s="62"/>
    </row>
    <row r="909" ht="15.75" customHeight="1">
      <c r="B909" s="62"/>
    </row>
    <row r="910" ht="15.75" customHeight="1">
      <c r="B910" s="62"/>
    </row>
    <row r="911" ht="15.75" customHeight="1">
      <c r="B911" s="62"/>
    </row>
    <row r="912" ht="15.75" customHeight="1">
      <c r="B912" s="62"/>
    </row>
    <row r="913" ht="15.75" customHeight="1">
      <c r="B913" s="62"/>
    </row>
    <row r="914" ht="15.75" customHeight="1">
      <c r="B914" s="62"/>
    </row>
    <row r="915" ht="15.75" customHeight="1">
      <c r="B915" s="62"/>
    </row>
    <row r="916" ht="15.75" customHeight="1">
      <c r="B916" s="62"/>
    </row>
    <row r="917" ht="15.75" customHeight="1">
      <c r="B917" s="62"/>
    </row>
    <row r="918" ht="15.75" customHeight="1">
      <c r="B918" s="62"/>
    </row>
    <row r="919" ht="15.75" customHeight="1">
      <c r="B919" s="62"/>
    </row>
    <row r="920" ht="15.75" customHeight="1">
      <c r="B920" s="62"/>
    </row>
    <row r="921" ht="15.75" customHeight="1">
      <c r="B921" s="62"/>
    </row>
    <row r="922" ht="15.75" customHeight="1">
      <c r="B922" s="62"/>
    </row>
    <row r="923" ht="15.75" customHeight="1">
      <c r="B923" s="62"/>
    </row>
    <row r="924" ht="15.75" customHeight="1">
      <c r="B924" s="62"/>
    </row>
    <row r="925" ht="15.75" customHeight="1">
      <c r="B925" s="62"/>
    </row>
    <row r="926" ht="15.75" customHeight="1">
      <c r="B926" s="62"/>
    </row>
    <row r="927" ht="15.75" customHeight="1">
      <c r="B927" s="62"/>
    </row>
    <row r="928" ht="15.75" customHeight="1">
      <c r="B928" s="62"/>
    </row>
    <row r="929" ht="15.75" customHeight="1">
      <c r="B929" s="62"/>
    </row>
    <row r="930" ht="15.75" customHeight="1">
      <c r="B930" s="62"/>
    </row>
    <row r="931" ht="15.75" customHeight="1">
      <c r="B931" s="62"/>
    </row>
    <row r="932" ht="15.75" customHeight="1">
      <c r="B932" s="62"/>
    </row>
    <row r="933" ht="15.75" customHeight="1">
      <c r="B933" s="62"/>
    </row>
    <row r="934" ht="15.75" customHeight="1">
      <c r="B934" s="62"/>
    </row>
    <row r="935" ht="15.75" customHeight="1">
      <c r="B935" s="62"/>
    </row>
    <row r="936" ht="15.75" customHeight="1">
      <c r="B936" s="62"/>
    </row>
    <row r="937" ht="15.75" customHeight="1">
      <c r="B937" s="62"/>
    </row>
    <row r="938" ht="15.75" customHeight="1">
      <c r="B938" s="62"/>
    </row>
    <row r="939" ht="15.75" customHeight="1">
      <c r="B939" s="62"/>
    </row>
    <row r="940" ht="15.75" customHeight="1">
      <c r="B940" s="62"/>
    </row>
    <row r="941" ht="15.75" customHeight="1">
      <c r="B941" s="62"/>
    </row>
    <row r="942" ht="15.75" customHeight="1">
      <c r="B942" s="62"/>
    </row>
    <row r="943" ht="15.75" customHeight="1">
      <c r="B943" s="62"/>
    </row>
    <row r="944" ht="15.75" customHeight="1">
      <c r="B944" s="62"/>
    </row>
    <row r="945" ht="15.75" customHeight="1">
      <c r="B945" s="62"/>
    </row>
    <row r="946" ht="15.75" customHeight="1">
      <c r="B946" s="62"/>
    </row>
    <row r="947" ht="15.75" customHeight="1">
      <c r="B947" s="62"/>
    </row>
    <row r="948" ht="15.75" customHeight="1">
      <c r="B948" s="62"/>
    </row>
    <row r="949" ht="15.75" customHeight="1">
      <c r="B949" s="62"/>
    </row>
    <row r="950" ht="15.75" customHeight="1">
      <c r="B950" s="62"/>
    </row>
    <row r="951" ht="15.75" customHeight="1">
      <c r="B951" s="62"/>
    </row>
    <row r="952" ht="15.75" customHeight="1">
      <c r="B952" s="62"/>
    </row>
    <row r="953" ht="15.75" customHeight="1">
      <c r="B953" s="62"/>
    </row>
    <row r="954" ht="15.75" customHeight="1">
      <c r="B954" s="62"/>
    </row>
    <row r="955" ht="15.75" customHeight="1">
      <c r="B955" s="62"/>
    </row>
    <row r="956" ht="15.75" customHeight="1">
      <c r="B956" s="62"/>
    </row>
    <row r="957" ht="15.75" customHeight="1">
      <c r="B957" s="62"/>
    </row>
    <row r="958" ht="15.75" customHeight="1">
      <c r="B958" s="62"/>
    </row>
    <row r="959" ht="15.75" customHeight="1">
      <c r="B959" s="62"/>
    </row>
    <row r="960" ht="15.75" customHeight="1">
      <c r="B960" s="62"/>
    </row>
    <row r="961" ht="15.75" customHeight="1">
      <c r="B961" s="62"/>
    </row>
    <row r="962" ht="15.75" customHeight="1">
      <c r="B962" s="62"/>
    </row>
    <row r="963" ht="15.75" customHeight="1">
      <c r="B963" s="62"/>
    </row>
    <row r="964" ht="15.75" customHeight="1">
      <c r="B964" s="62"/>
    </row>
    <row r="965" ht="15.75" customHeight="1">
      <c r="B965" s="62"/>
    </row>
    <row r="966" ht="15.75" customHeight="1">
      <c r="B966" s="62"/>
    </row>
    <row r="967" ht="15.75" customHeight="1">
      <c r="B967" s="62"/>
    </row>
    <row r="968" ht="15.75" customHeight="1">
      <c r="B968" s="62"/>
    </row>
    <row r="969" ht="15.75" customHeight="1">
      <c r="B969" s="62"/>
    </row>
    <row r="970" ht="15.75" customHeight="1">
      <c r="B970" s="62"/>
    </row>
    <row r="971" ht="15.75" customHeight="1">
      <c r="B971" s="62"/>
    </row>
    <row r="972" ht="15.75" customHeight="1">
      <c r="B972" s="62"/>
    </row>
    <row r="973" ht="15.75" customHeight="1">
      <c r="B973" s="62"/>
    </row>
    <row r="974" ht="15.75" customHeight="1">
      <c r="B974" s="62"/>
    </row>
    <row r="975" ht="15.75" customHeight="1">
      <c r="B975" s="62"/>
    </row>
    <row r="976" ht="15.75" customHeight="1">
      <c r="B976" s="62"/>
    </row>
    <row r="977" ht="15.75" customHeight="1">
      <c r="B977" s="62"/>
    </row>
    <row r="978" ht="15.75" customHeight="1">
      <c r="B978" s="62"/>
    </row>
    <row r="979" ht="15.75" customHeight="1">
      <c r="B979" s="62"/>
    </row>
    <row r="980" ht="15.75" customHeight="1">
      <c r="B980" s="62"/>
    </row>
    <row r="981" ht="15.75" customHeight="1">
      <c r="B981" s="62"/>
    </row>
    <row r="982" ht="15.75" customHeight="1">
      <c r="B982" s="62"/>
    </row>
    <row r="983" ht="15.75" customHeight="1">
      <c r="B983" s="62"/>
    </row>
    <row r="984" ht="15.75" customHeight="1">
      <c r="B984" s="62"/>
    </row>
    <row r="985" ht="15.75" customHeight="1">
      <c r="B985" s="62"/>
    </row>
    <row r="986" ht="15.75" customHeight="1">
      <c r="B986" s="62"/>
    </row>
    <row r="987" ht="15.75" customHeight="1">
      <c r="B987" s="62"/>
    </row>
    <row r="988" ht="15.75" customHeight="1">
      <c r="B988" s="62"/>
    </row>
    <row r="989" ht="15.75" customHeight="1">
      <c r="B989" s="62"/>
    </row>
    <row r="990" ht="15.75" customHeight="1">
      <c r="B990" s="62"/>
    </row>
    <row r="991" ht="15.75" customHeight="1">
      <c r="B991" s="62"/>
    </row>
    <row r="992" ht="15.75" customHeight="1">
      <c r="B992" s="62"/>
    </row>
    <row r="993" ht="15.75" customHeight="1">
      <c r="B993" s="62"/>
    </row>
    <row r="994" ht="15.75" customHeight="1">
      <c r="B994" s="62"/>
    </row>
    <row r="995" ht="15.75" customHeight="1">
      <c r="B995" s="62"/>
    </row>
    <row r="996" ht="15.75" customHeight="1">
      <c r="B996" s="62"/>
    </row>
    <row r="997" ht="15.75" customHeight="1">
      <c r="B997" s="62"/>
    </row>
    <row r="998" ht="15.75" customHeight="1">
      <c r="B998" s="62"/>
    </row>
    <row r="999" ht="15.75" customHeight="1">
      <c r="B999" s="62"/>
    </row>
    <row r="1000" ht="15.75" customHeight="1">
      <c r="B1000" s="62"/>
    </row>
  </sheetData>
  <mergeCells count="21">
    <mergeCell ref="B37:B38"/>
    <mergeCell ref="C37:G38"/>
    <mergeCell ref="A1:H1"/>
    <mergeCell ref="A3:A42"/>
    <mergeCell ref="H3:H42"/>
    <mergeCell ref="B4:B23"/>
    <mergeCell ref="B31:B32"/>
    <mergeCell ref="C31:G32"/>
    <mergeCell ref="B33:B36"/>
    <mergeCell ref="A64:G64"/>
    <mergeCell ref="A65:G65"/>
    <mergeCell ref="A66:G66"/>
    <mergeCell ref="A67:G67"/>
    <mergeCell ref="A68:G68"/>
    <mergeCell ref="A57:G57"/>
    <mergeCell ref="A58:G58"/>
    <mergeCell ref="A59:G59"/>
    <mergeCell ref="A60:G60"/>
    <mergeCell ref="A61:G61"/>
    <mergeCell ref="A62:G62"/>
    <mergeCell ref="A63:G63"/>
  </mergeCells>
  <hyperlinks>
    <hyperlink r:id="rId2" ref="D39"/>
    <hyperlink r:id="rId3" ref="C48"/>
    <hyperlink r:id="rId4" ref="C49"/>
  </hyperlinks>
  <printOptions/>
  <pageMargins bottom="0.75" footer="0.0" header="0.0" left="0.7" right="0.7" top="0.75"/>
  <pageSetup orientation="landscape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23.29"/>
    <col customWidth="1" min="4" max="4" width="29.71"/>
    <col customWidth="1" min="5" max="5" width="28.14"/>
    <col customWidth="1" min="6" max="6" width="26.86"/>
    <col customWidth="1" min="7" max="8" width="8.71"/>
  </cols>
  <sheetData>
    <row r="1" ht="14.25" customHeight="1">
      <c r="A1" s="133" t="s">
        <v>393</v>
      </c>
      <c r="B1" s="134"/>
      <c r="C1" s="134"/>
      <c r="D1" s="134"/>
      <c r="E1" s="134"/>
      <c r="F1" s="134"/>
      <c r="G1" s="134"/>
      <c r="H1" s="135"/>
    </row>
    <row r="2" ht="14.25" customHeight="1">
      <c r="A2" s="60" t="s">
        <v>343</v>
      </c>
      <c r="B2" s="136" t="s">
        <v>344</v>
      </c>
      <c r="C2" s="137" t="s">
        <v>345</v>
      </c>
      <c r="D2" s="137" t="s">
        <v>346</v>
      </c>
      <c r="E2" s="137" t="s">
        <v>347</v>
      </c>
      <c r="F2" s="137" t="s">
        <v>348</v>
      </c>
      <c r="G2" s="138" t="s">
        <v>349</v>
      </c>
      <c r="H2" s="109" t="s">
        <v>343</v>
      </c>
    </row>
    <row r="3" ht="14.25" customHeight="1">
      <c r="A3" s="139" t="s">
        <v>350</v>
      </c>
      <c r="B3" s="140">
        <v>1.0</v>
      </c>
      <c r="C3" s="141" t="s">
        <v>351</v>
      </c>
      <c r="D3" s="141" t="s">
        <v>352</v>
      </c>
      <c r="E3" s="141">
        <v>72.0</v>
      </c>
      <c r="F3" s="141"/>
      <c r="G3" s="142"/>
      <c r="H3" s="139" t="s">
        <v>350</v>
      </c>
    </row>
    <row r="4" ht="14.25" customHeight="1">
      <c r="A4" s="76"/>
      <c r="B4" s="143">
        <v>13.0</v>
      </c>
      <c r="C4" s="144" t="s">
        <v>353</v>
      </c>
      <c r="D4" s="144" t="s">
        <v>174</v>
      </c>
      <c r="E4" s="144"/>
      <c r="F4" s="145"/>
      <c r="G4" s="145"/>
      <c r="H4" s="76"/>
    </row>
    <row r="5" ht="14.25" customHeight="1">
      <c r="A5" s="76"/>
      <c r="B5" s="146"/>
      <c r="C5" s="147" t="s">
        <v>354</v>
      </c>
      <c r="D5" s="147" t="str">
        <f>'Tech Stack'!B52</f>
        <v>C9400-SUP-1XL</v>
      </c>
      <c r="E5" s="147">
        <v>2.0</v>
      </c>
      <c r="F5" s="147">
        <v>-350.0</v>
      </c>
      <c r="G5" s="148">
        <f t="shared" ref="G5:G7" si="1">ABS(F5)*3.41</f>
        <v>1193.5</v>
      </c>
      <c r="H5" s="76"/>
    </row>
    <row r="6" ht="14.25" customHeight="1">
      <c r="A6" s="76"/>
      <c r="B6" s="146"/>
      <c r="C6" s="147" t="s">
        <v>354</v>
      </c>
      <c r="D6" s="147"/>
      <c r="E6" s="147"/>
      <c r="F6" s="147"/>
      <c r="G6" s="148">
        <f t="shared" si="1"/>
        <v>0</v>
      </c>
      <c r="H6" s="76"/>
    </row>
    <row r="7" ht="14.25" customHeight="1">
      <c r="A7" s="76"/>
      <c r="B7" s="146"/>
      <c r="C7" s="147" t="s">
        <v>355</v>
      </c>
      <c r="D7" s="147" t="str">
        <f>'Tech Stack'!B56</f>
        <v>C9400-LC-12QC (12x40GE)</v>
      </c>
      <c r="E7" s="147">
        <v>12.0</v>
      </c>
      <c r="F7" s="147">
        <v>-280.0</v>
      </c>
      <c r="G7" s="148">
        <f t="shared" si="1"/>
        <v>954.8</v>
      </c>
      <c r="H7" s="76"/>
    </row>
    <row r="8" ht="14.25" customHeight="1">
      <c r="A8" s="76"/>
      <c r="B8" s="146"/>
      <c r="C8" s="147" t="s">
        <v>356</v>
      </c>
      <c r="D8" s="147" t="str">
        <f>'Tech Stack'!B53</f>
        <v>C9400-LC-48P</v>
      </c>
      <c r="E8" s="147">
        <v>48.0</v>
      </c>
      <c r="F8" s="147">
        <f t="shared" ref="F8:F13" si="2">-(E8*30+65)</f>
        <v>-1505</v>
      </c>
      <c r="G8" s="148">
        <f t="shared" ref="G8:G13" si="3">(ABS(F8)-E8*30)*3.41</f>
        <v>221.65</v>
      </c>
      <c r="H8" s="76"/>
    </row>
    <row r="9" ht="14.25" customHeight="1">
      <c r="A9" s="76"/>
      <c r="B9" s="146"/>
      <c r="C9" s="147" t="s">
        <v>356</v>
      </c>
      <c r="D9" s="147" t="str">
        <f>'Tech Stack'!B53</f>
        <v>C9400-LC-48P</v>
      </c>
      <c r="E9" s="147">
        <v>48.0</v>
      </c>
      <c r="F9" s="147">
        <f t="shared" si="2"/>
        <v>-1505</v>
      </c>
      <c r="G9" s="148">
        <f t="shared" si="3"/>
        <v>221.65</v>
      </c>
      <c r="H9" s="76"/>
    </row>
    <row r="10" ht="14.25" customHeight="1">
      <c r="A10" s="76"/>
      <c r="B10" s="146"/>
      <c r="C10" s="147" t="s">
        <v>356</v>
      </c>
      <c r="D10" s="147" t="str">
        <f>'Tech Stack'!B53</f>
        <v>C9400-LC-48P</v>
      </c>
      <c r="E10" s="147">
        <v>48.0</v>
      </c>
      <c r="F10" s="147">
        <f t="shared" si="2"/>
        <v>-1505</v>
      </c>
      <c r="G10" s="148">
        <f t="shared" si="3"/>
        <v>221.65</v>
      </c>
      <c r="H10" s="76"/>
    </row>
    <row r="11" ht="14.25" customHeight="1">
      <c r="A11" s="76"/>
      <c r="B11" s="146"/>
      <c r="C11" s="147" t="s">
        <v>356</v>
      </c>
      <c r="D11" s="147" t="str">
        <f>'Tech Stack'!B53</f>
        <v>C9400-LC-48P</v>
      </c>
      <c r="E11" s="147">
        <v>48.0</v>
      </c>
      <c r="F11" s="147">
        <f t="shared" si="2"/>
        <v>-1505</v>
      </c>
      <c r="G11" s="148">
        <f t="shared" si="3"/>
        <v>221.65</v>
      </c>
      <c r="H11" s="76"/>
    </row>
    <row r="12" ht="14.25" customHeight="1">
      <c r="A12" s="76"/>
      <c r="B12" s="146"/>
      <c r="C12" s="147" t="s">
        <v>356</v>
      </c>
      <c r="D12" s="147" t="str">
        <f>'Tech Stack'!B53</f>
        <v>C9400-LC-48P</v>
      </c>
      <c r="E12" s="147">
        <v>48.0</v>
      </c>
      <c r="F12" s="147">
        <f t="shared" si="2"/>
        <v>-1505</v>
      </c>
      <c r="G12" s="148">
        <f t="shared" si="3"/>
        <v>221.65</v>
      </c>
      <c r="H12" s="76"/>
    </row>
    <row r="13" ht="14.25" customHeight="1">
      <c r="A13" s="76"/>
      <c r="B13" s="146"/>
      <c r="C13" s="147" t="s">
        <v>357</v>
      </c>
      <c r="D13" s="147" t="str">
        <f>'Tech Stack'!B53</f>
        <v>C9400-LC-48P</v>
      </c>
      <c r="E13" s="147">
        <v>48.0</v>
      </c>
      <c r="F13" s="147">
        <f t="shared" si="2"/>
        <v>-1505</v>
      </c>
      <c r="G13" s="148">
        <f t="shared" si="3"/>
        <v>221.65</v>
      </c>
      <c r="H13" s="76"/>
    </row>
    <row r="14" ht="14.25" customHeight="1">
      <c r="A14" s="76"/>
      <c r="B14" s="146"/>
      <c r="C14" s="147" t="s">
        <v>358</v>
      </c>
      <c r="D14" s="147" t="str">
        <f>'Tech Stack'!B57</f>
        <v>C9400-LC-48UX</v>
      </c>
      <c r="E14" s="147">
        <v>48.0</v>
      </c>
      <c r="F14" s="147">
        <f>-(60*E14+70)</f>
        <v>-2950</v>
      </c>
      <c r="G14" s="148">
        <f>(ABS(F14)-E14*60)*3.41</f>
        <v>238.7</v>
      </c>
      <c r="H14" s="76"/>
    </row>
    <row r="15" ht="14.25" customHeight="1">
      <c r="A15" s="76"/>
      <c r="B15" s="146"/>
      <c r="C15" s="149" t="s">
        <v>359</v>
      </c>
      <c r="D15" s="150" t="s">
        <v>360</v>
      </c>
      <c r="E15" s="149"/>
      <c r="F15" s="151">
        <v>3200.0</v>
      </c>
      <c r="G15" s="151">
        <f t="shared" ref="G15:G23" si="4">ABS(F15)*3.41</f>
        <v>10912</v>
      </c>
      <c r="H15" s="76"/>
    </row>
    <row r="16" ht="14.25" customHeight="1">
      <c r="A16" s="76"/>
      <c r="B16" s="146"/>
      <c r="C16" s="149" t="s">
        <v>359</v>
      </c>
      <c r="D16" s="152" t="s">
        <v>360</v>
      </c>
      <c r="E16" s="149"/>
      <c r="F16" s="153">
        <v>3200.0</v>
      </c>
      <c r="G16" s="153">
        <f t="shared" si="4"/>
        <v>10912</v>
      </c>
      <c r="H16" s="76"/>
    </row>
    <row r="17" ht="14.25" customHeight="1">
      <c r="A17" s="76"/>
      <c r="B17" s="146"/>
      <c r="C17" s="149" t="s">
        <v>359</v>
      </c>
      <c r="D17" s="152" t="s">
        <v>360</v>
      </c>
      <c r="E17" s="149"/>
      <c r="F17" s="153">
        <v>3200.0</v>
      </c>
      <c r="G17" s="153">
        <f t="shared" si="4"/>
        <v>10912</v>
      </c>
      <c r="H17" s="76"/>
    </row>
    <row r="18" ht="14.25" customHeight="1">
      <c r="A18" s="76"/>
      <c r="B18" s="146"/>
      <c r="C18" s="149" t="s">
        <v>359</v>
      </c>
      <c r="D18" s="152" t="s">
        <v>360</v>
      </c>
      <c r="E18" s="154"/>
      <c r="F18" s="153">
        <v>3200.0</v>
      </c>
      <c r="G18" s="153">
        <f t="shared" si="4"/>
        <v>10912</v>
      </c>
      <c r="H18" s="76"/>
    </row>
    <row r="19" ht="14.25" customHeight="1">
      <c r="A19" s="76"/>
      <c r="B19" s="146"/>
      <c r="C19" s="149" t="s">
        <v>359</v>
      </c>
      <c r="D19" s="152" t="s">
        <v>360</v>
      </c>
      <c r="E19" s="154"/>
      <c r="F19" s="153">
        <v>3200.0</v>
      </c>
      <c r="G19" s="153">
        <f t="shared" si="4"/>
        <v>10912</v>
      </c>
      <c r="H19" s="76"/>
    </row>
    <row r="20" ht="14.25" customHeight="1">
      <c r="A20" s="76"/>
      <c r="B20" s="146"/>
      <c r="C20" s="149" t="s">
        <v>359</v>
      </c>
      <c r="D20" s="152" t="s">
        <v>360</v>
      </c>
      <c r="E20" s="154"/>
      <c r="F20" s="153">
        <v>3200.0</v>
      </c>
      <c r="G20" s="153">
        <f t="shared" si="4"/>
        <v>10912</v>
      </c>
      <c r="H20" s="76"/>
    </row>
    <row r="21" ht="14.25" customHeight="1">
      <c r="A21" s="76"/>
      <c r="B21" s="146"/>
      <c r="C21" s="149" t="s">
        <v>359</v>
      </c>
      <c r="D21" s="152"/>
      <c r="E21" s="154"/>
      <c r="F21" s="153"/>
      <c r="G21" s="153">
        <f t="shared" si="4"/>
        <v>0</v>
      </c>
      <c r="H21" s="76"/>
    </row>
    <row r="22" ht="14.25" customHeight="1">
      <c r="A22" s="76"/>
      <c r="B22" s="146"/>
      <c r="C22" s="155" t="s">
        <v>359</v>
      </c>
      <c r="D22" s="156"/>
      <c r="E22" s="157"/>
      <c r="F22" s="158"/>
      <c r="G22" s="158">
        <f t="shared" si="4"/>
        <v>0</v>
      </c>
      <c r="H22" s="76"/>
    </row>
    <row r="23" ht="14.25" customHeight="1">
      <c r="A23" s="76"/>
      <c r="B23" s="194"/>
      <c r="C23" s="161" t="s">
        <v>361</v>
      </c>
      <c r="D23" s="161" t="s">
        <v>362</v>
      </c>
      <c r="E23" s="161"/>
      <c r="F23" s="161">
        <v>600.0</v>
      </c>
      <c r="G23" s="162">
        <f t="shared" si="4"/>
        <v>2046</v>
      </c>
      <c r="H23" s="76"/>
    </row>
    <row r="24" ht="14.25" customHeight="1">
      <c r="A24" s="76"/>
      <c r="B24" s="224">
        <v>2.0</v>
      </c>
      <c r="C24" s="164" t="s">
        <v>363</v>
      </c>
      <c r="D24" s="165" t="s">
        <v>364</v>
      </c>
      <c r="E24" s="164">
        <v>48.0</v>
      </c>
      <c r="F24" s="164"/>
      <c r="G24" s="225"/>
      <c r="H24" s="76"/>
    </row>
    <row r="25" ht="14.25" customHeight="1">
      <c r="A25" s="76"/>
      <c r="B25" s="167">
        <v>2.0</v>
      </c>
      <c r="C25" s="168" t="s">
        <v>363</v>
      </c>
      <c r="D25" s="169" t="s">
        <v>364</v>
      </c>
      <c r="E25" s="168">
        <v>48.0</v>
      </c>
      <c r="F25" s="170"/>
      <c r="G25" s="226"/>
      <c r="H25" s="76"/>
    </row>
    <row r="26" ht="14.25" customHeight="1">
      <c r="A26" s="76"/>
      <c r="B26" s="167">
        <v>2.0</v>
      </c>
      <c r="C26" s="168" t="s">
        <v>363</v>
      </c>
      <c r="D26" s="169" t="s">
        <v>364</v>
      </c>
      <c r="E26" s="168">
        <v>48.0</v>
      </c>
      <c r="F26" s="170"/>
      <c r="G26" s="226"/>
      <c r="H26" s="76"/>
    </row>
    <row r="27" ht="14.25" customHeight="1">
      <c r="A27" s="76"/>
      <c r="B27" s="167">
        <v>2.0</v>
      </c>
      <c r="C27" s="168" t="s">
        <v>363</v>
      </c>
      <c r="D27" s="169" t="s">
        <v>364</v>
      </c>
      <c r="E27" s="168">
        <v>48.0</v>
      </c>
      <c r="F27" s="170"/>
      <c r="G27" s="226"/>
      <c r="H27" s="76"/>
    </row>
    <row r="28" ht="14.25" customHeight="1">
      <c r="A28" s="76"/>
      <c r="B28" s="167">
        <v>2.0</v>
      </c>
      <c r="C28" s="141" t="s">
        <v>363</v>
      </c>
      <c r="D28" s="140" t="s">
        <v>364</v>
      </c>
      <c r="E28" s="141">
        <v>48.0</v>
      </c>
      <c r="F28" s="172"/>
      <c r="G28" s="227"/>
      <c r="H28" s="76"/>
    </row>
    <row r="29" ht="14.25" customHeight="1">
      <c r="A29" s="76"/>
      <c r="B29" s="167">
        <v>2.0</v>
      </c>
      <c r="C29" s="170" t="s">
        <v>363</v>
      </c>
      <c r="D29" s="170" t="s">
        <v>364</v>
      </c>
      <c r="E29" s="170">
        <v>48.0</v>
      </c>
      <c r="F29" s="170"/>
      <c r="G29" s="226"/>
      <c r="H29" s="76"/>
    </row>
    <row r="30" ht="14.25" customHeight="1">
      <c r="A30" s="76"/>
      <c r="B30" s="228">
        <v>2.0</v>
      </c>
      <c r="C30" s="176" t="s">
        <v>363</v>
      </c>
      <c r="D30" s="176" t="s">
        <v>364</v>
      </c>
      <c r="E30" s="176">
        <v>48.0</v>
      </c>
      <c r="F30" s="176"/>
      <c r="G30" s="229"/>
      <c r="H30" s="76"/>
    </row>
    <row r="31" ht="14.25" customHeight="1">
      <c r="A31" s="76"/>
      <c r="B31" s="230">
        <v>6.0</v>
      </c>
      <c r="C31" s="231" t="s">
        <v>369</v>
      </c>
      <c r="D31" s="232" t="s">
        <v>370</v>
      </c>
      <c r="E31" s="231"/>
      <c r="F31" s="231">
        <v>10000.0</v>
      </c>
      <c r="G31" s="233">
        <v>2450.0</v>
      </c>
      <c r="H31" s="76"/>
    </row>
    <row r="32" ht="14.25" customHeight="1">
      <c r="A32" s="76"/>
      <c r="B32" s="199">
        <v>6.0</v>
      </c>
      <c r="C32" s="200" t="s">
        <v>369</v>
      </c>
      <c r="D32" s="201" t="s">
        <v>370</v>
      </c>
      <c r="E32" s="200"/>
      <c r="F32" s="200">
        <v>10000.0</v>
      </c>
      <c r="G32" s="202">
        <v>2450.0</v>
      </c>
      <c r="H32" s="76"/>
    </row>
    <row r="33" ht="14.25" customHeight="1">
      <c r="A33" s="76"/>
      <c r="B33" s="199">
        <v>6.0</v>
      </c>
      <c r="C33" s="200" t="s">
        <v>369</v>
      </c>
      <c r="D33" s="201" t="s">
        <v>370</v>
      </c>
      <c r="E33" s="200"/>
      <c r="F33" s="200">
        <v>10000.0</v>
      </c>
      <c r="G33" s="202">
        <v>2450.0</v>
      </c>
      <c r="H33" s="76"/>
    </row>
    <row r="34" ht="14.25" customHeight="1">
      <c r="A34" s="78"/>
      <c r="B34" s="199">
        <v>6.0</v>
      </c>
      <c r="C34" s="200" t="s">
        <v>369</v>
      </c>
      <c r="D34" s="201" t="s">
        <v>370</v>
      </c>
      <c r="E34" s="200"/>
      <c r="F34" s="200">
        <v>10000.0</v>
      </c>
      <c r="G34" s="202">
        <v>2450.0</v>
      </c>
      <c r="H34" s="78"/>
    </row>
    <row r="35" ht="14.25" customHeight="1">
      <c r="A35" s="203" t="s">
        <v>371</v>
      </c>
      <c r="B35" s="204">
        <f>SUM(B4:B34)</f>
        <v>51</v>
      </c>
      <c r="C35" s="205"/>
      <c r="D35" s="205"/>
      <c r="E35" s="205"/>
      <c r="F35" s="205">
        <f>SUM(F5:F34)</f>
        <v>47190</v>
      </c>
      <c r="G35" s="205">
        <f>SUM(G4:G34)</f>
        <v>81034.9</v>
      </c>
      <c r="H35" s="206"/>
    </row>
    <row r="36" ht="14.25" customHeight="1">
      <c r="B36" s="62"/>
      <c r="C36" s="62"/>
      <c r="D36" s="62"/>
      <c r="E36" s="207" t="s">
        <v>372</v>
      </c>
      <c r="F36" s="207">
        <f>SUM(F15:F23)</f>
        <v>19800</v>
      </c>
      <c r="G36" s="62"/>
    </row>
    <row r="37" ht="14.25" customHeight="1">
      <c r="B37" s="62"/>
      <c r="C37" s="62"/>
      <c r="D37" s="62"/>
      <c r="E37" s="208" t="s">
        <v>373</v>
      </c>
      <c r="F37" s="208">
        <f>SUM(F31:F34)</f>
        <v>40000</v>
      </c>
      <c r="G37" s="62"/>
    </row>
    <row r="38" ht="14.25" customHeight="1">
      <c r="B38" s="62"/>
      <c r="E38" s="42"/>
      <c r="G38" s="42"/>
    </row>
    <row r="39" ht="14.25" customHeight="1">
      <c r="D39" s="42" t="s">
        <v>374</v>
      </c>
      <c r="E39" s="42" t="s">
        <v>375</v>
      </c>
    </row>
    <row r="40" ht="14.25" customHeight="1">
      <c r="B40" s="209" t="s">
        <v>376</v>
      </c>
      <c r="C40" s="210" t="s">
        <v>377</v>
      </c>
      <c r="D40" s="211">
        <v>12000.0</v>
      </c>
      <c r="E40" s="212">
        <v>86000.0</v>
      </c>
    </row>
    <row r="41" ht="14.25" customHeight="1">
      <c r="B41" s="213" t="s">
        <v>378</v>
      </c>
      <c r="C41" s="214" t="s">
        <v>377</v>
      </c>
      <c r="D41" s="211">
        <v>12000.0</v>
      </c>
      <c r="E41" s="215">
        <v>86000.0</v>
      </c>
    </row>
    <row r="42" ht="14.25" customHeight="1">
      <c r="C42" s="216" t="s">
        <v>371</v>
      </c>
      <c r="D42" s="216">
        <f t="shared" ref="D42:E42" si="5">SUM(D40:D41)</f>
        <v>24000</v>
      </c>
      <c r="E42" s="216">
        <f t="shared" si="5"/>
        <v>172000</v>
      </c>
    </row>
    <row r="43" ht="14.25" customHeight="1">
      <c r="B43" s="62"/>
      <c r="E43" s="22"/>
      <c r="F43" s="22"/>
      <c r="G43" s="22"/>
    </row>
    <row r="44" ht="14.25" customHeight="1">
      <c r="B44" s="217" t="s">
        <v>379</v>
      </c>
      <c r="C44" s="218">
        <f>SUM('Tech Stack'!B41:E41)</f>
        <v>266</v>
      </c>
      <c r="E44" s="219"/>
      <c r="F44" s="22"/>
      <c r="G44" s="22"/>
    </row>
    <row r="45" ht="14.25" customHeight="1">
      <c r="B45" s="220" t="s">
        <v>380</v>
      </c>
      <c r="C45" s="218">
        <f>COUNTIF(C2:C35,"UTP Patch Panel")*48</f>
        <v>336</v>
      </c>
      <c r="E45" s="22"/>
      <c r="F45" s="22"/>
      <c r="G45" s="22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H1"/>
    <mergeCell ref="A3:A34"/>
    <mergeCell ref="H3:H34"/>
    <mergeCell ref="B4:B23"/>
  </mergeCells>
  <hyperlinks>
    <hyperlink r:id="rId2" ref="D31"/>
    <hyperlink r:id="rId3" ref="C40"/>
    <hyperlink r:id="rId4" ref="C41"/>
  </hyperlinks>
  <printOptions/>
  <pageMargins bottom="0.75" footer="0.0" header="0.0" left="0.7" right="0.7" top="0.75"/>
  <pageSetup orientation="landscape"/>
  <drawing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23.29"/>
    <col customWidth="1" min="4" max="4" width="29.71"/>
    <col customWidth="1" min="5" max="5" width="28.14"/>
    <col customWidth="1" min="6" max="6" width="26.86"/>
    <col customWidth="1" min="7" max="8" width="8.71"/>
  </cols>
  <sheetData>
    <row r="1" ht="14.25" customHeight="1">
      <c r="A1" s="133" t="s">
        <v>393</v>
      </c>
      <c r="B1" s="134"/>
      <c r="C1" s="134"/>
      <c r="D1" s="134"/>
      <c r="E1" s="134"/>
      <c r="F1" s="134"/>
      <c r="G1" s="134"/>
      <c r="H1" s="135"/>
    </row>
    <row r="2" ht="14.25" customHeight="1">
      <c r="A2" s="60" t="s">
        <v>343</v>
      </c>
      <c r="B2" s="136" t="s">
        <v>344</v>
      </c>
      <c r="C2" s="137" t="s">
        <v>345</v>
      </c>
      <c r="D2" s="137" t="s">
        <v>346</v>
      </c>
      <c r="E2" s="137" t="s">
        <v>347</v>
      </c>
      <c r="F2" s="137" t="s">
        <v>348</v>
      </c>
      <c r="G2" s="138" t="s">
        <v>349</v>
      </c>
      <c r="H2" s="109" t="s">
        <v>343</v>
      </c>
    </row>
    <row r="3" ht="14.25" customHeight="1">
      <c r="A3" s="139" t="s">
        <v>350</v>
      </c>
      <c r="B3" s="140">
        <v>1.0</v>
      </c>
      <c r="C3" s="141" t="s">
        <v>351</v>
      </c>
      <c r="D3" s="141" t="s">
        <v>352</v>
      </c>
      <c r="E3" s="141">
        <v>72.0</v>
      </c>
      <c r="F3" s="141"/>
      <c r="G3" s="142"/>
      <c r="H3" s="139" t="s">
        <v>350</v>
      </c>
    </row>
    <row r="4" ht="14.25" customHeight="1">
      <c r="A4" s="76"/>
      <c r="B4" s="143">
        <v>13.0</v>
      </c>
      <c r="C4" s="144" t="s">
        <v>353</v>
      </c>
      <c r="D4" s="144" t="s">
        <v>174</v>
      </c>
      <c r="E4" s="144"/>
      <c r="F4" s="145"/>
      <c r="G4" s="145"/>
      <c r="H4" s="76"/>
    </row>
    <row r="5" ht="14.25" customHeight="1">
      <c r="A5" s="76"/>
      <c r="B5" s="146"/>
      <c r="C5" s="147" t="s">
        <v>354</v>
      </c>
      <c r="D5" s="147" t="str">
        <f>'Tech Stack'!B52</f>
        <v>C9400-SUP-1XL</v>
      </c>
      <c r="E5" s="147">
        <v>2.0</v>
      </c>
      <c r="F5" s="147">
        <v>-350.0</v>
      </c>
      <c r="G5" s="148">
        <f t="shared" ref="G5:G7" si="1">ABS(F5)*3.41</f>
        <v>1193.5</v>
      </c>
      <c r="H5" s="76"/>
    </row>
    <row r="6" ht="14.25" customHeight="1">
      <c r="A6" s="76"/>
      <c r="B6" s="146"/>
      <c r="C6" s="147" t="s">
        <v>354</v>
      </c>
      <c r="D6" s="147"/>
      <c r="E6" s="147"/>
      <c r="F6" s="147"/>
      <c r="G6" s="148">
        <f t="shared" si="1"/>
        <v>0</v>
      </c>
      <c r="H6" s="76"/>
    </row>
    <row r="7" ht="14.25" customHeight="1">
      <c r="A7" s="76"/>
      <c r="B7" s="146"/>
      <c r="C7" s="147" t="s">
        <v>355</v>
      </c>
      <c r="D7" s="147" t="str">
        <f>'Tech Stack'!B56</f>
        <v>C9400-LC-12QC (12x40GE)</v>
      </c>
      <c r="E7" s="147">
        <v>12.0</v>
      </c>
      <c r="F7" s="147">
        <v>-280.0</v>
      </c>
      <c r="G7" s="148">
        <f t="shared" si="1"/>
        <v>954.8</v>
      </c>
      <c r="H7" s="76"/>
    </row>
    <row r="8" ht="14.25" customHeight="1">
      <c r="A8" s="76"/>
      <c r="B8" s="146"/>
      <c r="C8" s="147" t="s">
        <v>356</v>
      </c>
      <c r="D8" s="147" t="str">
        <f>'Tech Stack'!B53</f>
        <v>C9400-LC-48P</v>
      </c>
      <c r="E8" s="147">
        <v>48.0</v>
      </c>
      <c r="F8" s="147">
        <f t="shared" ref="F8:F13" si="2">-(E8*30+65)</f>
        <v>-1505</v>
      </c>
      <c r="G8" s="148">
        <f t="shared" ref="G8:G13" si="3">(ABS(F8)-E8*30)*3.41</f>
        <v>221.65</v>
      </c>
      <c r="H8" s="76"/>
    </row>
    <row r="9" ht="14.25" customHeight="1">
      <c r="A9" s="76"/>
      <c r="B9" s="146"/>
      <c r="C9" s="147" t="s">
        <v>356</v>
      </c>
      <c r="D9" s="147" t="str">
        <f>'Tech Stack'!B53</f>
        <v>C9400-LC-48P</v>
      </c>
      <c r="E9" s="147">
        <v>48.0</v>
      </c>
      <c r="F9" s="147">
        <f t="shared" si="2"/>
        <v>-1505</v>
      </c>
      <c r="G9" s="148">
        <f t="shared" si="3"/>
        <v>221.65</v>
      </c>
      <c r="H9" s="76"/>
    </row>
    <row r="10" ht="14.25" customHeight="1">
      <c r="A10" s="76"/>
      <c r="B10" s="146"/>
      <c r="C10" s="147" t="s">
        <v>356</v>
      </c>
      <c r="D10" s="147" t="str">
        <f>'Tech Stack'!B53</f>
        <v>C9400-LC-48P</v>
      </c>
      <c r="E10" s="147">
        <v>48.0</v>
      </c>
      <c r="F10" s="147">
        <f t="shared" si="2"/>
        <v>-1505</v>
      </c>
      <c r="G10" s="148">
        <f t="shared" si="3"/>
        <v>221.65</v>
      </c>
      <c r="H10" s="76"/>
    </row>
    <row r="11" ht="14.25" customHeight="1">
      <c r="A11" s="76"/>
      <c r="B11" s="146"/>
      <c r="C11" s="147" t="s">
        <v>356</v>
      </c>
      <c r="D11" s="147" t="str">
        <f>'Tech Stack'!B53</f>
        <v>C9400-LC-48P</v>
      </c>
      <c r="E11" s="147">
        <v>48.0</v>
      </c>
      <c r="F11" s="147">
        <f t="shared" si="2"/>
        <v>-1505</v>
      </c>
      <c r="G11" s="148">
        <f t="shared" si="3"/>
        <v>221.65</v>
      </c>
      <c r="H11" s="76"/>
    </row>
    <row r="12" ht="14.25" customHeight="1">
      <c r="A12" s="76"/>
      <c r="B12" s="146"/>
      <c r="C12" s="147" t="s">
        <v>356</v>
      </c>
      <c r="D12" s="147" t="str">
        <f>'Tech Stack'!B53</f>
        <v>C9400-LC-48P</v>
      </c>
      <c r="E12" s="147">
        <v>48.0</v>
      </c>
      <c r="F12" s="147">
        <f t="shared" si="2"/>
        <v>-1505</v>
      </c>
      <c r="G12" s="148">
        <f t="shared" si="3"/>
        <v>221.65</v>
      </c>
      <c r="H12" s="76"/>
    </row>
    <row r="13" ht="14.25" customHeight="1">
      <c r="A13" s="76"/>
      <c r="B13" s="146"/>
      <c r="C13" s="147" t="s">
        <v>357</v>
      </c>
      <c r="D13" s="147" t="str">
        <f>'Tech Stack'!B53</f>
        <v>C9400-LC-48P</v>
      </c>
      <c r="E13" s="147">
        <v>48.0</v>
      </c>
      <c r="F13" s="147">
        <f t="shared" si="2"/>
        <v>-1505</v>
      </c>
      <c r="G13" s="148">
        <f t="shared" si="3"/>
        <v>221.65</v>
      </c>
      <c r="H13" s="76"/>
    </row>
    <row r="14" ht="14.25" customHeight="1">
      <c r="A14" s="76"/>
      <c r="B14" s="146"/>
      <c r="C14" s="147" t="s">
        <v>358</v>
      </c>
      <c r="D14" s="147" t="str">
        <f>'Tech Stack'!B57</f>
        <v>C9400-LC-48UX</v>
      </c>
      <c r="E14" s="147">
        <v>48.0</v>
      </c>
      <c r="F14" s="147">
        <f>-(60*E14+70)</f>
        <v>-2950</v>
      </c>
      <c r="G14" s="148">
        <f>(ABS(F14)-E14*60)*3.41</f>
        <v>238.7</v>
      </c>
      <c r="H14" s="76"/>
    </row>
    <row r="15" ht="14.25" customHeight="1">
      <c r="A15" s="76"/>
      <c r="B15" s="146"/>
      <c r="C15" s="149" t="s">
        <v>359</v>
      </c>
      <c r="D15" s="150" t="s">
        <v>360</v>
      </c>
      <c r="E15" s="149"/>
      <c r="F15" s="151">
        <v>3200.0</v>
      </c>
      <c r="G15" s="151">
        <f t="shared" ref="G15:G23" si="4">ABS(F15)*3.41</f>
        <v>10912</v>
      </c>
      <c r="H15" s="76"/>
    </row>
    <row r="16" ht="14.25" customHeight="1">
      <c r="A16" s="76"/>
      <c r="B16" s="146"/>
      <c r="C16" s="149" t="s">
        <v>359</v>
      </c>
      <c r="D16" s="152" t="s">
        <v>360</v>
      </c>
      <c r="E16" s="149"/>
      <c r="F16" s="153">
        <v>3200.0</v>
      </c>
      <c r="G16" s="153">
        <f t="shared" si="4"/>
        <v>10912</v>
      </c>
      <c r="H16" s="76"/>
    </row>
    <row r="17" ht="14.25" customHeight="1">
      <c r="A17" s="76"/>
      <c r="B17" s="146"/>
      <c r="C17" s="149" t="s">
        <v>359</v>
      </c>
      <c r="D17" s="152" t="s">
        <v>360</v>
      </c>
      <c r="E17" s="149"/>
      <c r="F17" s="153">
        <v>3200.0</v>
      </c>
      <c r="G17" s="153">
        <f t="shared" si="4"/>
        <v>10912</v>
      </c>
      <c r="H17" s="76"/>
    </row>
    <row r="18" ht="14.25" customHeight="1">
      <c r="A18" s="76"/>
      <c r="B18" s="146"/>
      <c r="C18" s="149" t="s">
        <v>359</v>
      </c>
      <c r="D18" s="152" t="s">
        <v>360</v>
      </c>
      <c r="E18" s="154"/>
      <c r="F18" s="153">
        <v>3200.0</v>
      </c>
      <c r="G18" s="153">
        <f t="shared" si="4"/>
        <v>10912</v>
      </c>
      <c r="H18" s="76"/>
    </row>
    <row r="19" ht="14.25" customHeight="1">
      <c r="A19" s="76"/>
      <c r="B19" s="146"/>
      <c r="C19" s="149" t="s">
        <v>359</v>
      </c>
      <c r="D19" s="152" t="s">
        <v>360</v>
      </c>
      <c r="E19" s="154"/>
      <c r="F19" s="153">
        <v>3200.0</v>
      </c>
      <c r="G19" s="153">
        <f t="shared" si="4"/>
        <v>10912</v>
      </c>
      <c r="H19" s="76"/>
    </row>
    <row r="20" ht="14.25" customHeight="1">
      <c r="A20" s="76"/>
      <c r="B20" s="146"/>
      <c r="C20" s="149" t="s">
        <v>359</v>
      </c>
      <c r="D20" s="152" t="s">
        <v>360</v>
      </c>
      <c r="E20" s="154"/>
      <c r="F20" s="153">
        <v>3200.0</v>
      </c>
      <c r="G20" s="153">
        <f t="shared" si="4"/>
        <v>10912</v>
      </c>
      <c r="H20" s="76"/>
    </row>
    <row r="21" ht="14.25" customHeight="1">
      <c r="A21" s="76"/>
      <c r="B21" s="146"/>
      <c r="C21" s="149" t="s">
        <v>359</v>
      </c>
      <c r="D21" s="152"/>
      <c r="E21" s="154"/>
      <c r="F21" s="153"/>
      <c r="G21" s="153">
        <f t="shared" si="4"/>
        <v>0</v>
      </c>
      <c r="H21" s="76"/>
    </row>
    <row r="22" ht="14.25" customHeight="1">
      <c r="A22" s="76"/>
      <c r="B22" s="146"/>
      <c r="C22" s="155" t="s">
        <v>359</v>
      </c>
      <c r="D22" s="156"/>
      <c r="E22" s="157"/>
      <c r="F22" s="158"/>
      <c r="G22" s="158">
        <f t="shared" si="4"/>
        <v>0</v>
      </c>
      <c r="H22" s="76"/>
    </row>
    <row r="23" ht="14.25" customHeight="1">
      <c r="A23" s="76"/>
      <c r="B23" s="194"/>
      <c r="C23" s="161" t="s">
        <v>361</v>
      </c>
      <c r="D23" s="161" t="s">
        <v>362</v>
      </c>
      <c r="E23" s="161"/>
      <c r="F23" s="161">
        <v>600.0</v>
      </c>
      <c r="G23" s="162">
        <f t="shared" si="4"/>
        <v>2046</v>
      </c>
      <c r="H23" s="76"/>
    </row>
    <row r="24" ht="14.25" customHeight="1">
      <c r="A24" s="76"/>
      <c r="B24" s="224">
        <v>2.0</v>
      </c>
      <c r="C24" s="164" t="s">
        <v>363</v>
      </c>
      <c r="D24" s="165" t="s">
        <v>364</v>
      </c>
      <c r="E24" s="164">
        <v>48.0</v>
      </c>
      <c r="F24" s="164"/>
      <c r="G24" s="225"/>
      <c r="H24" s="76"/>
    </row>
    <row r="25" ht="14.25" customHeight="1">
      <c r="A25" s="76"/>
      <c r="B25" s="167">
        <v>2.0</v>
      </c>
      <c r="C25" s="168" t="s">
        <v>363</v>
      </c>
      <c r="D25" s="169" t="s">
        <v>364</v>
      </c>
      <c r="E25" s="168">
        <v>48.0</v>
      </c>
      <c r="F25" s="170"/>
      <c r="G25" s="226"/>
      <c r="H25" s="76"/>
    </row>
    <row r="26" ht="14.25" customHeight="1">
      <c r="A26" s="76"/>
      <c r="B26" s="167">
        <v>2.0</v>
      </c>
      <c r="C26" s="168" t="s">
        <v>363</v>
      </c>
      <c r="D26" s="169" t="s">
        <v>364</v>
      </c>
      <c r="E26" s="168">
        <v>48.0</v>
      </c>
      <c r="F26" s="170"/>
      <c r="G26" s="226"/>
      <c r="H26" s="76"/>
    </row>
    <row r="27" ht="14.25" customHeight="1">
      <c r="A27" s="76"/>
      <c r="B27" s="167">
        <v>2.0</v>
      </c>
      <c r="C27" s="168" t="s">
        <v>363</v>
      </c>
      <c r="D27" s="169" t="s">
        <v>364</v>
      </c>
      <c r="E27" s="168">
        <v>48.0</v>
      </c>
      <c r="F27" s="170"/>
      <c r="G27" s="226"/>
      <c r="H27" s="76"/>
    </row>
    <row r="28" ht="14.25" customHeight="1">
      <c r="A28" s="76"/>
      <c r="B28" s="167">
        <v>2.0</v>
      </c>
      <c r="C28" s="141" t="s">
        <v>363</v>
      </c>
      <c r="D28" s="140" t="s">
        <v>364</v>
      </c>
      <c r="E28" s="141">
        <v>48.0</v>
      </c>
      <c r="F28" s="172"/>
      <c r="G28" s="227"/>
      <c r="H28" s="76"/>
    </row>
    <row r="29" ht="14.25" customHeight="1">
      <c r="A29" s="76"/>
      <c r="B29" s="167">
        <v>2.0</v>
      </c>
      <c r="C29" s="170" t="s">
        <v>363</v>
      </c>
      <c r="D29" s="170" t="s">
        <v>364</v>
      </c>
      <c r="E29" s="170">
        <v>48.0</v>
      </c>
      <c r="F29" s="170"/>
      <c r="G29" s="226"/>
      <c r="H29" s="76"/>
    </row>
    <row r="30" ht="14.25" customHeight="1">
      <c r="A30" s="76"/>
      <c r="B30" s="228">
        <v>2.0</v>
      </c>
      <c r="C30" s="176" t="s">
        <v>363</v>
      </c>
      <c r="D30" s="176" t="s">
        <v>364</v>
      </c>
      <c r="E30" s="176">
        <v>48.0</v>
      </c>
      <c r="F30" s="176"/>
      <c r="G30" s="229"/>
      <c r="H30" s="76"/>
    </row>
    <row r="31" ht="14.25" customHeight="1">
      <c r="A31" s="76"/>
      <c r="B31" s="230">
        <v>6.0</v>
      </c>
      <c r="C31" s="231" t="s">
        <v>369</v>
      </c>
      <c r="D31" s="232" t="s">
        <v>370</v>
      </c>
      <c r="E31" s="231"/>
      <c r="F31" s="231">
        <v>10000.0</v>
      </c>
      <c r="G31" s="233">
        <v>2450.0</v>
      </c>
      <c r="H31" s="76"/>
    </row>
    <row r="32" ht="14.25" customHeight="1">
      <c r="A32" s="76"/>
      <c r="B32" s="199">
        <v>6.0</v>
      </c>
      <c r="C32" s="200" t="s">
        <v>369</v>
      </c>
      <c r="D32" s="201" t="s">
        <v>370</v>
      </c>
      <c r="E32" s="200"/>
      <c r="F32" s="200">
        <v>10000.0</v>
      </c>
      <c r="G32" s="202">
        <v>2450.0</v>
      </c>
      <c r="H32" s="76"/>
    </row>
    <row r="33" ht="14.25" customHeight="1">
      <c r="A33" s="76"/>
      <c r="B33" s="199">
        <v>6.0</v>
      </c>
      <c r="C33" s="200" t="s">
        <v>369</v>
      </c>
      <c r="D33" s="201" t="s">
        <v>370</v>
      </c>
      <c r="E33" s="200"/>
      <c r="F33" s="200">
        <v>10000.0</v>
      </c>
      <c r="G33" s="202">
        <v>2450.0</v>
      </c>
      <c r="H33" s="76"/>
    </row>
    <row r="34" ht="14.25" customHeight="1">
      <c r="A34" s="78"/>
      <c r="B34" s="199">
        <v>6.0</v>
      </c>
      <c r="C34" s="200" t="s">
        <v>369</v>
      </c>
      <c r="D34" s="201" t="s">
        <v>370</v>
      </c>
      <c r="E34" s="200"/>
      <c r="F34" s="200">
        <v>10000.0</v>
      </c>
      <c r="G34" s="202">
        <v>2450.0</v>
      </c>
      <c r="H34" s="78"/>
    </row>
    <row r="35" ht="14.25" customHeight="1">
      <c r="A35" s="203" t="s">
        <v>371</v>
      </c>
      <c r="B35" s="204">
        <f>SUM(B4:B34)</f>
        <v>51</v>
      </c>
      <c r="C35" s="205"/>
      <c r="D35" s="205"/>
      <c r="E35" s="205"/>
      <c r="F35" s="205">
        <f>SUM(F5:F34)</f>
        <v>47190</v>
      </c>
      <c r="G35" s="205">
        <f>SUM(G4:G34)</f>
        <v>81034.9</v>
      </c>
      <c r="H35" s="206"/>
    </row>
    <row r="36" ht="14.25" customHeight="1">
      <c r="B36" s="62"/>
      <c r="C36" s="62"/>
      <c r="D36" s="62"/>
      <c r="E36" s="207" t="s">
        <v>372</v>
      </c>
      <c r="F36" s="207">
        <f>SUM(F15:F23)</f>
        <v>19800</v>
      </c>
      <c r="G36" s="62"/>
    </row>
    <row r="37" ht="14.25" customHeight="1">
      <c r="B37" s="62"/>
      <c r="C37" s="62"/>
      <c r="D37" s="62"/>
      <c r="E37" s="208" t="s">
        <v>373</v>
      </c>
      <c r="F37" s="208">
        <f>SUM(F31:F34)</f>
        <v>40000</v>
      </c>
      <c r="G37" s="62"/>
    </row>
    <row r="38" ht="14.25" customHeight="1">
      <c r="B38" s="62"/>
      <c r="E38" s="42"/>
      <c r="G38" s="42"/>
    </row>
    <row r="39" ht="14.25" customHeight="1">
      <c r="D39" s="42" t="s">
        <v>374</v>
      </c>
      <c r="E39" s="42" t="s">
        <v>375</v>
      </c>
    </row>
    <row r="40" ht="14.25" customHeight="1">
      <c r="B40" s="209" t="s">
        <v>376</v>
      </c>
      <c r="C40" s="210" t="s">
        <v>377</v>
      </c>
      <c r="D40" s="211">
        <v>12000.0</v>
      </c>
      <c r="E40" s="212">
        <v>86000.0</v>
      </c>
    </row>
    <row r="41" ht="14.25" customHeight="1">
      <c r="B41" s="213" t="s">
        <v>378</v>
      </c>
      <c r="C41" s="214" t="s">
        <v>377</v>
      </c>
      <c r="D41" s="211">
        <v>12000.0</v>
      </c>
      <c r="E41" s="215">
        <v>86000.0</v>
      </c>
    </row>
    <row r="42" ht="14.25" customHeight="1">
      <c r="C42" s="216" t="s">
        <v>371</v>
      </c>
      <c r="D42" s="216">
        <f t="shared" ref="D42:E42" si="5">SUM(D40:D41)</f>
        <v>24000</v>
      </c>
      <c r="E42" s="216">
        <f t="shared" si="5"/>
        <v>172000</v>
      </c>
    </row>
    <row r="43" ht="14.25" customHeight="1">
      <c r="B43" s="62"/>
      <c r="E43" s="22"/>
      <c r="F43" s="22"/>
      <c r="G43" s="22"/>
    </row>
    <row r="44" ht="14.25" customHeight="1">
      <c r="B44" s="217" t="s">
        <v>379</v>
      </c>
      <c r="C44" s="218">
        <f>SUM('Tech Stack'!B42:E42)</f>
        <v>280</v>
      </c>
      <c r="E44" s="219"/>
      <c r="F44" s="22"/>
      <c r="G44" s="22"/>
    </row>
    <row r="45" ht="14.25" customHeight="1">
      <c r="B45" s="220" t="s">
        <v>380</v>
      </c>
      <c r="C45" s="218">
        <f>COUNTIF(C2:C35,"UTP Patch Panel")*48</f>
        <v>336</v>
      </c>
      <c r="E45" s="22"/>
      <c r="F45" s="22"/>
      <c r="G45" s="22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H1"/>
    <mergeCell ref="A3:A34"/>
    <mergeCell ref="H3:H34"/>
    <mergeCell ref="B4:B23"/>
  </mergeCells>
  <hyperlinks>
    <hyperlink r:id="rId2" ref="D31"/>
    <hyperlink r:id="rId3" ref="C40"/>
    <hyperlink r:id="rId4" ref="C41"/>
  </hyperlinks>
  <printOptions/>
  <pageMargins bottom="0.75" footer="0.0" header="0.0" left="0.7" right="0.7" top="0.75"/>
  <pageSetup orientation="landscape"/>
  <drawing r:id="rId5"/>
  <legacyDrawing r:id="rId6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23.29"/>
    <col customWidth="1" min="4" max="4" width="29.71"/>
    <col customWidth="1" min="5" max="5" width="28.14"/>
    <col customWidth="1" min="6" max="6" width="26.86"/>
    <col customWidth="1" min="7" max="8" width="8.71"/>
  </cols>
  <sheetData>
    <row r="1" ht="14.25" customHeight="1">
      <c r="A1" s="133" t="s">
        <v>393</v>
      </c>
      <c r="B1" s="134"/>
      <c r="C1" s="134"/>
      <c r="D1" s="134"/>
      <c r="E1" s="134"/>
      <c r="F1" s="134"/>
      <c r="G1" s="134"/>
      <c r="H1" s="135"/>
    </row>
    <row r="2" ht="14.25" customHeight="1">
      <c r="A2" s="60" t="s">
        <v>343</v>
      </c>
      <c r="B2" s="136" t="s">
        <v>344</v>
      </c>
      <c r="C2" s="137" t="s">
        <v>345</v>
      </c>
      <c r="D2" s="137" t="s">
        <v>346</v>
      </c>
      <c r="E2" s="137" t="s">
        <v>347</v>
      </c>
      <c r="F2" s="137" t="s">
        <v>348</v>
      </c>
      <c r="G2" s="138" t="s">
        <v>349</v>
      </c>
      <c r="H2" s="109" t="s">
        <v>343</v>
      </c>
    </row>
    <row r="3" ht="14.25" customHeight="1">
      <c r="A3" s="139" t="s">
        <v>350</v>
      </c>
      <c r="B3" s="140">
        <v>1.0</v>
      </c>
      <c r="C3" s="141" t="s">
        <v>351</v>
      </c>
      <c r="D3" s="141" t="s">
        <v>352</v>
      </c>
      <c r="E3" s="141">
        <v>72.0</v>
      </c>
      <c r="F3" s="141"/>
      <c r="G3" s="142"/>
      <c r="H3" s="139" t="s">
        <v>350</v>
      </c>
    </row>
    <row r="4" ht="14.25" customHeight="1">
      <c r="A4" s="76"/>
      <c r="B4" s="143">
        <v>13.0</v>
      </c>
      <c r="C4" s="144" t="s">
        <v>353</v>
      </c>
      <c r="D4" s="144" t="s">
        <v>174</v>
      </c>
      <c r="E4" s="144"/>
      <c r="F4" s="145"/>
      <c r="G4" s="145"/>
      <c r="H4" s="76"/>
    </row>
    <row r="5" ht="14.25" customHeight="1">
      <c r="A5" s="76"/>
      <c r="B5" s="146"/>
      <c r="C5" s="147" t="s">
        <v>354</v>
      </c>
      <c r="D5" s="147" t="str">
        <f>'Tech Stack'!B52</f>
        <v>C9400-SUP-1XL</v>
      </c>
      <c r="E5" s="147">
        <v>2.0</v>
      </c>
      <c r="F5" s="147">
        <v>-350.0</v>
      </c>
      <c r="G5" s="148">
        <f t="shared" ref="G5:G7" si="1">ABS(F5)*3.41</f>
        <v>1193.5</v>
      </c>
      <c r="H5" s="76"/>
    </row>
    <row r="6" ht="14.25" customHeight="1">
      <c r="A6" s="76"/>
      <c r="B6" s="146"/>
      <c r="C6" s="147" t="s">
        <v>354</v>
      </c>
      <c r="D6" s="147"/>
      <c r="E6" s="147"/>
      <c r="F6" s="147"/>
      <c r="G6" s="148">
        <f t="shared" si="1"/>
        <v>0</v>
      </c>
      <c r="H6" s="76"/>
    </row>
    <row r="7" ht="14.25" customHeight="1">
      <c r="A7" s="76"/>
      <c r="B7" s="146"/>
      <c r="C7" s="147" t="s">
        <v>355</v>
      </c>
      <c r="D7" s="147" t="str">
        <f>'Tech Stack'!B56</f>
        <v>C9400-LC-12QC (12x40GE)</v>
      </c>
      <c r="E7" s="147">
        <v>12.0</v>
      </c>
      <c r="F7" s="147">
        <v>-280.0</v>
      </c>
      <c r="G7" s="148">
        <f t="shared" si="1"/>
        <v>954.8</v>
      </c>
      <c r="H7" s="76"/>
    </row>
    <row r="8" ht="14.25" customHeight="1">
      <c r="A8" s="76"/>
      <c r="B8" s="146"/>
      <c r="C8" s="147" t="s">
        <v>356</v>
      </c>
      <c r="D8" s="147" t="str">
        <f>'Tech Stack'!B53</f>
        <v>C9400-LC-48P</v>
      </c>
      <c r="E8" s="147">
        <v>48.0</v>
      </c>
      <c r="F8" s="147">
        <f t="shared" ref="F8:F13" si="2">-(E8*30+65)</f>
        <v>-1505</v>
      </c>
      <c r="G8" s="148">
        <f t="shared" ref="G8:G13" si="3">(ABS(F8)-E8*30)*3.41</f>
        <v>221.65</v>
      </c>
      <c r="H8" s="76"/>
    </row>
    <row r="9" ht="14.25" customHeight="1">
      <c r="A9" s="76"/>
      <c r="B9" s="146"/>
      <c r="C9" s="147" t="s">
        <v>356</v>
      </c>
      <c r="D9" s="147" t="str">
        <f>'Tech Stack'!B53</f>
        <v>C9400-LC-48P</v>
      </c>
      <c r="E9" s="147">
        <v>48.0</v>
      </c>
      <c r="F9" s="147">
        <f t="shared" si="2"/>
        <v>-1505</v>
      </c>
      <c r="G9" s="148">
        <f t="shared" si="3"/>
        <v>221.65</v>
      </c>
      <c r="H9" s="76"/>
    </row>
    <row r="10" ht="14.25" customHeight="1">
      <c r="A10" s="76"/>
      <c r="B10" s="146"/>
      <c r="C10" s="147" t="s">
        <v>356</v>
      </c>
      <c r="D10" s="147" t="str">
        <f>'Tech Stack'!B53</f>
        <v>C9400-LC-48P</v>
      </c>
      <c r="E10" s="147">
        <v>48.0</v>
      </c>
      <c r="F10" s="147">
        <f t="shared" si="2"/>
        <v>-1505</v>
      </c>
      <c r="G10" s="148">
        <f t="shared" si="3"/>
        <v>221.65</v>
      </c>
      <c r="H10" s="76"/>
    </row>
    <row r="11" ht="14.25" customHeight="1">
      <c r="A11" s="76"/>
      <c r="B11" s="146"/>
      <c r="C11" s="147" t="s">
        <v>356</v>
      </c>
      <c r="D11" s="147" t="str">
        <f>'Tech Stack'!B53</f>
        <v>C9400-LC-48P</v>
      </c>
      <c r="E11" s="147">
        <v>48.0</v>
      </c>
      <c r="F11" s="147">
        <f t="shared" si="2"/>
        <v>-1505</v>
      </c>
      <c r="G11" s="148">
        <f t="shared" si="3"/>
        <v>221.65</v>
      </c>
      <c r="H11" s="76"/>
    </row>
    <row r="12" ht="14.25" customHeight="1">
      <c r="A12" s="76"/>
      <c r="B12" s="146"/>
      <c r="C12" s="147" t="s">
        <v>356</v>
      </c>
      <c r="D12" s="147" t="str">
        <f>'Tech Stack'!B53</f>
        <v>C9400-LC-48P</v>
      </c>
      <c r="E12" s="147">
        <v>48.0</v>
      </c>
      <c r="F12" s="147">
        <f t="shared" si="2"/>
        <v>-1505</v>
      </c>
      <c r="G12" s="148">
        <f t="shared" si="3"/>
        <v>221.65</v>
      </c>
      <c r="H12" s="76"/>
    </row>
    <row r="13" ht="14.25" customHeight="1">
      <c r="A13" s="76"/>
      <c r="B13" s="146"/>
      <c r="C13" s="147" t="s">
        <v>357</v>
      </c>
      <c r="D13" s="147" t="str">
        <f>'Tech Stack'!B53</f>
        <v>C9400-LC-48P</v>
      </c>
      <c r="E13" s="147">
        <v>48.0</v>
      </c>
      <c r="F13" s="147">
        <f t="shared" si="2"/>
        <v>-1505</v>
      </c>
      <c r="G13" s="148">
        <f t="shared" si="3"/>
        <v>221.65</v>
      </c>
      <c r="H13" s="76"/>
    </row>
    <row r="14" ht="14.25" customHeight="1">
      <c r="A14" s="76"/>
      <c r="B14" s="146"/>
      <c r="C14" s="147" t="s">
        <v>358</v>
      </c>
      <c r="D14" s="147" t="str">
        <f>'Tech Stack'!B57</f>
        <v>C9400-LC-48UX</v>
      </c>
      <c r="E14" s="147">
        <v>48.0</v>
      </c>
      <c r="F14" s="147">
        <f>-(60*E14+70)</f>
        <v>-2950</v>
      </c>
      <c r="G14" s="148">
        <f>(ABS(F14)-E14*60)*3.41</f>
        <v>238.7</v>
      </c>
      <c r="H14" s="76"/>
    </row>
    <row r="15" ht="14.25" customHeight="1">
      <c r="A15" s="76"/>
      <c r="B15" s="146"/>
      <c r="C15" s="149" t="s">
        <v>359</v>
      </c>
      <c r="D15" s="150" t="s">
        <v>360</v>
      </c>
      <c r="E15" s="149"/>
      <c r="F15" s="151">
        <v>3200.0</v>
      </c>
      <c r="G15" s="151">
        <f t="shared" ref="G15:G23" si="4">ABS(F15)*3.41</f>
        <v>10912</v>
      </c>
      <c r="H15" s="76"/>
    </row>
    <row r="16" ht="14.25" customHeight="1">
      <c r="A16" s="76"/>
      <c r="B16" s="146"/>
      <c r="C16" s="149" t="s">
        <v>359</v>
      </c>
      <c r="D16" s="152" t="s">
        <v>360</v>
      </c>
      <c r="E16" s="149"/>
      <c r="F16" s="153">
        <v>3200.0</v>
      </c>
      <c r="G16" s="153">
        <f t="shared" si="4"/>
        <v>10912</v>
      </c>
      <c r="H16" s="76"/>
    </row>
    <row r="17" ht="14.25" customHeight="1">
      <c r="A17" s="76"/>
      <c r="B17" s="146"/>
      <c r="C17" s="149" t="s">
        <v>359</v>
      </c>
      <c r="D17" s="152" t="s">
        <v>360</v>
      </c>
      <c r="E17" s="149"/>
      <c r="F17" s="153">
        <v>3200.0</v>
      </c>
      <c r="G17" s="153">
        <f t="shared" si="4"/>
        <v>10912</v>
      </c>
      <c r="H17" s="76"/>
    </row>
    <row r="18" ht="14.25" customHeight="1">
      <c r="A18" s="76"/>
      <c r="B18" s="146"/>
      <c r="C18" s="149" t="s">
        <v>359</v>
      </c>
      <c r="D18" s="152" t="s">
        <v>360</v>
      </c>
      <c r="E18" s="154"/>
      <c r="F18" s="153">
        <v>3200.0</v>
      </c>
      <c r="G18" s="153">
        <f t="shared" si="4"/>
        <v>10912</v>
      </c>
      <c r="H18" s="76"/>
    </row>
    <row r="19" ht="14.25" customHeight="1">
      <c r="A19" s="76"/>
      <c r="B19" s="146"/>
      <c r="C19" s="149" t="s">
        <v>359</v>
      </c>
      <c r="D19" s="152" t="s">
        <v>360</v>
      </c>
      <c r="E19" s="154"/>
      <c r="F19" s="153">
        <v>3200.0</v>
      </c>
      <c r="G19" s="153">
        <f t="shared" si="4"/>
        <v>10912</v>
      </c>
      <c r="H19" s="76"/>
    </row>
    <row r="20" ht="14.25" customHeight="1">
      <c r="A20" s="76"/>
      <c r="B20" s="146"/>
      <c r="C20" s="149" t="s">
        <v>359</v>
      </c>
      <c r="D20" s="152" t="s">
        <v>360</v>
      </c>
      <c r="E20" s="154"/>
      <c r="F20" s="153">
        <v>3200.0</v>
      </c>
      <c r="G20" s="153">
        <f t="shared" si="4"/>
        <v>10912</v>
      </c>
      <c r="H20" s="76"/>
    </row>
    <row r="21" ht="14.25" customHeight="1">
      <c r="A21" s="76"/>
      <c r="B21" s="146"/>
      <c r="C21" s="149" t="s">
        <v>359</v>
      </c>
      <c r="D21" s="152"/>
      <c r="E21" s="154"/>
      <c r="F21" s="153"/>
      <c r="G21" s="153">
        <f t="shared" si="4"/>
        <v>0</v>
      </c>
      <c r="H21" s="76"/>
    </row>
    <row r="22" ht="14.25" customHeight="1">
      <c r="A22" s="76"/>
      <c r="B22" s="146"/>
      <c r="C22" s="155" t="s">
        <v>359</v>
      </c>
      <c r="D22" s="156"/>
      <c r="E22" s="157"/>
      <c r="F22" s="158"/>
      <c r="G22" s="158">
        <f t="shared" si="4"/>
        <v>0</v>
      </c>
      <c r="H22" s="76"/>
    </row>
    <row r="23" ht="14.25" customHeight="1">
      <c r="A23" s="76"/>
      <c r="B23" s="194"/>
      <c r="C23" s="161" t="s">
        <v>361</v>
      </c>
      <c r="D23" s="161" t="s">
        <v>362</v>
      </c>
      <c r="E23" s="161"/>
      <c r="F23" s="161">
        <v>600.0</v>
      </c>
      <c r="G23" s="162">
        <f t="shared" si="4"/>
        <v>2046</v>
      </c>
      <c r="H23" s="76"/>
    </row>
    <row r="24" ht="14.25" customHeight="1">
      <c r="A24" s="76"/>
      <c r="B24" s="224">
        <v>2.0</v>
      </c>
      <c r="C24" s="164" t="s">
        <v>363</v>
      </c>
      <c r="D24" s="165" t="s">
        <v>364</v>
      </c>
      <c r="E24" s="164">
        <v>48.0</v>
      </c>
      <c r="F24" s="164"/>
      <c r="G24" s="225"/>
      <c r="H24" s="76"/>
    </row>
    <row r="25" ht="14.25" customHeight="1">
      <c r="A25" s="76"/>
      <c r="B25" s="167">
        <v>2.0</v>
      </c>
      <c r="C25" s="168" t="s">
        <v>363</v>
      </c>
      <c r="D25" s="169" t="s">
        <v>364</v>
      </c>
      <c r="E25" s="168">
        <v>48.0</v>
      </c>
      <c r="F25" s="170"/>
      <c r="G25" s="226"/>
      <c r="H25" s="76"/>
    </row>
    <row r="26" ht="14.25" customHeight="1">
      <c r="A26" s="76"/>
      <c r="B26" s="167">
        <v>2.0</v>
      </c>
      <c r="C26" s="168" t="s">
        <v>363</v>
      </c>
      <c r="D26" s="169" t="s">
        <v>364</v>
      </c>
      <c r="E26" s="168">
        <v>48.0</v>
      </c>
      <c r="F26" s="170"/>
      <c r="G26" s="226"/>
      <c r="H26" s="76"/>
    </row>
    <row r="27" ht="14.25" customHeight="1">
      <c r="A27" s="76"/>
      <c r="B27" s="167">
        <v>2.0</v>
      </c>
      <c r="C27" s="168" t="s">
        <v>363</v>
      </c>
      <c r="D27" s="169" t="s">
        <v>364</v>
      </c>
      <c r="E27" s="168">
        <v>48.0</v>
      </c>
      <c r="F27" s="170"/>
      <c r="G27" s="226"/>
      <c r="H27" s="76"/>
    </row>
    <row r="28" ht="14.25" customHeight="1">
      <c r="A28" s="76"/>
      <c r="B28" s="167">
        <v>2.0</v>
      </c>
      <c r="C28" s="141" t="s">
        <v>363</v>
      </c>
      <c r="D28" s="140" t="s">
        <v>364</v>
      </c>
      <c r="E28" s="141">
        <v>48.0</v>
      </c>
      <c r="F28" s="172"/>
      <c r="G28" s="227"/>
      <c r="H28" s="76"/>
    </row>
    <row r="29" ht="14.25" customHeight="1">
      <c r="A29" s="76"/>
      <c r="B29" s="167">
        <v>2.0</v>
      </c>
      <c r="C29" s="170" t="s">
        <v>363</v>
      </c>
      <c r="D29" s="170" t="s">
        <v>364</v>
      </c>
      <c r="E29" s="170">
        <v>48.0</v>
      </c>
      <c r="F29" s="170"/>
      <c r="G29" s="226"/>
      <c r="H29" s="76"/>
    </row>
    <row r="30" ht="14.25" customHeight="1">
      <c r="A30" s="76"/>
      <c r="B30" s="228">
        <v>2.0</v>
      </c>
      <c r="C30" s="176" t="s">
        <v>363</v>
      </c>
      <c r="D30" s="176" t="s">
        <v>364</v>
      </c>
      <c r="E30" s="176">
        <v>48.0</v>
      </c>
      <c r="F30" s="176"/>
      <c r="G30" s="229"/>
      <c r="H30" s="76"/>
    </row>
    <row r="31" ht="14.25" customHeight="1">
      <c r="A31" s="76"/>
      <c r="B31" s="230">
        <v>6.0</v>
      </c>
      <c r="C31" s="231" t="s">
        <v>369</v>
      </c>
      <c r="D31" s="232" t="s">
        <v>370</v>
      </c>
      <c r="E31" s="231"/>
      <c r="F31" s="231">
        <v>10000.0</v>
      </c>
      <c r="G31" s="233">
        <v>2450.0</v>
      </c>
      <c r="H31" s="76"/>
    </row>
    <row r="32" ht="14.25" customHeight="1">
      <c r="A32" s="76"/>
      <c r="B32" s="199">
        <v>6.0</v>
      </c>
      <c r="C32" s="200" t="s">
        <v>369</v>
      </c>
      <c r="D32" s="201" t="s">
        <v>370</v>
      </c>
      <c r="E32" s="200"/>
      <c r="F32" s="200">
        <v>10000.0</v>
      </c>
      <c r="G32" s="202">
        <v>2450.0</v>
      </c>
      <c r="H32" s="76"/>
    </row>
    <row r="33" ht="14.25" customHeight="1">
      <c r="A33" s="76"/>
      <c r="B33" s="199">
        <v>6.0</v>
      </c>
      <c r="C33" s="200" t="s">
        <v>369</v>
      </c>
      <c r="D33" s="201" t="s">
        <v>370</v>
      </c>
      <c r="E33" s="200"/>
      <c r="F33" s="200">
        <v>10000.0</v>
      </c>
      <c r="G33" s="202">
        <v>2450.0</v>
      </c>
      <c r="H33" s="76"/>
    </row>
    <row r="34" ht="14.25" customHeight="1">
      <c r="A34" s="78"/>
      <c r="B34" s="199">
        <v>6.0</v>
      </c>
      <c r="C34" s="200" t="s">
        <v>369</v>
      </c>
      <c r="D34" s="201" t="s">
        <v>370</v>
      </c>
      <c r="E34" s="200"/>
      <c r="F34" s="200">
        <v>10000.0</v>
      </c>
      <c r="G34" s="202">
        <v>2450.0</v>
      </c>
      <c r="H34" s="78"/>
    </row>
    <row r="35" ht="14.25" customHeight="1">
      <c r="A35" s="203" t="s">
        <v>371</v>
      </c>
      <c r="B35" s="204">
        <f>SUM(B4:B34)</f>
        <v>51</v>
      </c>
      <c r="C35" s="205"/>
      <c r="D35" s="205"/>
      <c r="E35" s="205"/>
      <c r="F35" s="205">
        <f>SUM(F5:F34)</f>
        <v>47190</v>
      </c>
      <c r="G35" s="205">
        <f>SUM(G4:G34)</f>
        <v>81034.9</v>
      </c>
      <c r="H35" s="206"/>
    </row>
    <row r="36" ht="14.25" customHeight="1">
      <c r="B36" s="62"/>
      <c r="C36" s="62"/>
      <c r="D36" s="62"/>
      <c r="E36" s="207" t="s">
        <v>372</v>
      </c>
      <c r="F36" s="207">
        <f>SUM(F15:F23)</f>
        <v>19800</v>
      </c>
      <c r="G36" s="62"/>
    </row>
    <row r="37" ht="14.25" customHeight="1">
      <c r="B37" s="62"/>
      <c r="C37" s="62"/>
      <c r="D37" s="62"/>
      <c r="E37" s="208" t="s">
        <v>373</v>
      </c>
      <c r="F37" s="208">
        <f>SUM(F31:F34)</f>
        <v>40000</v>
      </c>
      <c r="G37" s="62"/>
    </row>
    <row r="38" ht="14.25" customHeight="1">
      <c r="B38" s="62"/>
      <c r="E38" s="42"/>
      <c r="G38" s="42"/>
    </row>
    <row r="39" ht="14.25" customHeight="1">
      <c r="D39" s="42" t="s">
        <v>374</v>
      </c>
      <c r="E39" s="42" t="s">
        <v>375</v>
      </c>
    </row>
    <row r="40" ht="14.25" customHeight="1">
      <c r="B40" s="209" t="s">
        <v>376</v>
      </c>
      <c r="C40" s="210" t="s">
        <v>377</v>
      </c>
      <c r="D40" s="211">
        <v>12000.0</v>
      </c>
      <c r="E40" s="212">
        <v>86000.0</v>
      </c>
    </row>
    <row r="41" ht="14.25" customHeight="1">
      <c r="B41" s="213" t="s">
        <v>378</v>
      </c>
      <c r="C41" s="214" t="s">
        <v>377</v>
      </c>
      <c r="D41" s="211">
        <v>12000.0</v>
      </c>
      <c r="E41" s="215">
        <v>86000.0</v>
      </c>
    </row>
    <row r="42" ht="14.25" customHeight="1">
      <c r="C42" s="216" t="s">
        <v>371</v>
      </c>
      <c r="D42" s="216">
        <f t="shared" ref="D42:E42" si="5">SUM(D40:D41)</f>
        <v>24000</v>
      </c>
      <c r="E42" s="216">
        <f t="shared" si="5"/>
        <v>172000</v>
      </c>
    </row>
    <row r="43" ht="14.25" customHeight="1">
      <c r="B43" s="62"/>
      <c r="E43" s="22"/>
      <c r="F43" s="22"/>
      <c r="G43" s="22"/>
    </row>
    <row r="44" ht="14.25" customHeight="1">
      <c r="B44" s="217" t="s">
        <v>379</v>
      </c>
      <c r="C44" s="218">
        <f>SUM('Tech Stack'!B43:E43)</f>
        <v>244</v>
      </c>
      <c r="E44" s="219"/>
      <c r="F44" s="22"/>
      <c r="G44" s="22"/>
    </row>
    <row r="45" ht="14.25" customHeight="1">
      <c r="B45" s="220" t="s">
        <v>380</v>
      </c>
      <c r="C45" s="218">
        <f>COUNTIF(C2:C35,"UTP Patch Panel")*48</f>
        <v>336</v>
      </c>
      <c r="E45" s="22"/>
      <c r="F45" s="22"/>
      <c r="G45" s="22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">
    <mergeCell ref="A1:H1"/>
    <mergeCell ref="A3:A34"/>
    <mergeCell ref="H3:H34"/>
    <mergeCell ref="B4:B23"/>
  </mergeCells>
  <hyperlinks>
    <hyperlink r:id="rId2" ref="D31"/>
    <hyperlink r:id="rId3" ref="C40"/>
    <hyperlink r:id="rId4" ref="C41"/>
  </hyperlinks>
  <printOptions/>
  <pageMargins bottom="0.75" footer="0.0" header="0.0" left="0.7" right="0.7" top="0.75"/>
  <pageSetup orientation="landscape"/>
  <drawing r:id="rId5"/>
  <legacyDrawing r:id="rId6"/>
</worksheet>
</file>