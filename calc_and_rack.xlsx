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30673C26-9998-47A5-BDF3-73F3AB649FD0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Cable" sheetId="1" r:id="rId1"/>
    <sheet name="Fiber" sheetId="5" r:id="rId2"/>
    <sheet name="MDF" sheetId="2" r:id="rId3"/>
    <sheet name="IDF1" sheetId="3" r:id="rId4"/>
    <sheet name="IDF..." sheetId="4" r:id="rId5"/>
    <sheet name="Traffic Estimatio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D40" i="7" l="1" a="1"/>
  <c r="D40" i="7" s="1"/>
  <c r="C56" i="7" s="1"/>
  <c r="B40" i="7" a="1"/>
  <c r="B40" i="7" s="1"/>
  <c r="C52" i="7" s="1"/>
  <c r="E41" i="7" a="1"/>
  <c r="E41" i="7" s="1"/>
  <c r="C66" i="7" s="1"/>
  <c r="E42" i="7" a="1"/>
  <c r="E42" i="7" s="1"/>
  <c r="C74" i="7" s="1"/>
  <c r="E43" i="7" a="1"/>
  <c r="E43" i="7" s="1"/>
  <c r="C82" i="7" s="1"/>
  <c r="E40" i="7" a="1"/>
  <c r="E40" i="7" s="1"/>
  <c r="C58" i="7" s="1"/>
  <c r="D41" i="7" a="1"/>
  <c r="D41" i="7" s="1"/>
  <c r="C64" i="7" s="1"/>
  <c r="D42" i="7" a="1"/>
  <c r="D42" i="7" s="1"/>
  <c r="C72" i="7" s="1"/>
  <c r="D43" i="7" a="1"/>
  <c r="D43" i="7" s="1"/>
  <c r="C81" i="7" s="1"/>
  <c r="B41" i="7" a="1"/>
  <c r="B41" i="7" s="1"/>
  <c r="C61" i="7" s="1"/>
  <c r="B42" i="7" a="1"/>
  <c r="B42" i="7" s="1"/>
  <c r="C69" i="7" s="1"/>
  <c r="B43" i="7" a="1"/>
  <c r="B43" i="7" s="1"/>
  <c r="C77" i="7" s="1"/>
  <c r="J37" i="7"/>
  <c r="J35" i="7"/>
  <c r="J36" i="7"/>
  <c r="F22" i="7"/>
  <c r="E22" i="7" s="1"/>
  <c r="F23" i="7"/>
  <c r="E23" i="7" s="1"/>
  <c r="F24" i="7"/>
  <c r="E24" i="7" s="1"/>
  <c r="F25" i="7"/>
  <c r="E25" i="7" s="1"/>
  <c r="F26" i="7"/>
  <c r="E26" i="7" s="1"/>
  <c r="F27" i="7"/>
  <c r="E27" i="7" s="1"/>
  <c r="F28" i="7"/>
  <c r="E28" i="7" s="1"/>
  <c r="F29" i="7"/>
  <c r="E29" i="7" s="1"/>
  <c r="F30" i="7"/>
  <c r="E30" i="7" s="1"/>
  <c r="F31" i="7"/>
  <c r="E31" i="7" s="1"/>
  <c r="F32" i="7"/>
  <c r="E32" i="7" s="1"/>
  <c r="F33" i="7"/>
  <c r="E33" i="7" s="1"/>
  <c r="F11" i="7"/>
  <c r="E11" i="7" s="1"/>
  <c r="F12" i="7"/>
  <c r="E12" i="7" s="1"/>
  <c r="F13" i="7"/>
  <c r="E13" i="7" s="1"/>
  <c r="F14" i="7"/>
  <c r="E14" i="7" s="1"/>
  <c r="F15" i="7"/>
  <c r="E15" i="7" s="1"/>
  <c r="F16" i="7"/>
  <c r="E16" i="7" s="1"/>
  <c r="F17" i="7"/>
  <c r="E17" i="7" s="1"/>
  <c r="F18" i="7"/>
  <c r="E18" i="7" s="1"/>
  <c r="F19" i="7"/>
  <c r="E19" i="7" s="1"/>
  <c r="F20" i="7"/>
  <c r="E20" i="7" s="1"/>
  <c r="F21" i="7"/>
  <c r="E21" i="7" s="1"/>
  <c r="F10" i="7"/>
  <c r="E10" i="7" s="1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10" i="7"/>
  <c r="E12" i="5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B44" i="7" l="1"/>
  <c r="C55" i="7"/>
  <c r="C65" i="7"/>
  <c r="C73" i="7"/>
  <c r="C80" i="7"/>
  <c r="J34" i="7"/>
  <c r="E34" i="7"/>
  <c r="I5" i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<sst xmlns="http://schemas.openxmlformats.org/spreadsheetml/2006/main" count="494" uniqueCount="237">
  <si>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</si>
  <si>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</si>
  <si>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</si>
  <si>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</si>
  <si>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</si>
  <si>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</si>
  <si>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</si>
  <si>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</si>
  <si>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</si>
  <si>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</si>
  <si>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</si>
  <si>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</si>
  <si>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</si>
  <si>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</si>
  <si>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</si>
  <si>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</si>
  <si>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</si>
  <si>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</si>
  <si>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</si>
  <si>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</si>
  <si>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</si>
  <si>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</si>
  <si>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</si>
  <si>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</si>
  <si>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</si>
  <si>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</si>
  <si>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</si>
  <si>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</si>
  <si>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</si>
  <si>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</si>
  <si>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</si>
  <si>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</si>
  <si>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</si>
  <si>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</si>
  <si>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</si>
  <si>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</si>
  <si>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</si>
  <si>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</si>
  <si>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</si>
  <si>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</si>
  <si>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</si>
  <si>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</si>
  <si>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</si>
  <si>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</si>
  <si>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</si>
  <si>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</si>
  <si>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</si>
  <si>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</si>
  <si>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</si>
  <si>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</si>
  <si>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</si>
  <si>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</si>
  <si>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</si>
  <si>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</si>
  <si>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</si>
  <si>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</si>
  <si>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</si>
  <si>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</si>
  <si>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</si>
  <si>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</si>
  <si>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</si>
  <si>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</si>
  <si>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</si>
  <si>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</si>
  <si>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</si>
  <si>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</si>
  <si>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</si>
  <si>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</si>
  <si>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</si>
  <si>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</si>
  <si>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</si>
  <si>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</si>
  <si>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</si>
  <si>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</si>
  <si>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</si>
  <si>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</si>
  <si>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</si>
  <si>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</si>
  <si>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</si>
  <si>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</si>
  <si>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</si>
  <si>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</si>
  <si>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</si>
  <si>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</si>
  <si>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</si>
  <si>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</si>
  <si>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</si>
  <si>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</si>
  <si>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</si>
  <si>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</si>
  <si>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</si>
  <si>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</si>
  <si>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</si>
  <si>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</si>
  <si>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</si>
  <si>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</si>
  <si>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</si>
  <si>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</si>
  <si>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</si>
  <si>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</si>
  <si>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</si>
  <si>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</si>
  <si>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</si>
  <si>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</si>
  <si>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</si>
  <si>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</si>
  <si>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</si>
  <si>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</si>
  <si>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</si>
  <si>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</si>
  <si>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</si>
  <si>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</si>
  <si>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</si>
  <si>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</si>
  <si>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</si>
  <si>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</si>
  <si>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</si>
  <si>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</si>
  <si>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</si>
  <si>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</si>
  <si>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</si>
  <si>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</si>
  <si>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</si>
  <si>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</si>
  <si>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</si>
  <si>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</si>
  <si>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</si>
  <si>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</si>
  <si>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</si>
  <si>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</si>
  <si>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</si>
  <si>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</si>
  <si>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</si>
  <si>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</si>
  <si>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</si>
  <si>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</si>
  <si>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</si>
  <si>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</si>
  <si>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</si>
  <si>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</si>
  <si>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</si>
  <si>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</si>
  <si>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</si>
  <si>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</si>
  <si>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</si>
  <si>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</si>
  <si>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</si>
  <si>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</si>
  <si>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</si>
  <si>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</si>
  <si>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</si>
  <si>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</si>
  <si>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</si>
  <si>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</si>
  <si>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</si>
  <si>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</si>
  <si>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</si>
  <si>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</si>
  <si>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</si>
  <si>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</si>
  <si>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</si>
  <si>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</si>
  <si>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</si>
  <si>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</si>
  <si>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</si>
  <si>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</si>
  <si>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</si>
  <si>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</si>
  <si>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</si>
  <si>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</si>
  <si>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</si>
  <si>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</si>
  <si>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</si>
  <si>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</si>
  <si>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</si>
  <si>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</si>
  <si>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</si>
  <si>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</si>
  <si>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</si>
  <si>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</si>
  <si>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</si>
  <si>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</si>
  <si>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</si>
  <si>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</si>
  <si>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</si>
  <si>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</si>
  <si>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</si>
  <si>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</si>
  <si>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</si>
  <si>
    <t>Number of workstations</t>
  </si>
  <si>
    <t>Number of IP phones</t>
  </si>
  <si>
    <t>Number of access points</t>
  </si>
  <si>
    <t>Device</t>
  </si>
  <si>
    <t>Workstation</t>
  </si>
  <si>
    <t>IP phone</t>
  </si>
  <si>
    <t>Access Point</t>
  </si>
  <si>
    <t>Number of rooms</t>
  </si>
  <si>
    <t>Floor</t>
  </si>
  <si>
    <t>GROUND FLOOR</t>
  </si>
  <si>
    <t>FIRST FLOOR</t>
  </si>
  <si>
    <t>Total Estimated Traffic [Gbps]</t>
  </si>
  <si>
    <t>Estimated Traffic/Room [Gbps]</t>
  </si>
  <si>
    <t>Number of simple outlets</t>
  </si>
  <si>
    <t>Estimated Average Traffic [Mpbs]</t>
  </si>
  <si>
    <t>Concurrency factor</t>
  </si>
  <si>
    <t>Estimated peak traffic value in network [Gbps]</t>
  </si>
  <si>
    <t>Total number of simple outlets</t>
  </si>
  <si>
    <t>DF</t>
  </si>
  <si>
    <t>ACCESS POINT</t>
  </si>
  <si>
    <t>FIREWALL</t>
  </si>
  <si>
    <t>CHASSIS</t>
  </si>
  <si>
    <t>SUPERVISOR</t>
  </si>
  <si>
    <t>link</t>
  </si>
  <si>
    <t>Required number/DF</t>
  </si>
  <si>
    <t>IP PHONES</t>
  </si>
  <si>
    <t>C9400-SUP-1XL</t>
  </si>
  <si>
    <t>C9400-LC-48UXM</t>
  </si>
  <si>
    <t>LINE CARD (AP)</t>
  </si>
  <si>
    <t>LINE CARD (WS)</t>
  </si>
  <si>
    <t>C9400-LC-48P</t>
  </si>
  <si>
    <t>LINE CARD (IPPHONE)</t>
  </si>
  <si>
    <t>Cisco Wireless 9179F</t>
  </si>
  <si>
    <t>Cisco FirePower 4145</t>
  </si>
  <si>
    <t>Cisco Catalyst 9410R</t>
  </si>
  <si>
    <t>LINE CARD (OF)</t>
  </si>
  <si>
    <t>C9400-LC-12QC</t>
  </si>
  <si>
    <t>Price</t>
  </si>
  <si>
    <t>Cisco IP Phone 8861</t>
  </si>
  <si>
    <t>Total number of IP Phones</t>
  </si>
  <si>
    <t>Total number of AP</t>
  </si>
  <si>
    <t>Total number of WS</t>
  </si>
  <si>
    <t>Cisco Wireless 9178</t>
  </si>
  <si>
    <t>Number of WS</t>
  </si>
  <si>
    <t>Number of AP</t>
  </si>
  <si>
    <t>Number of IP Phones</t>
  </si>
  <si>
    <t>Number of Room Types Covered</t>
  </si>
  <si>
    <t>Total outlets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</si>
</sst>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9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03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20" xfId="0" applyFont="1" applyBorder="1"/>
    <xf numFmtId="0" fontId="2" fillId="0" borderId="3" xfId="0" applyFont="1" applyBorder="1"/>
    <xf numFmtId="0" fontId="7" fillId="10" borderId="21" xfId="0" applyFont="1" applyFill="1" applyBorder="1"/>
    <xf numFmtId="0" fontId="7" fillId="10" borderId="22" xfId="0" applyFont="1" applyFill="1" applyBorder="1"/>
    <xf numFmtId="0" fontId="2" fillId="10" borderId="23" xfId="0" applyFont="1" applyFill="1" applyBorder="1"/>
    <xf numFmtId="0" fontId="2" fillId="10" borderId="1" xfId="0" applyFont="1" applyFill="1" applyBorder="1"/>
    <xf numFmtId="0" fontId="2" fillId="0" borderId="21" xfId="0" applyFont="1" applyBorder="1"/>
    <xf numFmtId="0" fontId="2" fillId="0" borderId="24" xfId="0" applyFont="1" applyBorder="1"/>
    <xf numFmtId="0" fontId="2" fillId="0" borderId="22" xfId="0" applyFont="1" applyBorder="1"/>
    <xf numFmtId="0" fontId="2" fillId="11" borderId="1" xfId="0" applyFont="1" applyFill="1" applyBorder="1"/>
    <xf numFmtId="0" fontId="2" fillId="0" borderId="7" xfId="0" applyFont="1" applyBorder="1"/>
    <xf numFmtId="0" fontId="2" fillId="0" borderId="25" xfId="0" applyFont="1" applyBorder="1"/>
    <xf numFmtId="0" fontId="1" fillId="12" borderId="26" xfId="0" applyFont="1" applyFill="1" applyBorder="1"/>
    <xf numFmtId="0" fontId="1" fillId="12" borderId="27" xfId="0" applyFont="1" applyFill="1" applyBorder="1"/>
    <xf numFmtId="0" fontId="1" fillId="12" borderId="28" xfId="0" applyFont="1" applyFill="1" applyBorder="1"/>
    <xf numFmtId="0" fontId="1" fillId="11" borderId="29" xfId="0" applyFont="1" applyFill="1" applyBorder="1"/>
    <xf numFmtId="0" fontId="5" fillId="0" borderId="0" xfId="0" applyFont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1" fillId="13" borderId="29" xfId="0" applyFont="1" applyFill="1" applyBorder="1"/>
    <xf numFmtId="0" fontId="2" fillId="14" borderId="29" xfId="0" applyFont="1" applyFill="1" applyBorder="1" applyAlignment="1">
      <alignment vertical="top" wrapText="1"/>
    </xf>
    <xf numFmtId="0" fontId="2" fillId="14" borderId="29" xfId="0" applyFont="1" applyFill="1" applyBorder="1"/>
    <xf numFmtId="0" fontId="2" fillId="14" borderId="29" xfId="0" applyFont="1" applyFill="1" applyBorder="1" applyAlignment="1">
      <alignment wrapText="1"/>
    </xf>
    <xf numFmtId="0" fontId="2" fillId="3" borderId="29" xfId="0" applyFont="1" applyFill="1" applyBorder="1"/>
    <xf numFmtId="0" fontId="1" fillId="0" borderId="0" xfId="0" applyFont="1" applyAlignment="1">
      <alignment wrapText="1"/>
    </xf>
    <xf numFmtId="0" fontId="2" fillId="13" borderId="29" xfId="0" applyFont="1" applyFill="1" applyBorder="1"/>
    <xf numFmtId="0" fontId="8" fillId="15" borderId="29" xfId="0" applyFont="1" applyFill="1" applyBorder="1"/>
    <xf numFmtId="0" fontId="5" fillId="0" borderId="29" xfId="0" applyFont="1" applyBorder="1"/>
    <xf numFmtId="2" fontId="5" fillId="0" borderId="29" xfId="0" applyNumberFormat="1" applyFont="1" applyBorder="1"/>
    <xf numFmtId="49" fontId="5" fillId="0" borderId="29" xfId="0" applyNumberFormat="1" applyFont="1" applyBorder="1"/>
    <xf numFmtId="0" fontId="11" fillId="0" borderId="29" xfId="0" applyFont="1" applyBorder="1"/>
    <xf numFmtId="0" fontId="10" fillId="0" borderId="29" xfId="0" applyFont="1" applyBorder="1" applyAlignment="1">
      <alignment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2" fillId="0" borderId="79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65" xfId="1" applyBorder="1" applyAlignment="1">
      <alignment horizontal="center" vertical="center"/>
    </xf>
    <xf numFmtId="0" fontId="12" fillId="0" borderId="80" xfId="0" applyFont="1" applyBorder="1" applyAlignment="1">
      <alignment horizontal="center" vertical="center"/>
    </xf>
    <xf numFmtId="0" fontId="13" fillId="0" borderId="62" xfId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2" fillId="0" borderId="62" xfId="0" applyFon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2" fillId="0" borderId="69" xfId="0" applyFont="1" applyBorder="1" applyAlignment="1">
      <alignment horizontal="center" vertical="center"/>
    </xf>
    <xf numFmtId="0" fontId="13" fillId="0" borderId="63" xfId="1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13" fillId="0" borderId="74" xfId="1" applyBorder="1" applyAlignment="1">
      <alignment horizontal="center" vertical="center"/>
    </xf>
    <xf numFmtId="0" fontId="13" fillId="0" borderId="65" xfId="1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82" xfId="0" applyFont="1" applyBorder="1" applyAlignment="1">
      <alignment horizontal="center" vertical="center"/>
    </xf>
    <xf numFmtId="0" fontId="12" fillId="0" borderId="68" xfId="0" applyFont="1" applyBorder="1" applyAlignment="1">
      <alignment horizontal="center" vertical="center"/>
    </xf>
    <xf numFmtId="0" fontId="12" fillId="0" borderId="78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49" fontId="1" fillId="8" borderId="5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2" fillId="7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8" borderId="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2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2" fillId="7" borderId="2" xfId="0" applyFont="1" applyFill="1" applyBorder="1" applyAlignment="1">
      <alignment horizontal="center" vertical="center"/>
    </xf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11" fillId="0" borderId="49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textRotation="255"/>
    </xf>
    <xf numFmtId="0" fontId="3" fillId="0" borderId="19" xfId="0" applyFont="1" applyBorder="1"/>
    <xf numFmtId="0" fontId="12" fillId="0" borderId="8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84" xfId="0" applyFont="1" applyBorder="1" applyAlignment="1">
      <alignment horizontal="center" vertical="center"/>
    </xf>
    <xf numFmtId="0" fontId="12" fillId="0" borderId="85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12" fillId="0" borderId="87" xfId="0" applyFont="1" applyBorder="1" applyAlignment="1">
      <alignment horizontal="center" vertical="center"/>
    </xf>
    <xf numFmtId="0" fontId="12" fillId="0" borderId="85" xfId="0" applyFon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2" fillId="0" borderId="77" xfId="0" applyFont="1" applyBorder="1" applyAlignment="1">
      <alignment horizontal="center" vertical="center"/>
    </xf>
    <xf numFmtId="0" fontId="12" fillId="0" borderId="88" xfId="0" applyFont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2" fillId="0" borderId="67" xfId="0" applyFont="1" applyBorder="1" applyAlignment="1">
      <alignment horizontal="center" vertical="center"/>
    </xf>
    <xf numFmtId="0" fontId="12" fillId="0" borderId="72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89" xfId="0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12" fillId="0" borderId="73" xfId="0" applyFont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12" fillId="0" borderId="92" xfId="0" applyFont="1" applyBorder="1" applyAlignment="1">
      <alignment horizontal="center" vertical="center"/>
    </xf>
    <xf numFmtId="0" fontId="12" fillId="0" borderId="90" xfId="0" applyFont="1" applyBorder="1" applyAlignment="1">
      <alignment horizontal="center" vertical="center"/>
    </xf>
    <xf numFmtId="0" fontId="12" fillId="0" borderId="93" xfId="0" applyFont="1" applyBorder="1" applyAlignment="1">
      <alignment horizontal="center" vertical="center"/>
    </xf>
    <xf numFmtId="0" fontId="12" fillId="0" borderId="94" xfId="0" applyFont="1" applyBorder="1" applyAlignment="1">
      <alignment horizontal="center" vertical="center"/>
    </xf>
    <xf numFmtId="0" fontId="12" fillId="0" borderId="81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isco.com/c/en/us/products/collateral/switches/catalyst-9400-series-switches/nb-06-cat9400-series-line-data-sheet-cte-en.html" TargetMode="External"/><Relationship Id="rId13" Type="http://schemas.openxmlformats.org/officeDocument/2006/relationships/hyperlink" Target="https://www.cisco.com/c/en/us/products/collateral/switches/catalyst-9400-series-switches/nb-06-cat9400-series-line-data-sheet-cte-en.html" TargetMode="External"/><Relationship Id="rId3" Type="http://schemas.openxmlformats.org/officeDocument/2006/relationships/hyperlink" Target="https://www.cisco.com/c/en/us/products/collateral/switches/catalyst-9400-series-switches/nb-06-cat9400-series-line-data-sheet-cte-en.html" TargetMode="External"/><Relationship Id="rId7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2" Type="http://schemas.openxmlformats.org/officeDocument/2006/relationships/hyperlink" Target="https://www.cisco.com/c/en/us/products/collateral/switches/catalyst-9400-series-switches/nb-06-cat9400-series-line-data-sheet-cte-en.html" TargetMode="External"/><Relationship Id="rId17" Type="http://schemas.openxmlformats.org/officeDocument/2006/relationships/hyperlink" Target="https://www.cisco.com/c/en/us/products/collateral/switches/catalyst-9400-series-switches/nb-06-cat9400-series-line-data-sheet-cte-en.html" TargetMode="External"/><Relationship Id="rId2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6" Type="http://schemas.openxmlformats.org/officeDocument/2006/relationships/hyperlink" Target="https://www.cisco.com/c/en/us/products/collateral/switches/catalyst-9400-series-switches/nb-06-cat9400-series-line-data-sheet-cte-en.html" TargetMode="External"/><Relationship Id="rId1" Type="http://schemas.openxmlformats.org/officeDocument/2006/relationships/hyperlink" Target="https://www.cisco.com/c/en/us/products/collateral/security/firepower-2100-series/datasheet-c78-742473.html" TargetMode="External"/><Relationship Id="rId6" Type="http://schemas.openxmlformats.org/officeDocument/2006/relationships/hyperlink" Target="https://www.router-switch.com/pdf/c9407r-datasheet.pdf" TargetMode="External"/><Relationship Id="rId11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5" Type="http://schemas.openxmlformats.org/officeDocument/2006/relationships/hyperlink" Target="https://www.router-switch.com/c9410r.html" TargetMode="External"/><Relationship Id="rId15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0" Type="http://schemas.openxmlformats.org/officeDocument/2006/relationships/hyperlink" Target="https://www.router-switch.com/pdf/c9407r-datasheet.pdf" TargetMode="External"/><Relationship Id="rId4" Type="http://schemas.openxmlformats.org/officeDocument/2006/relationships/hyperlink" Target="https://www.cisco.com/c/en/us/products/collateral/switches/catalyst-9400-series-switches/nb-06-cat9400-series-line-data-sheet-cte-en.html" TargetMode="External"/><Relationship Id="rId9" Type="http://schemas.openxmlformats.org/officeDocument/2006/relationships/hyperlink" Target="https://www.cisco.com/c/en/us/products/collateral/switches/catalyst-9400-series-switches/nb-06-cat9400-series-line-data-sheet-cte-en.html" TargetMode="External"/><Relationship Id="rId14" Type="http://schemas.openxmlformats.org/officeDocument/2006/relationships/hyperlink" Target="https://www.router-switch.com/pdf/c9407r-datashee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34" activePane="bottomLeft" state="frozen"/>
      <selection pane="bottomLeft" activeCell="F20" sqref="F20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123" t="s">
        <v>11</v>
      </c>
      <c r="C4" s="124"/>
      <c r="D4" s="124"/>
      <c r="E4" s="124"/>
      <c r="F4" s="124"/>
      <c r="G4" s="124"/>
      <c r="H4" s="124"/>
      <c r="I4" s="124"/>
      <c r="J4" s="125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117" t="s">
        <v>23</v>
      </c>
      <c r="C10" s="118"/>
      <c r="D10" s="118"/>
      <c r="E10" s="118"/>
      <c r="F10" s="118"/>
      <c r="G10" s="118"/>
      <c r="H10" s="118"/>
      <c r="I10" s="118"/>
      <c r="J10" s="119"/>
    </row>
    <row r="11" spans="1:10" ht="14.25" customHeight="1" x14ac:dyDescent="0.3">
      <c r="A11" s="12" t="s">
        <v>24</v>
      </c>
      <c r="B11" s="120"/>
      <c r="C11" s="121"/>
      <c r="D11" s="121"/>
      <c r="E11" s="121"/>
      <c r="F11" s="121"/>
      <c r="G11" s="121"/>
      <c r="H11" s="121"/>
      <c r="I11" s="121"/>
      <c r="J11" s="122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117" t="s">
        <v>23</v>
      </c>
      <c r="C24" s="118"/>
      <c r="D24" s="118"/>
      <c r="E24" s="118"/>
      <c r="F24" s="118"/>
      <c r="G24" s="118"/>
      <c r="H24" s="118"/>
      <c r="I24" s="118"/>
      <c r="J24" s="119"/>
    </row>
    <row r="25" spans="1:10" ht="14.25" customHeight="1" x14ac:dyDescent="0.3">
      <c r="A25" s="12" t="s">
        <v>42</v>
      </c>
      <c r="B25" s="120"/>
      <c r="C25" s="121"/>
      <c r="D25" s="121"/>
      <c r="E25" s="121"/>
      <c r="F25" s="121"/>
      <c r="G25" s="121"/>
      <c r="H25" s="121"/>
      <c r="I25" s="121"/>
      <c r="J25" s="122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123" t="s">
        <v>39</v>
      </c>
      <c r="C31" s="124"/>
      <c r="D31" s="124"/>
      <c r="E31" s="124"/>
      <c r="F31" s="124"/>
      <c r="G31" s="124"/>
      <c r="H31" s="124"/>
      <c r="I31" s="124"/>
      <c r="J31" s="125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126" t="s">
        <v>23</v>
      </c>
      <c r="C37" s="118"/>
      <c r="D37" s="118"/>
      <c r="E37" s="118"/>
      <c r="F37" s="118"/>
      <c r="G37" s="118"/>
      <c r="H37" s="118"/>
      <c r="I37" s="118"/>
      <c r="J37" s="119"/>
    </row>
    <row r="38" spans="1:10" ht="14.25" customHeight="1" x14ac:dyDescent="0.3">
      <c r="A38" s="12" t="s">
        <v>58</v>
      </c>
      <c r="B38" s="120"/>
      <c r="C38" s="121"/>
      <c r="D38" s="121"/>
      <c r="E38" s="121"/>
      <c r="F38" s="121"/>
      <c r="G38" s="121"/>
      <c r="H38" s="121"/>
      <c r="I38" s="121"/>
      <c r="J38" s="122"/>
    </row>
    <row r="39" spans="1:10" ht="14.25" customHeight="1" x14ac:dyDescent="0.3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135" t="s">
        <v>68</v>
      </c>
      <c r="C49" s="124"/>
      <c r="D49" s="124"/>
      <c r="E49" s="124"/>
      <c r="F49" s="124"/>
      <c r="G49" s="124"/>
      <c r="H49" s="124"/>
      <c r="I49" s="124"/>
      <c r="J49" s="125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117" t="s">
        <v>23</v>
      </c>
      <c r="C55" s="118"/>
      <c r="D55" s="118"/>
      <c r="E55" s="118"/>
      <c r="F55" s="118"/>
      <c r="G55" s="118"/>
      <c r="H55" s="118"/>
      <c r="I55" s="118"/>
      <c r="J55" s="119"/>
    </row>
    <row r="56" spans="1:10" ht="14.25" customHeight="1" x14ac:dyDescent="0.3">
      <c r="A56" s="12" t="s">
        <v>77</v>
      </c>
      <c r="B56" s="120"/>
      <c r="C56" s="121"/>
      <c r="D56" s="121"/>
      <c r="E56" s="121"/>
      <c r="F56" s="121"/>
      <c r="G56" s="121"/>
      <c r="H56" s="121"/>
      <c r="I56" s="121"/>
      <c r="J56" s="122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117" t="s">
        <v>23</v>
      </c>
      <c r="C69" s="118"/>
      <c r="D69" s="118"/>
      <c r="E69" s="118"/>
      <c r="F69" s="118"/>
      <c r="G69" s="118"/>
      <c r="H69" s="118"/>
      <c r="I69" s="118"/>
      <c r="J69" s="119"/>
    </row>
    <row r="70" spans="1:10" ht="14.25" customHeight="1" x14ac:dyDescent="0.3">
      <c r="A70" s="12" t="s">
        <v>91</v>
      </c>
      <c r="B70" s="120"/>
      <c r="C70" s="121"/>
      <c r="D70" s="121"/>
      <c r="E70" s="121"/>
      <c r="F70" s="121"/>
      <c r="G70" s="121"/>
      <c r="H70" s="121"/>
      <c r="I70" s="121"/>
      <c r="J70" s="122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123" t="s">
        <v>88</v>
      </c>
      <c r="C75" s="124"/>
      <c r="D75" s="124"/>
      <c r="E75" s="124"/>
      <c r="F75" s="124"/>
      <c r="G75" s="124"/>
      <c r="H75" s="124"/>
      <c r="I75" s="124"/>
      <c r="J75" s="125"/>
    </row>
    <row r="76" spans="1:10" ht="14.25" customHeight="1" x14ac:dyDescent="0.3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126" t="s">
        <v>23</v>
      </c>
      <c r="C81" s="118"/>
      <c r="D81" s="118"/>
      <c r="E81" s="118"/>
      <c r="F81" s="118"/>
      <c r="G81" s="118"/>
      <c r="H81" s="118"/>
      <c r="I81" s="118"/>
      <c r="J81" s="119"/>
    </row>
    <row r="82" spans="1:10" ht="14.25" customHeight="1" x14ac:dyDescent="0.3">
      <c r="A82" s="12" t="s">
        <v>104</v>
      </c>
      <c r="B82" s="120"/>
      <c r="C82" s="121"/>
      <c r="D82" s="121"/>
      <c r="E82" s="121"/>
      <c r="F82" s="121"/>
      <c r="G82" s="121"/>
      <c r="H82" s="121"/>
      <c r="I82" s="121"/>
      <c r="J82" s="122"/>
    </row>
    <row r="83" spans="1:10" ht="14.25" customHeight="1" x14ac:dyDescent="0.3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133" t="s">
        <v>126</v>
      </c>
      <c r="B97" s="134"/>
      <c r="C97" s="18">
        <f>I91/(F91*2)</f>
        <v>53.380728971962618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132" t="s">
        <v>127</v>
      </c>
      <c r="B99" s="128"/>
      <c r="C99" s="128"/>
      <c r="D99" s="128"/>
      <c r="E99" s="128"/>
      <c r="F99" s="128"/>
      <c r="G99" s="128"/>
      <c r="H99" s="129"/>
      <c r="J99" s="15"/>
    </row>
    <row r="100" spans="1:10" ht="14.25" customHeight="1" x14ac:dyDescent="0.3">
      <c r="A100" s="131" t="s">
        <v>128</v>
      </c>
      <c r="B100" s="129"/>
      <c r="H100" s="17"/>
      <c r="J100" s="15"/>
    </row>
    <row r="101" spans="1:10" ht="14.25" customHeight="1" x14ac:dyDescent="0.3">
      <c r="A101" s="130" t="s">
        <v>129</v>
      </c>
      <c r="B101" s="129"/>
      <c r="H101" s="17"/>
      <c r="J101" s="15"/>
    </row>
    <row r="102" spans="1:10" ht="14.25" customHeight="1" x14ac:dyDescent="0.3">
      <c r="A102" s="127" t="s">
        <v>130</v>
      </c>
      <c r="B102" s="128"/>
      <c r="C102" s="128"/>
      <c r="D102" s="128"/>
      <c r="E102" s="129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49:J49"/>
    <mergeCell ref="B55:J56"/>
    <mergeCell ref="B4:J4"/>
    <mergeCell ref="B10:J11"/>
    <mergeCell ref="B24:J25"/>
    <mergeCell ref="B31:J31"/>
    <mergeCell ref="B37:J38"/>
    <mergeCell ref="B69:J70"/>
    <mergeCell ref="B75:J75"/>
    <mergeCell ref="B81:J82"/>
    <mergeCell ref="A102:E102"/>
    <mergeCell ref="A101:B101"/>
    <mergeCell ref="A100:B100"/>
    <mergeCell ref="A99:H99"/>
    <mergeCell ref="A97:B97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147" t="s">
        <v>115</v>
      </c>
      <c r="B1" s="148"/>
      <c r="C1" s="148"/>
      <c r="D1" s="148"/>
      <c r="E1" s="148"/>
      <c r="F1" s="149"/>
      <c r="G1" s="59"/>
      <c r="H1" s="56"/>
      <c r="I1" s="55"/>
      <c r="J1" s="57"/>
    </row>
    <row r="2" spans="1:10" ht="16.2" thickBot="1" x14ac:dyDescent="0.35">
      <c r="A2" s="155" t="s">
        <v>181</v>
      </c>
      <c r="B2" s="156"/>
      <c r="C2" s="142" t="s">
        <v>182</v>
      </c>
      <c r="D2" s="143"/>
      <c r="E2" s="151" t="s">
        <v>116</v>
      </c>
      <c r="F2" s="152"/>
      <c r="G2" s="58"/>
      <c r="H2" s="56"/>
      <c r="I2" s="55"/>
      <c r="J2" s="57"/>
    </row>
    <row r="3" spans="1:10" ht="15.6" x14ac:dyDescent="0.3">
      <c r="A3" s="136" t="s">
        <v>117</v>
      </c>
      <c r="B3" s="137"/>
      <c r="C3" s="136" t="s">
        <v>118</v>
      </c>
      <c r="D3" s="144"/>
      <c r="E3" s="153">
        <v>35</v>
      </c>
      <c r="F3" s="144"/>
      <c r="G3" s="58"/>
      <c r="H3" s="56"/>
      <c r="I3" s="55"/>
      <c r="J3" s="57"/>
    </row>
    <row r="4" spans="1:10" ht="15.6" x14ac:dyDescent="0.3">
      <c r="A4" s="138" t="s">
        <v>119</v>
      </c>
      <c r="B4" s="139"/>
      <c r="C4" s="138" t="s">
        <v>120</v>
      </c>
      <c r="D4" s="150"/>
      <c r="E4" s="154">
        <v>85</v>
      </c>
      <c r="F4" s="150"/>
      <c r="G4" s="58"/>
      <c r="H4" s="56"/>
      <c r="I4" s="55"/>
      <c r="J4" s="57"/>
    </row>
    <row r="5" spans="1:10" ht="15.6" x14ac:dyDescent="0.3">
      <c r="A5" s="138" t="s">
        <v>121</v>
      </c>
      <c r="B5" s="139"/>
      <c r="C5" s="138" t="s">
        <v>122</v>
      </c>
      <c r="D5" s="150"/>
      <c r="E5" s="154">
        <v>35</v>
      </c>
      <c r="F5" s="150"/>
      <c r="G5" s="58"/>
      <c r="H5" s="56"/>
      <c r="I5" s="55"/>
      <c r="J5" s="57"/>
    </row>
    <row r="6" spans="1:10" ht="15.6" x14ac:dyDescent="0.3">
      <c r="A6" s="145" t="s">
        <v>123</v>
      </c>
      <c r="B6" s="146"/>
      <c r="C6" s="145" t="s">
        <v>124</v>
      </c>
      <c r="D6" s="146"/>
      <c r="E6" s="145">
        <v>85</v>
      </c>
      <c r="F6" s="146"/>
      <c r="G6" s="58"/>
      <c r="H6" s="56"/>
      <c r="I6" s="55"/>
      <c r="J6" s="57"/>
    </row>
    <row r="7" spans="1:10" ht="15.6" x14ac:dyDescent="0.3">
      <c r="A7" s="145" t="s">
        <v>120</v>
      </c>
      <c r="B7" s="146"/>
      <c r="C7" s="145" t="s">
        <v>124</v>
      </c>
      <c r="D7" s="146"/>
      <c r="E7" s="145">
        <v>5</v>
      </c>
      <c r="F7" s="146"/>
      <c r="G7" s="58"/>
      <c r="H7" s="56"/>
      <c r="I7" s="55"/>
      <c r="J7" s="57"/>
    </row>
    <row r="8" spans="1:10" ht="15.6" x14ac:dyDescent="0.3">
      <c r="A8" s="145" t="s">
        <v>122</v>
      </c>
      <c r="B8" s="146"/>
      <c r="C8" s="145" t="s">
        <v>118</v>
      </c>
      <c r="D8" s="146"/>
      <c r="E8" s="145">
        <v>5</v>
      </c>
      <c r="F8" s="146"/>
      <c r="G8" s="58"/>
      <c r="H8" s="56"/>
      <c r="I8" s="55"/>
      <c r="J8" s="57"/>
    </row>
    <row r="9" spans="1:10" ht="15.6" x14ac:dyDescent="0.3">
      <c r="A9" s="145" t="s">
        <v>117</v>
      </c>
      <c r="B9" s="146"/>
      <c r="C9" s="145" t="s">
        <v>121</v>
      </c>
      <c r="D9" s="146"/>
      <c r="E9" s="145">
        <v>5</v>
      </c>
      <c r="F9" s="146"/>
      <c r="G9" s="58"/>
      <c r="H9" s="56"/>
      <c r="I9" s="55"/>
      <c r="J9" s="57"/>
    </row>
    <row r="10" spans="1:10" ht="16.2" thickBot="1" x14ac:dyDescent="0.35">
      <c r="A10" s="140" t="s">
        <v>123</v>
      </c>
      <c r="B10" s="141"/>
      <c r="C10" s="140" t="s">
        <v>119</v>
      </c>
      <c r="D10" s="158"/>
      <c r="E10" s="160">
        <v>5</v>
      </c>
      <c r="F10" s="158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159" t="s">
        <v>125</v>
      </c>
      <c r="B12" s="159"/>
      <c r="C12" s="159"/>
      <c r="D12" s="159"/>
      <c r="E12" s="157">
        <f>SUM(E3:F10)</f>
        <v>260</v>
      </c>
      <c r="F12" s="157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E8:F8"/>
    <mergeCell ref="E7:F7"/>
    <mergeCell ref="C7:D7"/>
    <mergeCell ref="E12:F12"/>
    <mergeCell ref="C10:D10"/>
    <mergeCell ref="A12:D12"/>
    <mergeCell ref="E10:F10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A3:B3"/>
    <mergeCell ref="A4:B4"/>
    <mergeCell ref="A5:B5"/>
    <mergeCell ref="A10:B10"/>
    <mergeCell ref="C2:D2"/>
    <mergeCell ref="C3:D3"/>
    <mergeCell ref="C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3">
      <c r="A2" s="161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61" t="s">
        <v>138</v>
      </c>
    </row>
    <row r="3" spans="1:8" ht="14.25" customHeight="1" x14ac:dyDescent="0.3">
      <c r="A3" s="162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162"/>
    </row>
    <row r="4" spans="1:8" ht="14.25" customHeight="1" x14ac:dyDescent="0.3">
      <c r="A4" s="162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162"/>
    </row>
    <row r="5" spans="1:8" ht="14.25" customHeight="1" x14ac:dyDescent="0.3">
      <c r="A5" s="162"/>
      <c r="B5" s="23">
        <v>1</v>
      </c>
      <c r="C5" s="24" t="s">
        <v>141</v>
      </c>
      <c r="D5" s="24"/>
      <c r="G5" s="25">
        <v>0</v>
      </c>
      <c r="H5" s="162"/>
    </row>
    <row r="6" spans="1:8" ht="14.25" customHeight="1" x14ac:dyDescent="0.3">
      <c r="A6" s="162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162"/>
    </row>
    <row r="7" spans="1:8" ht="14.25" customHeight="1" x14ac:dyDescent="0.3">
      <c r="A7" s="162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162"/>
    </row>
    <row r="8" spans="1:8" ht="14.25" customHeight="1" x14ac:dyDescent="0.3">
      <c r="A8" s="162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162"/>
    </row>
    <row r="9" spans="1:8" ht="14.25" customHeight="1" x14ac:dyDescent="0.3">
      <c r="A9" s="162"/>
      <c r="B9" s="27">
        <v>1</v>
      </c>
      <c r="C9" s="28" t="s">
        <v>141</v>
      </c>
      <c r="D9" s="23"/>
      <c r="F9" s="24"/>
      <c r="G9" s="25"/>
      <c r="H9" s="162"/>
    </row>
    <row r="10" spans="1:8" ht="14.25" customHeight="1" x14ac:dyDescent="0.3">
      <c r="A10" s="162"/>
      <c r="B10" s="27">
        <v>1</v>
      </c>
      <c r="C10" s="29" t="s">
        <v>144</v>
      </c>
      <c r="D10" s="23"/>
      <c r="E10" s="24" t="s">
        <v>145</v>
      </c>
      <c r="F10" s="24"/>
      <c r="G10" s="25"/>
      <c r="H10" s="162"/>
    </row>
    <row r="11" spans="1:8" ht="14.25" customHeight="1" x14ac:dyDescent="0.3">
      <c r="A11" s="162"/>
      <c r="B11" s="23">
        <v>1</v>
      </c>
      <c r="C11" s="30" t="s">
        <v>148</v>
      </c>
      <c r="D11" s="24"/>
      <c r="E11" s="24"/>
      <c r="F11" s="24"/>
      <c r="G11" s="25"/>
      <c r="H11" s="162"/>
    </row>
    <row r="12" spans="1:8" ht="14.25" customHeight="1" x14ac:dyDescent="0.3">
      <c r="A12" s="162"/>
      <c r="B12" s="23">
        <v>1</v>
      </c>
      <c r="C12" s="31" t="s">
        <v>149</v>
      </c>
      <c r="D12" s="24"/>
      <c r="E12" s="24"/>
      <c r="F12" s="24"/>
      <c r="G12" s="25"/>
      <c r="H12" s="162"/>
    </row>
    <row r="13" spans="1:8" ht="14.25" customHeight="1" x14ac:dyDescent="0.3">
      <c r="A13" s="162"/>
      <c r="B13" s="23">
        <v>1</v>
      </c>
      <c r="C13" s="31" t="s">
        <v>150</v>
      </c>
      <c r="D13" s="24"/>
      <c r="E13" s="24"/>
      <c r="F13" s="24"/>
      <c r="G13" s="25"/>
      <c r="H13" s="162"/>
    </row>
    <row r="14" spans="1:8" ht="14.25" customHeight="1" x14ac:dyDescent="0.3">
      <c r="A14" s="162"/>
      <c r="B14" s="23">
        <v>1</v>
      </c>
      <c r="C14" s="24"/>
      <c r="D14" s="24"/>
      <c r="E14" s="24"/>
      <c r="F14" s="24"/>
      <c r="G14" s="25"/>
      <c r="H14" s="162"/>
    </row>
    <row r="15" spans="1:8" ht="14.25" customHeight="1" x14ac:dyDescent="0.3">
      <c r="A15" s="162"/>
      <c r="B15" s="23">
        <v>1</v>
      </c>
      <c r="C15" s="24" t="s">
        <v>144</v>
      </c>
      <c r="D15" s="24"/>
      <c r="E15" s="24"/>
      <c r="F15" s="24"/>
      <c r="G15" s="25"/>
      <c r="H15" s="162"/>
    </row>
    <row r="16" spans="1:8" ht="14.25" customHeight="1" x14ac:dyDescent="0.3">
      <c r="A16" s="162"/>
      <c r="B16" s="23">
        <v>1</v>
      </c>
      <c r="C16" s="24" t="s">
        <v>144</v>
      </c>
      <c r="D16" s="24"/>
      <c r="E16" s="24"/>
      <c r="F16" s="24"/>
      <c r="G16" s="25"/>
      <c r="H16" s="162"/>
    </row>
    <row r="17" spans="1:8" ht="14.25" customHeight="1" x14ac:dyDescent="0.3">
      <c r="A17" s="162"/>
      <c r="B17" s="27">
        <v>7</v>
      </c>
      <c r="C17" s="32"/>
      <c r="D17" s="23"/>
      <c r="E17" s="24"/>
      <c r="F17" s="24"/>
      <c r="G17" s="25"/>
      <c r="H17" s="162"/>
    </row>
    <row r="18" spans="1:8" ht="14.25" customHeight="1" x14ac:dyDescent="0.3">
      <c r="A18" s="162"/>
      <c r="B18" s="27"/>
      <c r="C18" s="33"/>
      <c r="D18" s="23"/>
      <c r="E18" s="24"/>
      <c r="F18" s="24"/>
      <c r="G18" s="25"/>
      <c r="H18" s="162"/>
    </row>
    <row r="19" spans="1:8" ht="14.25" customHeight="1" x14ac:dyDescent="0.3">
      <c r="A19" s="162"/>
      <c r="B19" s="27"/>
      <c r="C19" s="33"/>
      <c r="D19" s="23"/>
      <c r="E19" s="24"/>
      <c r="F19" s="24"/>
      <c r="G19" s="25"/>
      <c r="H19" s="162"/>
    </row>
    <row r="20" spans="1:8" ht="14.25" customHeight="1" x14ac:dyDescent="0.3">
      <c r="A20" s="162"/>
      <c r="B20" s="27"/>
      <c r="C20" s="33"/>
      <c r="D20" s="23"/>
      <c r="E20" s="24"/>
      <c r="F20" s="24"/>
      <c r="G20" s="25"/>
      <c r="H20" s="162"/>
    </row>
    <row r="21" spans="1:8" ht="14.25" customHeight="1" x14ac:dyDescent="0.3">
      <c r="A21" s="162"/>
      <c r="B21" s="27"/>
      <c r="C21" s="33"/>
      <c r="D21" s="23"/>
      <c r="E21" s="24"/>
      <c r="F21" s="24"/>
      <c r="G21" s="25"/>
      <c r="H21" s="162"/>
    </row>
    <row r="22" spans="1:8" ht="14.25" customHeight="1" x14ac:dyDescent="0.3">
      <c r="A22" s="162"/>
      <c r="B22" s="27"/>
      <c r="C22" s="33"/>
      <c r="D22" s="23"/>
      <c r="E22" s="24"/>
      <c r="F22" s="24"/>
      <c r="G22" s="25"/>
      <c r="H22" s="162"/>
    </row>
    <row r="23" spans="1:8" ht="14.25" customHeight="1" x14ac:dyDescent="0.3">
      <c r="A23" s="162"/>
      <c r="B23" s="27"/>
      <c r="C23" s="34"/>
      <c r="D23" s="23"/>
      <c r="E23" s="24"/>
      <c r="F23" s="24"/>
      <c r="G23" s="25"/>
      <c r="H23" s="162"/>
    </row>
    <row r="24" spans="1:8" ht="14.25" customHeight="1" x14ac:dyDescent="0.3">
      <c r="A24" s="162"/>
      <c r="B24" s="23">
        <v>1</v>
      </c>
      <c r="C24" s="24" t="s">
        <v>144</v>
      </c>
      <c r="D24" s="24"/>
      <c r="E24" s="24"/>
      <c r="F24" s="24"/>
      <c r="G24" s="25"/>
      <c r="H24" s="162"/>
    </row>
    <row r="25" spans="1:8" ht="14.25" customHeight="1" x14ac:dyDescent="0.3">
      <c r="A25" s="162"/>
      <c r="B25" s="23">
        <v>1</v>
      </c>
      <c r="C25" s="24" t="s">
        <v>144</v>
      </c>
      <c r="D25" s="24"/>
      <c r="E25" s="24"/>
      <c r="F25" s="24"/>
      <c r="G25" s="25"/>
      <c r="H25" s="162"/>
    </row>
    <row r="26" spans="1:8" ht="14.25" customHeight="1" x14ac:dyDescent="0.3">
      <c r="A26" s="162"/>
      <c r="B26" s="23">
        <v>1</v>
      </c>
      <c r="C26" s="24" t="s">
        <v>144</v>
      </c>
      <c r="D26" s="24"/>
      <c r="E26" s="24"/>
      <c r="F26" s="24"/>
      <c r="G26" s="25"/>
      <c r="H26" s="162"/>
    </row>
    <row r="27" spans="1:8" ht="14.25" customHeight="1" x14ac:dyDescent="0.3">
      <c r="A27" s="162"/>
      <c r="B27" s="23">
        <v>1</v>
      </c>
      <c r="C27" s="24"/>
      <c r="D27" s="24"/>
      <c r="E27" s="24"/>
      <c r="F27" s="24"/>
      <c r="G27" s="25"/>
      <c r="H27" s="162"/>
    </row>
    <row r="28" spans="1:8" ht="14.25" customHeight="1" x14ac:dyDescent="0.3">
      <c r="A28" s="162"/>
      <c r="B28" s="23">
        <v>1</v>
      </c>
      <c r="C28" s="24"/>
      <c r="D28" s="24"/>
      <c r="E28" s="24"/>
      <c r="F28" s="24"/>
      <c r="G28" s="25"/>
      <c r="H28" s="162"/>
    </row>
    <row r="29" spans="1:8" ht="14.25" customHeight="1" x14ac:dyDescent="0.3">
      <c r="A29" s="162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162"/>
    </row>
    <row r="30" spans="1:8" ht="14.25" customHeight="1" x14ac:dyDescent="0.3">
      <c r="A30" s="162"/>
      <c r="B30" s="23">
        <v>6</v>
      </c>
      <c r="C30" s="6" t="s">
        <v>153</v>
      </c>
      <c r="D30" s="24"/>
      <c r="E30" s="24"/>
      <c r="F30" s="24"/>
      <c r="G30" s="25"/>
      <c r="H30" s="162"/>
    </row>
    <row r="31" spans="1:8" ht="14.25" customHeight="1" x14ac:dyDescent="0.3">
      <c r="A31" s="162"/>
      <c r="B31" s="23"/>
      <c r="C31" s="24"/>
      <c r="D31" s="24"/>
      <c r="E31" s="24"/>
      <c r="F31" s="24"/>
      <c r="G31" s="25"/>
      <c r="H31" s="162"/>
    </row>
    <row r="32" spans="1:8" ht="14.25" customHeight="1" x14ac:dyDescent="0.3">
      <c r="A32" s="162"/>
      <c r="B32" s="23"/>
      <c r="C32" s="24"/>
      <c r="D32" s="24"/>
      <c r="E32" s="24"/>
      <c r="F32" s="24"/>
      <c r="G32" s="25"/>
      <c r="H32" s="162"/>
    </row>
    <row r="33" spans="1:8" ht="14.25" customHeight="1" x14ac:dyDescent="0.3">
      <c r="A33" s="162"/>
      <c r="B33" s="23"/>
      <c r="C33" s="24"/>
      <c r="D33" s="24"/>
      <c r="E33" s="24"/>
      <c r="F33" s="24"/>
      <c r="G33" s="25"/>
      <c r="H33" s="162"/>
    </row>
    <row r="34" spans="1:8" ht="14.25" customHeight="1" x14ac:dyDescent="0.3">
      <c r="A34" s="162"/>
      <c r="B34" s="23">
        <v>1</v>
      </c>
      <c r="C34" s="24" t="s">
        <v>144</v>
      </c>
      <c r="D34" s="24"/>
      <c r="E34" s="24" t="s">
        <v>147</v>
      </c>
      <c r="F34" s="24"/>
      <c r="G34" s="25"/>
      <c r="H34" s="162"/>
    </row>
    <row r="35" spans="1:8" ht="14.25" customHeight="1" x14ac:dyDescent="0.3">
      <c r="A35" s="162"/>
      <c r="B35" s="23">
        <v>1</v>
      </c>
      <c r="C35" s="24" t="s">
        <v>154</v>
      </c>
      <c r="D35" s="24"/>
      <c r="E35" s="24"/>
      <c r="F35" s="24"/>
      <c r="G35" s="25"/>
      <c r="H35" s="162"/>
    </row>
    <row r="36" spans="1:8" ht="14.25" customHeight="1" x14ac:dyDescent="0.3">
      <c r="A36" s="162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162"/>
    </row>
    <row r="37" spans="1:8" ht="14.25" customHeight="1" x14ac:dyDescent="0.3">
      <c r="A37" s="162"/>
      <c r="B37" s="23">
        <v>2</v>
      </c>
      <c r="C37" s="24" t="s">
        <v>156</v>
      </c>
      <c r="D37" s="24"/>
      <c r="E37" s="24"/>
      <c r="F37" s="24"/>
      <c r="G37" s="25"/>
      <c r="H37" s="162"/>
    </row>
    <row r="38" spans="1:8" ht="14.25" customHeight="1" x14ac:dyDescent="0.3">
      <c r="A38" s="162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162"/>
    </row>
    <row r="39" spans="1:8" ht="14.25" customHeight="1" x14ac:dyDescent="0.3">
      <c r="A39" s="162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162"/>
    </row>
    <row r="40" spans="1:8" ht="14.25" customHeight="1" x14ac:dyDescent="0.3">
      <c r="A40" s="162"/>
      <c r="B40" s="23"/>
      <c r="C40" s="24"/>
      <c r="D40" s="24"/>
      <c r="E40" s="24"/>
      <c r="F40" s="24"/>
      <c r="G40" s="25"/>
      <c r="H40" s="162"/>
    </row>
    <row r="41" spans="1:8" ht="14.25" customHeight="1" x14ac:dyDescent="0.3">
      <c r="A41" s="162"/>
      <c r="B41" s="23"/>
      <c r="C41" s="24"/>
      <c r="D41" s="24"/>
      <c r="E41" s="24"/>
      <c r="F41" s="24"/>
      <c r="G41" s="25"/>
      <c r="H41" s="162"/>
    </row>
    <row r="42" spans="1:8" ht="14.25" customHeight="1" x14ac:dyDescent="0.3">
      <c r="A42" s="162"/>
      <c r="B42" s="36"/>
      <c r="C42" s="26"/>
      <c r="D42" s="26"/>
      <c r="E42" s="26"/>
      <c r="F42" s="26"/>
      <c r="G42" s="37"/>
      <c r="H42" s="162"/>
    </row>
    <row r="43" spans="1:8" ht="14.25" customHeight="1" x14ac:dyDescent="0.3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160</v>
      </c>
      <c r="F44" s="41">
        <f>F38+F39</f>
        <v>2000</v>
      </c>
    </row>
    <row r="45" spans="1:8" ht="14.25" customHeight="1" x14ac:dyDescent="0.3">
      <c r="F45" s="42" t="s">
        <v>161</v>
      </c>
      <c r="G45" s="42" t="s">
        <v>162</v>
      </c>
    </row>
    <row r="46" spans="1:8" ht="14.25" customHeight="1" x14ac:dyDescent="0.3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168</v>
      </c>
      <c r="B53" s="42" t="s">
        <v>169</v>
      </c>
    </row>
    <row r="54" spans="1:7" ht="14.25" customHeight="1" x14ac:dyDescent="0.3">
      <c r="B54" s="42" t="s">
        <v>170</v>
      </c>
    </row>
    <row r="55" spans="1:7" ht="14.25" customHeight="1" x14ac:dyDescent="0.3">
      <c r="B55" s="42" t="s">
        <v>171</v>
      </c>
    </row>
    <row r="56" spans="1:7" ht="14.25" customHeight="1" x14ac:dyDescent="0.3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3">
      <c r="B57" s="42" t="s">
        <v>173</v>
      </c>
    </row>
    <row r="58" spans="1:7" ht="14.25" customHeight="1" x14ac:dyDescent="0.3">
      <c r="B58" s="42" t="s">
        <v>174</v>
      </c>
    </row>
    <row r="59" spans="1:7" ht="14.25" customHeight="1" x14ac:dyDescent="0.3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3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3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178</v>
      </c>
    </row>
    <row r="63" spans="1:7" ht="14.25" customHeight="1" x14ac:dyDescent="0.3">
      <c r="B63" s="42" t="s">
        <v>179</v>
      </c>
    </row>
    <row r="64" spans="1:7" ht="14.25" customHeight="1" x14ac:dyDescent="0.35">
      <c r="B64" s="54" t="s">
        <v>180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2DF1-EEB7-4492-8A92-1BDE7B755239}">
  <dimension ref="A1:Q88"/>
  <sheetViews>
    <sheetView tabSelected="1" topLeftCell="A57" workbookViewId="0">
      <selection activeCell="F72" sqref="F72"/>
    </sheetView>
  </sheetViews>
  <sheetFormatPr defaultRowHeight="14.4" x14ac:dyDescent="0.3"/>
  <cols>
    <col min="1" max="1" width="18.44140625" style="62" customWidth="1"/>
    <col min="2" max="2" width="29.21875" style="62" customWidth="1"/>
    <col min="3" max="3" width="19.88671875" style="62" customWidth="1"/>
    <col min="4" max="5" width="26" style="62" customWidth="1"/>
    <col min="6" max="6" width="27.6640625" style="62" customWidth="1"/>
    <col min="7" max="7" width="24.21875" style="62" customWidth="1"/>
    <col min="8" max="8" width="19.77734375" style="62" customWidth="1"/>
    <col min="9" max="9" width="22.44140625" style="62" customWidth="1"/>
    <col min="10" max="10" width="22.6640625" style="62" customWidth="1"/>
    <col min="11" max="16384" width="8.88671875" style="62"/>
  </cols>
  <sheetData>
    <row r="1" spans="1:10" ht="15" thickBot="1" x14ac:dyDescent="0.35">
      <c r="A1" s="72" t="s">
        <v>192</v>
      </c>
      <c r="B1" s="73" t="s">
        <v>203</v>
      </c>
      <c r="C1" s="63"/>
      <c r="E1" s="63"/>
    </row>
    <row r="2" spans="1:10" x14ac:dyDescent="0.3">
      <c r="A2" s="70" t="s">
        <v>193</v>
      </c>
      <c r="B2" s="71">
        <v>25</v>
      </c>
      <c r="C2" s="63"/>
      <c r="E2" s="63"/>
    </row>
    <row r="3" spans="1:10" x14ac:dyDescent="0.3">
      <c r="A3" s="65" t="s">
        <v>194</v>
      </c>
      <c r="B3" s="68">
        <v>0.1</v>
      </c>
      <c r="C3" s="63"/>
      <c r="E3" s="63"/>
    </row>
    <row r="4" spans="1:10" ht="15" thickBot="1" x14ac:dyDescent="0.35">
      <c r="A4" s="66" t="s">
        <v>195</v>
      </c>
      <c r="B4" s="69">
        <v>300</v>
      </c>
      <c r="C4" s="63"/>
      <c r="E4" s="63"/>
    </row>
    <row r="6" spans="1:10" x14ac:dyDescent="0.3">
      <c r="A6" s="62" t="s">
        <v>204</v>
      </c>
      <c r="B6" s="62">
        <v>0.7</v>
      </c>
    </row>
    <row r="8" spans="1:10" ht="15" thickBot="1" x14ac:dyDescent="0.35"/>
    <row r="9" spans="1:10" ht="15" thickBot="1" x14ac:dyDescent="0.35">
      <c r="A9" s="73" t="s">
        <v>197</v>
      </c>
      <c r="B9" s="96" t="s">
        <v>9</v>
      </c>
      <c r="C9" s="171"/>
      <c r="D9" s="60" t="s">
        <v>196</v>
      </c>
      <c r="E9" s="74" t="s">
        <v>200</v>
      </c>
      <c r="F9" s="74" t="s">
        <v>201</v>
      </c>
      <c r="G9" s="61" t="s">
        <v>189</v>
      </c>
      <c r="H9" s="74" t="s">
        <v>190</v>
      </c>
      <c r="I9" s="61" t="s">
        <v>191</v>
      </c>
      <c r="J9" s="73" t="s">
        <v>202</v>
      </c>
    </row>
    <row r="10" spans="1:10" x14ac:dyDescent="0.3">
      <c r="A10" s="114" t="s">
        <v>198</v>
      </c>
      <c r="B10" s="174" t="s">
        <v>12</v>
      </c>
      <c r="C10" s="175"/>
      <c r="D10" s="64">
        <v>1</v>
      </c>
      <c r="E10" s="64">
        <f>F10*D10/1000</f>
        <v>0.38506999999999997</v>
      </c>
      <c r="F10" s="67">
        <f>SUM($B$2*G10,$B$3*H10,$B$4*I10)*$B$6</f>
        <v>385.07</v>
      </c>
      <c r="G10" s="75">
        <v>10</v>
      </c>
      <c r="H10" s="67">
        <v>1</v>
      </c>
      <c r="I10" s="75">
        <v>1</v>
      </c>
      <c r="J10" s="68">
        <f>SUM(G10:I10)*D10</f>
        <v>12</v>
      </c>
    </row>
    <row r="11" spans="1:10" x14ac:dyDescent="0.3">
      <c r="A11" s="115"/>
      <c r="B11" s="172" t="s">
        <v>14</v>
      </c>
      <c r="C11" s="173"/>
      <c r="D11" s="65">
        <v>1</v>
      </c>
      <c r="E11" s="65">
        <f t="shared" ref="E11:E33" si="0">F11*D11/1000</f>
        <v>0.38506999999999997</v>
      </c>
      <c r="F11" s="68">
        <f>SUM($B$2*G11,$B$3*H11,$B$4*I11)*$B$6</f>
        <v>385.07</v>
      </c>
      <c r="G11" s="76">
        <v>10</v>
      </c>
      <c r="H11" s="68">
        <v>1</v>
      </c>
      <c r="I11" s="76">
        <v>1</v>
      </c>
      <c r="J11" s="68">
        <f>SUM(G11:I11)*D11</f>
        <v>12</v>
      </c>
    </row>
    <row r="12" spans="1:10" x14ac:dyDescent="0.3">
      <c r="A12" s="115"/>
      <c r="B12" s="172" t="s">
        <v>17</v>
      </c>
      <c r="C12" s="173"/>
      <c r="D12" s="65">
        <v>5</v>
      </c>
      <c r="E12" s="65">
        <f t="shared" si="0"/>
        <v>1.7503499999999999</v>
      </c>
      <c r="F12" s="68">
        <f>SUM($B$2*G12,$B$3*H12,$B$4*I12)*$B$6</f>
        <v>350.07</v>
      </c>
      <c r="G12" s="76">
        <v>8</v>
      </c>
      <c r="H12" s="68">
        <v>1</v>
      </c>
      <c r="I12" s="76">
        <v>1</v>
      </c>
      <c r="J12" s="68">
        <f>SUM(G12:I12)*D12</f>
        <v>50</v>
      </c>
    </row>
    <row r="13" spans="1:10" x14ac:dyDescent="0.3">
      <c r="A13" s="115"/>
      <c r="B13" s="172" t="s">
        <v>26</v>
      </c>
      <c r="C13" s="173"/>
      <c r="D13" s="65">
        <v>1</v>
      </c>
      <c r="E13" s="65">
        <f t="shared" si="0"/>
        <v>0.70013999999999998</v>
      </c>
      <c r="F13" s="68">
        <f>SUM($B$2*G13,$B$3*H13,$B$4*I13)*$B$6</f>
        <v>700.14</v>
      </c>
      <c r="G13" s="76">
        <v>16</v>
      </c>
      <c r="H13" s="68">
        <v>2</v>
      </c>
      <c r="I13" s="76">
        <v>2</v>
      </c>
      <c r="J13" s="68">
        <f>SUM(G13:I13)*D13</f>
        <v>20</v>
      </c>
    </row>
    <row r="14" spans="1:10" x14ac:dyDescent="0.3">
      <c r="A14" s="115"/>
      <c r="B14" s="172" t="s">
        <v>30</v>
      </c>
      <c r="C14" s="173"/>
      <c r="D14" s="65">
        <v>7</v>
      </c>
      <c r="E14" s="65">
        <f t="shared" si="0"/>
        <v>3.1854899999999997</v>
      </c>
      <c r="F14" s="68">
        <f>SUM($B$2*G14,$B$3*H14,$B$4*I14)*$B$6</f>
        <v>455.07</v>
      </c>
      <c r="G14" s="76">
        <v>14</v>
      </c>
      <c r="H14" s="68">
        <v>1</v>
      </c>
      <c r="I14" s="76">
        <v>1</v>
      </c>
      <c r="J14" s="68">
        <f>SUM(G14:I14)*D14</f>
        <v>112</v>
      </c>
    </row>
    <row r="15" spans="1:10" x14ac:dyDescent="0.3">
      <c r="A15" s="115"/>
      <c r="B15" s="172" t="s">
        <v>28</v>
      </c>
      <c r="C15" s="173"/>
      <c r="D15" s="65">
        <v>1</v>
      </c>
      <c r="E15" s="65">
        <f t="shared" si="0"/>
        <v>1.52257</v>
      </c>
      <c r="F15" s="68">
        <f>SUM($B$2*G15,$B$3*H15,$B$4*I15)*$B$6</f>
        <v>1522.57</v>
      </c>
      <c r="G15" s="76">
        <v>63</v>
      </c>
      <c r="H15" s="68">
        <v>1</v>
      </c>
      <c r="I15" s="76">
        <v>2</v>
      </c>
      <c r="J15" s="68">
        <f>SUM(G15:I15)*D15</f>
        <v>66</v>
      </c>
    </row>
    <row r="16" spans="1:10" x14ac:dyDescent="0.3">
      <c r="A16" s="115"/>
      <c r="B16" s="172" t="s">
        <v>36</v>
      </c>
      <c r="C16" s="173"/>
      <c r="D16" s="65">
        <v>2</v>
      </c>
      <c r="E16" s="65">
        <f t="shared" si="0"/>
        <v>2.1351399999999998</v>
      </c>
      <c r="F16" s="68">
        <f>SUM($B$2*G16,$B$3*H16,$B$4*I16)*$B$6</f>
        <v>1067.57</v>
      </c>
      <c r="G16" s="76">
        <v>37</v>
      </c>
      <c r="H16" s="68">
        <v>1</v>
      </c>
      <c r="I16" s="76">
        <v>2</v>
      </c>
      <c r="J16" s="68">
        <f>SUM(G16:I16)*D16</f>
        <v>80</v>
      </c>
    </row>
    <row r="17" spans="1:10" x14ac:dyDescent="0.3">
      <c r="A17" s="115"/>
      <c r="B17" s="172" t="s">
        <v>45</v>
      </c>
      <c r="C17" s="173"/>
      <c r="D17" s="65">
        <v>2</v>
      </c>
      <c r="E17" s="65">
        <f t="shared" si="0"/>
        <v>1.3651399999999998</v>
      </c>
      <c r="F17" s="68">
        <f>SUM($B$2*G17,$B$3*H17,$B$4*I17)*$B$6</f>
        <v>682.56999999999994</v>
      </c>
      <c r="G17" s="76">
        <v>15</v>
      </c>
      <c r="H17" s="68">
        <v>1</v>
      </c>
      <c r="I17" s="76">
        <v>2</v>
      </c>
      <c r="J17" s="68">
        <f>SUM(G17:I17)*D17</f>
        <v>36</v>
      </c>
    </row>
    <row r="18" spans="1:10" x14ac:dyDescent="0.3">
      <c r="A18" s="115"/>
      <c r="B18" s="172" t="s">
        <v>48</v>
      </c>
      <c r="C18" s="173"/>
      <c r="D18" s="65">
        <v>2</v>
      </c>
      <c r="E18" s="65">
        <f t="shared" si="0"/>
        <v>0.77013999999999994</v>
      </c>
      <c r="F18" s="68">
        <f>SUM($B$2*G18,$B$3*H18,$B$4*I18)*$B$6</f>
        <v>385.07</v>
      </c>
      <c r="G18" s="76">
        <v>10</v>
      </c>
      <c r="H18" s="68">
        <v>1</v>
      </c>
      <c r="I18" s="76">
        <v>1</v>
      </c>
      <c r="J18" s="68">
        <f>SUM(G18:I18)*D18</f>
        <v>24</v>
      </c>
    </row>
    <row r="19" spans="1:10" x14ac:dyDescent="0.3">
      <c r="A19" s="115"/>
      <c r="B19" s="172" t="s">
        <v>52</v>
      </c>
      <c r="C19" s="173"/>
      <c r="D19" s="65">
        <v>5</v>
      </c>
      <c r="E19" s="65">
        <f t="shared" si="0"/>
        <v>1.7503499999999999</v>
      </c>
      <c r="F19" s="68">
        <f>SUM($B$2*G19,$B$3*H19,$B$4*I19)*$B$6</f>
        <v>350.07</v>
      </c>
      <c r="G19" s="76">
        <v>8</v>
      </c>
      <c r="H19" s="68">
        <v>1</v>
      </c>
      <c r="I19" s="76">
        <v>1</v>
      </c>
      <c r="J19" s="68">
        <f>SUM(G19:I19)*D19</f>
        <v>50</v>
      </c>
    </row>
    <row r="20" spans="1:10" x14ac:dyDescent="0.3">
      <c r="A20" s="115"/>
      <c r="B20" s="172" t="s">
        <v>60</v>
      </c>
      <c r="C20" s="173"/>
      <c r="D20" s="65">
        <v>6</v>
      </c>
      <c r="E20" s="65">
        <f t="shared" si="0"/>
        <v>2.5204200000000001</v>
      </c>
      <c r="F20" s="68">
        <f>SUM($B$2*G20,$B$3*H20,$B$4*I20)*$B$6</f>
        <v>420.07</v>
      </c>
      <c r="G20" s="76">
        <v>12</v>
      </c>
      <c r="H20" s="68">
        <v>1</v>
      </c>
      <c r="I20" s="76">
        <v>1</v>
      </c>
      <c r="J20" s="68">
        <f>SUM(G20:I20)*D20</f>
        <v>84</v>
      </c>
    </row>
    <row r="21" spans="1:10" ht="15" thickBot="1" x14ac:dyDescent="0.35">
      <c r="A21" s="116"/>
      <c r="B21" s="179" t="s">
        <v>94</v>
      </c>
      <c r="C21" s="180"/>
      <c r="D21" s="66">
        <v>0</v>
      </c>
      <c r="E21" s="66">
        <f t="shared" si="0"/>
        <v>0</v>
      </c>
      <c r="F21" s="69">
        <f>SUM($B$2*G21,$B$3*H21,$B$4*I21)*$B$6</f>
        <v>420.07</v>
      </c>
      <c r="G21" s="77">
        <v>12</v>
      </c>
      <c r="H21" s="69">
        <v>1</v>
      </c>
      <c r="I21" s="77">
        <v>1</v>
      </c>
      <c r="J21" s="78">
        <f>SUM(G21:I21)*D21</f>
        <v>0</v>
      </c>
    </row>
    <row r="22" spans="1:10" x14ac:dyDescent="0.3">
      <c r="A22" s="114" t="s">
        <v>199</v>
      </c>
      <c r="B22" s="174" t="s">
        <v>12</v>
      </c>
      <c r="C22" s="175"/>
      <c r="D22" s="64">
        <v>1</v>
      </c>
      <c r="E22" s="70">
        <f t="shared" si="0"/>
        <v>0.38506999999999997</v>
      </c>
      <c r="F22" s="67">
        <f>SUM($B$2*G22,$B$3*H22,$B$4*I22)*$B$6</f>
        <v>385.07</v>
      </c>
      <c r="G22" s="75">
        <v>10</v>
      </c>
      <c r="H22" s="67">
        <v>1</v>
      </c>
      <c r="I22" s="75">
        <v>1</v>
      </c>
      <c r="J22" s="67">
        <f>SUM(G22:I22)*D22</f>
        <v>12</v>
      </c>
    </row>
    <row r="23" spans="1:10" x14ac:dyDescent="0.3">
      <c r="A23" s="115"/>
      <c r="B23" s="172" t="s">
        <v>14</v>
      </c>
      <c r="C23" s="173"/>
      <c r="D23" s="65">
        <v>1</v>
      </c>
      <c r="E23" s="65">
        <f t="shared" si="0"/>
        <v>0.38506999999999997</v>
      </c>
      <c r="F23" s="68">
        <f>SUM($B$2*G23,$B$3*H23,$B$4*I23)*$B$6</f>
        <v>385.07</v>
      </c>
      <c r="G23" s="76">
        <v>10</v>
      </c>
      <c r="H23" s="68">
        <v>1</v>
      </c>
      <c r="I23" s="76">
        <v>1</v>
      </c>
      <c r="J23" s="68">
        <f>SUM(G23:I23)*D23</f>
        <v>12</v>
      </c>
    </row>
    <row r="24" spans="1:10" x14ac:dyDescent="0.3">
      <c r="A24" s="115"/>
      <c r="B24" s="172" t="s">
        <v>17</v>
      </c>
      <c r="C24" s="173"/>
      <c r="D24" s="65">
        <v>5</v>
      </c>
      <c r="E24" s="65">
        <f t="shared" si="0"/>
        <v>1.7503499999999999</v>
      </c>
      <c r="F24" s="68">
        <f>SUM($B$2*G24,$B$3*H24,$B$4*I24)*$B$6</f>
        <v>350.07</v>
      </c>
      <c r="G24" s="76">
        <v>8</v>
      </c>
      <c r="H24" s="68">
        <v>1</v>
      </c>
      <c r="I24" s="76">
        <v>1</v>
      </c>
      <c r="J24" s="68">
        <f>SUM(G24:I24)*D24</f>
        <v>50</v>
      </c>
    </row>
    <row r="25" spans="1:10" x14ac:dyDescent="0.3">
      <c r="A25" s="115"/>
      <c r="B25" s="172" t="s">
        <v>26</v>
      </c>
      <c r="C25" s="173"/>
      <c r="D25" s="65">
        <v>1</v>
      </c>
      <c r="E25" s="65">
        <f t="shared" si="0"/>
        <v>0.70013999999999998</v>
      </c>
      <c r="F25" s="68">
        <f>SUM($B$2*G25,$B$3*H25,$B$4*I25)*$B$6</f>
        <v>700.14</v>
      </c>
      <c r="G25" s="76">
        <v>16</v>
      </c>
      <c r="H25" s="68">
        <v>2</v>
      </c>
      <c r="I25" s="76">
        <v>2</v>
      </c>
      <c r="J25" s="68">
        <f>SUM(G25:I25)*D25</f>
        <v>20</v>
      </c>
    </row>
    <row r="26" spans="1:10" x14ac:dyDescent="0.3">
      <c r="A26" s="115"/>
      <c r="B26" s="172" t="s">
        <v>30</v>
      </c>
      <c r="C26" s="173"/>
      <c r="D26" s="65">
        <v>7</v>
      </c>
      <c r="E26" s="65">
        <f t="shared" si="0"/>
        <v>3.1854899999999997</v>
      </c>
      <c r="F26" s="68">
        <f>SUM($B$2*G26,$B$3*H26,$B$4*I26)*$B$6</f>
        <v>455.07</v>
      </c>
      <c r="G26" s="76">
        <v>14</v>
      </c>
      <c r="H26" s="68">
        <v>1</v>
      </c>
      <c r="I26" s="76">
        <v>1</v>
      </c>
      <c r="J26" s="68">
        <f>SUM(G26:I26)*D26</f>
        <v>112</v>
      </c>
    </row>
    <row r="27" spans="1:10" x14ac:dyDescent="0.3">
      <c r="A27" s="115"/>
      <c r="B27" s="172" t="s">
        <v>28</v>
      </c>
      <c r="C27" s="173"/>
      <c r="D27" s="65">
        <v>1</v>
      </c>
      <c r="E27" s="65">
        <f t="shared" si="0"/>
        <v>1.52257</v>
      </c>
      <c r="F27" s="68">
        <f>SUM($B$2*G27,$B$3*H27,$B$4*I27)*$B$6</f>
        <v>1522.57</v>
      </c>
      <c r="G27" s="76">
        <v>63</v>
      </c>
      <c r="H27" s="68">
        <v>1</v>
      </c>
      <c r="I27" s="76">
        <v>2</v>
      </c>
      <c r="J27" s="68">
        <f>SUM(G27:I27)*D27</f>
        <v>66</v>
      </c>
    </row>
    <row r="28" spans="1:10" x14ac:dyDescent="0.3">
      <c r="A28" s="115"/>
      <c r="B28" s="172" t="s">
        <v>36</v>
      </c>
      <c r="C28" s="173"/>
      <c r="D28" s="65">
        <v>2</v>
      </c>
      <c r="E28" s="65">
        <f t="shared" si="0"/>
        <v>2.1351399999999998</v>
      </c>
      <c r="F28" s="68">
        <f>SUM($B$2*G28,$B$3*H28,$B$4*I28)*$B$6</f>
        <v>1067.57</v>
      </c>
      <c r="G28" s="76">
        <v>37</v>
      </c>
      <c r="H28" s="68">
        <v>1</v>
      </c>
      <c r="I28" s="76">
        <v>2</v>
      </c>
      <c r="J28" s="68">
        <f>SUM(G28:I28)*D28</f>
        <v>80</v>
      </c>
    </row>
    <row r="29" spans="1:10" x14ac:dyDescent="0.3">
      <c r="A29" s="115"/>
      <c r="B29" s="172" t="s">
        <v>45</v>
      </c>
      <c r="C29" s="173"/>
      <c r="D29" s="65">
        <v>0</v>
      </c>
      <c r="E29" s="65">
        <f t="shared" si="0"/>
        <v>0</v>
      </c>
      <c r="F29" s="68">
        <f>SUM($B$2*G29,$B$3*H29,$B$4*I29)*$B$6</f>
        <v>682.56999999999994</v>
      </c>
      <c r="G29" s="76">
        <v>15</v>
      </c>
      <c r="H29" s="68">
        <v>1</v>
      </c>
      <c r="I29" s="76">
        <v>2</v>
      </c>
      <c r="J29" s="68">
        <f>SUM(G29:I29)*D29</f>
        <v>0</v>
      </c>
    </row>
    <row r="30" spans="1:10" x14ac:dyDescent="0.3">
      <c r="A30" s="115"/>
      <c r="B30" s="172" t="s">
        <v>48</v>
      </c>
      <c r="C30" s="173"/>
      <c r="D30" s="65">
        <v>2</v>
      </c>
      <c r="E30" s="65">
        <f t="shared" si="0"/>
        <v>0.77013999999999994</v>
      </c>
      <c r="F30" s="68">
        <f>SUM($B$2*G30,$B$3*H30,$B$4*I30)*$B$6</f>
        <v>385.07</v>
      </c>
      <c r="G30" s="76">
        <v>10</v>
      </c>
      <c r="H30" s="68">
        <v>1</v>
      </c>
      <c r="I30" s="76">
        <v>1</v>
      </c>
      <c r="J30" s="68">
        <f>SUM(G30:I30)*D30</f>
        <v>24</v>
      </c>
    </row>
    <row r="31" spans="1:10" x14ac:dyDescent="0.3">
      <c r="A31" s="115"/>
      <c r="B31" s="172" t="s">
        <v>52</v>
      </c>
      <c r="C31" s="173"/>
      <c r="D31" s="65">
        <v>5</v>
      </c>
      <c r="E31" s="65">
        <f t="shared" si="0"/>
        <v>1.7503499999999999</v>
      </c>
      <c r="F31" s="68">
        <f>SUM($B$2*G31,$B$3*H31,$B$4*I31)*$B$6</f>
        <v>350.07</v>
      </c>
      <c r="G31" s="76">
        <v>8</v>
      </c>
      <c r="H31" s="68">
        <v>1</v>
      </c>
      <c r="I31" s="76">
        <v>1</v>
      </c>
      <c r="J31" s="68">
        <f>SUM(G31:I31)*D31</f>
        <v>50</v>
      </c>
    </row>
    <row r="32" spans="1:10" x14ac:dyDescent="0.3">
      <c r="A32" s="115"/>
      <c r="B32" s="172" t="s">
        <v>60</v>
      </c>
      <c r="C32" s="173"/>
      <c r="D32" s="65">
        <v>6</v>
      </c>
      <c r="E32" s="65">
        <f t="shared" si="0"/>
        <v>2.5204200000000001</v>
      </c>
      <c r="F32" s="68">
        <f>SUM($B$2*G32,$B$3*H32,$B$4*I32)*$B$6</f>
        <v>420.07</v>
      </c>
      <c r="G32" s="76">
        <v>12</v>
      </c>
      <c r="H32" s="68">
        <v>1</v>
      </c>
      <c r="I32" s="76">
        <v>1</v>
      </c>
      <c r="J32" s="68">
        <f>SUM(G32:I32)*D32</f>
        <v>84</v>
      </c>
    </row>
    <row r="33" spans="1:17" ht="15" thickBot="1" x14ac:dyDescent="0.35">
      <c r="A33" s="116"/>
      <c r="B33" s="179" t="s">
        <v>94</v>
      </c>
      <c r="C33" s="180"/>
      <c r="D33" s="66">
        <v>1</v>
      </c>
      <c r="E33" s="66">
        <f t="shared" si="0"/>
        <v>0.42007</v>
      </c>
      <c r="F33" s="69">
        <f>SUM($B$2*G33,$B$3*H33,$B$4*I33)*$B$6</f>
        <v>420.07</v>
      </c>
      <c r="G33" s="77">
        <v>12</v>
      </c>
      <c r="H33" s="69">
        <v>1</v>
      </c>
      <c r="I33" s="77">
        <v>1</v>
      </c>
      <c r="J33" s="69">
        <f>SUM(G33:I33)*D33</f>
        <v>14</v>
      </c>
    </row>
    <row r="34" spans="1:17" x14ac:dyDescent="0.3">
      <c r="B34" s="108" t="s">
        <v>205</v>
      </c>
      <c r="C34" s="108"/>
      <c r="D34" s="108"/>
      <c r="E34" s="62">
        <f>_xlfn.CEILING.MATH(SUM(E10:E33))</f>
        <v>32</v>
      </c>
      <c r="H34" s="108" t="s">
        <v>206</v>
      </c>
      <c r="I34" s="108"/>
      <c r="J34" s="62">
        <f>SUM(J10:J33)</f>
        <v>1070</v>
      </c>
    </row>
    <row r="35" spans="1:17" x14ac:dyDescent="0.3">
      <c r="H35" s="112" t="s">
        <v>228</v>
      </c>
      <c r="I35" s="113"/>
      <c r="J35" s="62">
        <f>SUMPRODUCT(H10:H33,D10:D33)</f>
        <v>67</v>
      </c>
    </row>
    <row r="36" spans="1:17" x14ac:dyDescent="0.3">
      <c r="H36" s="112" t="s">
        <v>229</v>
      </c>
      <c r="I36" s="113"/>
      <c r="J36" s="62">
        <f>SUMPRODUCT(I10:I33,D10:D33)</f>
        <v>75</v>
      </c>
    </row>
    <row r="37" spans="1:17" ht="15" thickBot="1" x14ac:dyDescent="0.35">
      <c r="H37" s="112" t="s">
        <v>230</v>
      </c>
      <c r="I37" s="113"/>
      <c r="J37" s="62">
        <f>SUMPRODUCT(G10:G33,D10:D33)</f>
        <v>928</v>
      </c>
    </row>
    <row r="38" spans="1:17" x14ac:dyDescent="0.3">
      <c r="A38" s="102" t="s">
        <v>207</v>
      </c>
      <c r="B38" s="176" t="s">
        <v>232</v>
      </c>
      <c r="C38" s="177"/>
      <c r="D38" s="103" t="s">
        <v>233</v>
      </c>
      <c r="E38" s="103" t="s">
        <v>234</v>
      </c>
      <c r="F38" s="104" t="s">
        <v>235</v>
      </c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6"/>
    </row>
    <row r="39" spans="1:17" ht="15" thickBot="1" x14ac:dyDescent="0.35">
      <c r="A39" s="194"/>
      <c r="B39" s="195"/>
      <c r="C39" s="196"/>
      <c r="D39" s="197"/>
      <c r="E39" s="197"/>
      <c r="F39" s="198" t="s">
        <v>12</v>
      </c>
      <c r="G39" s="198" t="s">
        <v>14</v>
      </c>
      <c r="H39" s="198" t="s">
        <v>17</v>
      </c>
      <c r="I39" s="198" t="s">
        <v>26</v>
      </c>
      <c r="J39" s="198" t="s">
        <v>30</v>
      </c>
      <c r="K39" s="198" t="s">
        <v>28</v>
      </c>
      <c r="L39" s="198" t="s">
        <v>36</v>
      </c>
      <c r="M39" s="198" t="s">
        <v>45</v>
      </c>
      <c r="N39" s="198" t="s">
        <v>48</v>
      </c>
      <c r="O39" s="198" t="s">
        <v>52</v>
      </c>
      <c r="P39" s="198" t="s">
        <v>60</v>
      </c>
      <c r="Q39" s="199" t="s">
        <v>94</v>
      </c>
    </row>
    <row r="40" spans="1:17" x14ac:dyDescent="0.3">
      <c r="A40" s="200" t="s">
        <v>11</v>
      </c>
      <c r="B40" s="174" cm="1">
        <f t="array" ref="B40">SUMPRODUCT(F40:Q40,TRANSPOSE($G$10:$G$21))</f>
        <v>246</v>
      </c>
      <c r="C40" s="175"/>
      <c r="D40" s="188" cm="1">
        <f t="array" ref="D40">SUMPRODUCT(F40:Q40,TRANSPOSE($I$10:$I$21))</f>
        <v>18</v>
      </c>
      <c r="E40" s="74" cm="1">
        <f t="array" ref="E40">SUMPRODUCT(F40:Q40,TRANSPOSE($H$10:$H$21))</f>
        <v>16</v>
      </c>
      <c r="F40" s="188">
        <v>1</v>
      </c>
      <c r="G40" s="67">
        <v>1</v>
      </c>
      <c r="H40" s="188">
        <v>5</v>
      </c>
      <c r="I40" s="67">
        <v>1</v>
      </c>
      <c r="J40" s="188">
        <v>5</v>
      </c>
      <c r="K40" s="67">
        <v>1</v>
      </c>
      <c r="L40" s="188">
        <v>1</v>
      </c>
      <c r="M40" s="67">
        <v>0</v>
      </c>
      <c r="N40" s="188">
        <v>0</v>
      </c>
      <c r="O40" s="67">
        <v>0</v>
      </c>
      <c r="P40" s="188">
        <v>0</v>
      </c>
      <c r="Q40" s="67">
        <v>0</v>
      </c>
    </row>
    <row r="41" spans="1:17" x14ac:dyDescent="0.3">
      <c r="A41" s="201" t="s">
        <v>39</v>
      </c>
      <c r="B41" s="172" cm="1">
        <f t="array" ref="B41">SUMPRODUCT(F41:Q41,TRANSPOSE($G$10:$G$21))</f>
        <v>227</v>
      </c>
      <c r="C41" s="173"/>
      <c r="D41" s="76" cm="1">
        <f t="array" ref="D41">SUMPRODUCT(F41:Q41,TRANSPOSE($I$10:$I$21))</f>
        <v>21</v>
      </c>
      <c r="E41" s="68" cm="1">
        <f t="array" ref="E41">SUMPRODUCT(F41:Q41,TRANSPOSE($H$10:$H$21))</f>
        <v>18</v>
      </c>
      <c r="F41" s="76">
        <v>0</v>
      </c>
      <c r="G41" s="68">
        <v>0</v>
      </c>
      <c r="H41" s="76">
        <v>0</v>
      </c>
      <c r="I41" s="68">
        <v>0</v>
      </c>
      <c r="J41" s="76">
        <v>2</v>
      </c>
      <c r="K41" s="68">
        <v>0</v>
      </c>
      <c r="L41" s="76">
        <v>1</v>
      </c>
      <c r="M41" s="68">
        <v>2</v>
      </c>
      <c r="N41" s="76">
        <v>2</v>
      </c>
      <c r="O41" s="68">
        <v>5</v>
      </c>
      <c r="P41" s="76">
        <v>6</v>
      </c>
      <c r="Q41" s="68">
        <v>0</v>
      </c>
    </row>
    <row r="42" spans="1:17" x14ac:dyDescent="0.3">
      <c r="A42" s="201" t="s">
        <v>68</v>
      </c>
      <c r="B42" s="172" cm="1">
        <f t="array" ref="B42">SUMPRODUCT(F42:Q42,TRANSPOSE($G$10:$G$21))</f>
        <v>246</v>
      </c>
      <c r="C42" s="173"/>
      <c r="D42" s="76" cm="1">
        <f t="array" ref="D42">SUMPRODUCT(F42:Q42,TRANSPOSE($I$10:$I$21))</f>
        <v>18</v>
      </c>
      <c r="E42" s="71" cm="1">
        <f t="array" ref="E42">SUMPRODUCT(F42:Q42,TRANSPOSE($H$10:$H$21))</f>
        <v>16</v>
      </c>
      <c r="F42" s="76">
        <v>1</v>
      </c>
      <c r="G42" s="68">
        <v>1</v>
      </c>
      <c r="H42" s="76">
        <v>5</v>
      </c>
      <c r="I42" s="68">
        <v>1</v>
      </c>
      <c r="J42" s="76">
        <v>5</v>
      </c>
      <c r="K42" s="68">
        <v>1</v>
      </c>
      <c r="L42" s="76">
        <v>1</v>
      </c>
      <c r="M42" s="68">
        <v>0</v>
      </c>
      <c r="N42" s="76">
        <v>0</v>
      </c>
      <c r="O42" s="68">
        <v>0</v>
      </c>
      <c r="P42" s="76">
        <v>0</v>
      </c>
      <c r="Q42" s="68">
        <v>0</v>
      </c>
    </row>
    <row r="43" spans="1:17" ht="15" thickBot="1" x14ac:dyDescent="0.35">
      <c r="A43" s="202" t="s">
        <v>88</v>
      </c>
      <c r="B43" s="179" cm="1">
        <f t="array" ref="B43">SUMPRODUCT(F43:Q43,TRANSPOSE($G$10:$G$21))</f>
        <v>209</v>
      </c>
      <c r="C43" s="180"/>
      <c r="D43" s="77" cm="1">
        <f t="array" ref="D43">SUMPRODUCT(F43:Q43,TRANSPOSE($I$10:$I$21))</f>
        <v>18</v>
      </c>
      <c r="E43" s="69" cm="1">
        <f t="array" ref="E43">SUMPRODUCT(F43:Q43,TRANSPOSE($H$10:$H$21))</f>
        <v>17</v>
      </c>
      <c r="F43" s="77">
        <v>0</v>
      </c>
      <c r="G43" s="69">
        <v>0</v>
      </c>
      <c r="H43" s="77">
        <v>0</v>
      </c>
      <c r="I43" s="69">
        <v>0</v>
      </c>
      <c r="J43" s="77">
        <v>2</v>
      </c>
      <c r="K43" s="69">
        <v>0</v>
      </c>
      <c r="L43" s="77">
        <v>1</v>
      </c>
      <c r="M43" s="69">
        <v>0</v>
      </c>
      <c r="N43" s="77">
        <v>2</v>
      </c>
      <c r="O43" s="69">
        <v>5</v>
      </c>
      <c r="P43" s="77">
        <v>6</v>
      </c>
      <c r="Q43" s="69">
        <v>1</v>
      </c>
    </row>
    <row r="44" spans="1:17" x14ac:dyDescent="0.3">
      <c r="A44" s="82" t="s">
        <v>236</v>
      </c>
      <c r="B44" s="62">
        <f>SUM(B40:E43)</f>
        <v>1070</v>
      </c>
    </row>
    <row r="46" spans="1:17" ht="15" thickBot="1" x14ac:dyDescent="0.35"/>
    <row r="47" spans="1:17" ht="15" thickBot="1" x14ac:dyDescent="0.35">
      <c r="A47" s="110" t="s">
        <v>185</v>
      </c>
      <c r="B47" s="108"/>
      <c r="C47" s="108"/>
      <c r="D47" s="108"/>
      <c r="E47" s="108"/>
      <c r="F47" s="108"/>
      <c r="G47" s="108"/>
      <c r="H47" s="108"/>
      <c r="I47" s="108"/>
      <c r="J47" s="181"/>
    </row>
    <row r="48" spans="1:17" ht="15" thickBot="1" x14ac:dyDescent="0.35">
      <c r="A48" s="110" t="s">
        <v>183</v>
      </c>
      <c r="B48" s="107" t="s">
        <v>188</v>
      </c>
      <c r="C48" s="108"/>
      <c r="D48" s="108"/>
      <c r="E48" s="109"/>
      <c r="F48" s="96" t="s">
        <v>184</v>
      </c>
      <c r="G48" s="97"/>
      <c r="H48" s="97"/>
      <c r="I48" s="171"/>
      <c r="J48" s="182" t="s">
        <v>207</v>
      </c>
    </row>
    <row r="49" spans="1:10" ht="15" thickBot="1" x14ac:dyDescent="0.35">
      <c r="A49" s="111"/>
      <c r="B49" s="72" t="s">
        <v>186</v>
      </c>
      <c r="C49" s="73" t="s">
        <v>213</v>
      </c>
      <c r="D49" s="165" t="s">
        <v>226</v>
      </c>
      <c r="E49" s="73" t="s">
        <v>187</v>
      </c>
      <c r="F49" s="80" t="s">
        <v>186</v>
      </c>
      <c r="G49" s="72" t="s">
        <v>213</v>
      </c>
      <c r="H49" s="73" t="s">
        <v>226</v>
      </c>
      <c r="I49" s="165" t="s">
        <v>187</v>
      </c>
      <c r="J49" s="183"/>
    </row>
    <row r="50" spans="1:10" x14ac:dyDescent="0.3">
      <c r="A50" s="67" t="s">
        <v>210</v>
      </c>
      <c r="B50" s="84" t="s">
        <v>223</v>
      </c>
      <c r="C50" s="71">
        <v>1</v>
      </c>
      <c r="D50" s="166"/>
      <c r="E50" s="83" t="s">
        <v>212</v>
      </c>
      <c r="F50" s="86"/>
      <c r="G50" s="64"/>
      <c r="H50" s="71"/>
      <c r="I50" s="188"/>
      <c r="J50" s="182" t="s">
        <v>11</v>
      </c>
    </row>
    <row r="51" spans="1:10" x14ac:dyDescent="0.3">
      <c r="A51" s="87" t="s">
        <v>211</v>
      </c>
      <c r="B51" s="84" t="s">
        <v>215</v>
      </c>
      <c r="C51" s="68">
        <v>1</v>
      </c>
      <c r="D51" s="166"/>
      <c r="E51" s="83"/>
      <c r="F51" s="88"/>
      <c r="G51" s="65"/>
      <c r="H51" s="68"/>
      <c r="I51" s="76"/>
      <c r="J51" s="183"/>
    </row>
    <row r="52" spans="1:10" x14ac:dyDescent="0.3">
      <c r="A52" s="87" t="s">
        <v>218</v>
      </c>
      <c r="B52" s="163" t="s">
        <v>219</v>
      </c>
      <c r="C52" s="178">
        <f>_xlfn.CEILING.MATH(SUM(B40,E40)/48)</f>
        <v>6</v>
      </c>
      <c r="D52" s="92"/>
      <c r="E52" s="98" t="s">
        <v>212</v>
      </c>
      <c r="F52" s="100"/>
      <c r="G52" s="94"/>
      <c r="H52" s="100"/>
      <c r="I52" s="189"/>
      <c r="J52" s="183"/>
    </row>
    <row r="53" spans="1:10" x14ac:dyDescent="0.3">
      <c r="A53" s="87" t="s">
        <v>220</v>
      </c>
      <c r="B53" s="164"/>
      <c r="C53" s="178"/>
      <c r="D53" s="93"/>
      <c r="E53" s="99"/>
      <c r="F53" s="101"/>
      <c r="G53" s="95"/>
      <c r="H53" s="101"/>
      <c r="I53" s="190"/>
      <c r="J53" s="183"/>
    </row>
    <row r="54" spans="1:10" x14ac:dyDescent="0.3">
      <c r="A54" s="87" t="s">
        <v>224</v>
      </c>
      <c r="B54" s="89" t="s">
        <v>225</v>
      </c>
      <c r="C54" s="68">
        <v>1</v>
      </c>
      <c r="D54" s="166"/>
      <c r="E54" s="83"/>
      <c r="F54" s="88"/>
      <c r="G54" s="65"/>
      <c r="H54" s="68"/>
      <c r="I54" s="76"/>
      <c r="J54" s="183"/>
    </row>
    <row r="55" spans="1:10" x14ac:dyDescent="0.3">
      <c r="A55" s="87" t="s">
        <v>217</v>
      </c>
      <c r="B55" s="89" t="s">
        <v>216</v>
      </c>
      <c r="C55" s="68">
        <f>_xlfn.CEILING.MATH(D40/48)</f>
        <v>1</v>
      </c>
      <c r="D55" s="167"/>
      <c r="E55" s="85" t="s">
        <v>212</v>
      </c>
      <c r="F55" s="88"/>
      <c r="G55" s="65"/>
      <c r="H55" s="68"/>
      <c r="I55" s="76"/>
      <c r="J55" s="183"/>
    </row>
    <row r="56" spans="1:10" x14ac:dyDescent="0.3">
      <c r="A56" s="68" t="s">
        <v>208</v>
      </c>
      <c r="B56" s="89" t="s">
        <v>231</v>
      </c>
      <c r="C56" s="68">
        <f>D40</f>
        <v>18</v>
      </c>
      <c r="D56" s="167"/>
      <c r="E56" s="85" t="s">
        <v>212</v>
      </c>
      <c r="F56" s="88"/>
      <c r="G56" s="65"/>
      <c r="H56" s="68"/>
      <c r="I56" s="76"/>
      <c r="J56" s="183"/>
    </row>
    <row r="57" spans="1:10" x14ac:dyDescent="0.3">
      <c r="A57" s="68" t="s">
        <v>209</v>
      </c>
      <c r="B57" s="89" t="s">
        <v>222</v>
      </c>
      <c r="C57" s="68">
        <v>1</v>
      </c>
      <c r="D57" s="167"/>
      <c r="E57" s="85" t="s">
        <v>212</v>
      </c>
      <c r="F57" s="88"/>
      <c r="G57" s="65"/>
      <c r="H57" s="68"/>
      <c r="I57" s="76"/>
      <c r="J57" s="183"/>
    </row>
    <row r="58" spans="1:10" ht="15" thickBot="1" x14ac:dyDescent="0.35">
      <c r="A58" s="79" t="s">
        <v>214</v>
      </c>
      <c r="B58" s="81" t="s">
        <v>227</v>
      </c>
      <c r="C58" s="78">
        <f>E40</f>
        <v>16</v>
      </c>
      <c r="D58" s="168"/>
      <c r="E58" s="90"/>
      <c r="F58" s="91"/>
      <c r="G58" s="66"/>
      <c r="H58" s="78"/>
      <c r="I58" s="191"/>
      <c r="J58" s="187"/>
    </row>
    <row r="59" spans="1:10" x14ac:dyDescent="0.3">
      <c r="A59" s="67" t="s">
        <v>210</v>
      </c>
      <c r="B59" s="84" t="s">
        <v>223</v>
      </c>
      <c r="C59" s="67">
        <v>1</v>
      </c>
      <c r="D59" s="166"/>
      <c r="E59" s="85" t="s">
        <v>212</v>
      </c>
      <c r="F59" s="86"/>
      <c r="G59" s="64"/>
      <c r="H59" s="67"/>
      <c r="I59" s="86"/>
      <c r="J59" s="184" t="s">
        <v>39</v>
      </c>
    </row>
    <row r="60" spans="1:10" x14ac:dyDescent="0.3">
      <c r="A60" s="87" t="s">
        <v>211</v>
      </c>
      <c r="B60" s="84" t="s">
        <v>215</v>
      </c>
      <c r="C60" s="68">
        <v>1</v>
      </c>
      <c r="D60" s="166"/>
      <c r="E60" s="83"/>
      <c r="F60" s="88"/>
      <c r="G60" s="65"/>
      <c r="H60" s="68"/>
      <c r="I60" s="88"/>
      <c r="J60" s="185"/>
    </row>
    <row r="61" spans="1:10" x14ac:dyDescent="0.3">
      <c r="A61" s="87" t="s">
        <v>218</v>
      </c>
      <c r="B61" s="163" t="s">
        <v>219</v>
      </c>
      <c r="C61" s="178">
        <f>_xlfn.CEILING.MATH(SUM(B41,E41)/48)</f>
        <v>6</v>
      </c>
      <c r="D61" s="169"/>
      <c r="E61" s="98" t="s">
        <v>212</v>
      </c>
      <c r="F61" s="100"/>
      <c r="G61" s="94"/>
      <c r="H61" s="100"/>
      <c r="I61" s="192"/>
      <c r="J61" s="185"/>
    </row>
    <row r="62" spans="1:10" x14ac:dyDescent="0.3">
      <c r="A62" s="87" t="s">
        <v>220</v>
      </c>
      <c r="B62" s="164"/>
      <c r="C62" s="178"/>
      <c r="D62" s="170"/>
      <c r="E62" s="99"/>
      <c r="F62" s="101"/>
      <c r="G62" s="95"/>
      <c r="H62" s="101"/>
      <c r="I62" s="193"/>
      <c r="J62" s="185"/>
    </row>
    <row r="63" spans="1:10" x14ac:dyDescent="0.3">
      <c r="A63" s="87" t="s">
        <v>224</v>
      </c>
      <c r="B63" s="89" t="s">
        <v>225</v>
      </c>
      <c r="C63" s="68">
        <v>1</v>
      </c>
      <c r="D63" s="166"/>
      <c r="E63" s="83"/>
      <c r="F63" s="88"/>
      <c r="G63" s="65"/>
      <c r="H63" s="68"/>
      <c r="I63" s="88"/>
      <c r="J63" s="185"/>
    </row>
    <row r="64" spans="1:10" x14ac:dyDescent="0.3">
      <c r="A64" s="87" t="s">
        <v>217</v>
      </c>
      <c r="B64" s="89" t="s">
        <v>216</v>
      </c>
      <c r="C64" s="68">
        <f>_xlfn.CEILING.MATH(D41/48)</f>
        <v>1</v>
      </c>
      <c r="D64" s="167"/>
      <c r="E64" s="85" t="s">
        <v>212</v>
      </c>
      <c r="F64" s="88"/>
      <c r="G64" s="65"/>
      <c r="H64" s="68"/>
      <c r="I64" s="88"/>
      <c r="J64" s="185"/>
    </row>
    <row r="65" spans="1:10" x14ac:dyDescent="0.3">
      <c r="A65" s="68" t="s">
        <v>208</v>
      </c>
      <c r="B65" s="89" t="s">
        <v>221</v>
      </c>
      <c r="C65" s="68">
        <f>D41</f>
        <v>21</v>
      </c>
      <c r="D65" s="167"/>
      <c r="E65" s="85" t="s">
        <v>212</v>
      </c>
      <c r="F65" s="88"/>
      <c r="G65" s="65"/>
      <c r="H65" s="68"/>
      <c r="I65" s="88"/>
      <c r="J65" s="185"/>
    </row>
    <row r="66" spans="1:10" ht="15" thickBot="1" x14ac:dyDescent="0.35">
      <c r="A66" s="79" t="s">
        <v>214</v>
      </c>
      <c r="B66" s="81" t="s">
        <v>227</v>
      </c>
      <c r="C66" s="69">
        <f>E41</f>
        <v>18</v>
      </c>
      <c r="D66" s="168"/>
      <c r="E66" s="90"/>
      <c r="F66" s="91"/>
      <c r="G66" s="66"/>
      <c r="H66" s="69"/>
      <c r="I66" s="91"/>
      <c r="J66" s="186"/>
    </row>
    <row r="67" spans="1:10" x14ac:dyDescent="0.3">
      <c r="A67" s="67" t="s">
        <v>210</v>
      </c>
      <c r="B67" s="84" t="s">
        <v>223</v>
      </c>
      <c r="C67" s="67">
        <v>1</v>
      </c>
      <c r="D67" s="166"/>
      <c r="E67" s="85" t="s">
        <v>212</v>
      </c>
      <c r="F67" s="86"/>
      <c r="G67" s="64"/>
      <c r="H67" s="71"/>
      <c r="I67" s="188"/>
      <c r="J67" s="182" t="s">
        <v>68</v>
      </c>
    </row>
    <row r="68" spans="1:10" x14ac:dyDescent="0.3">
      <c r="A68" s="87" t="s">
        <v>211</v>
      </c>
      <c r="B68" s="84" t="s">
        <v>215</v>
      </c>
      <c r="C68" s="68">
        <v>1</v>
      </c>
      <c r="D68" s="166"/>
      <c r="E68" s="83"/>
      <c r="F68" s="88"/>
      <c r="G68" s="65"/>
      <c r="H68" s="68"/>
      <c r="I68" s="76"/>
      <c r="J68" s="183"/>
    </row>
    <row r="69" spans="1:10" x14ac:dyDescent="0.3">
      <c r="A69" s="87" t="s">
        <v>218</v>
      </c>
      <c r="B69" s="163" t="s">
        <v>219</v>
      </c>
      <c r="C69" s="178">
        <f>_xlfn.CEILING.MATH(SUM(B42,E42)/48)</f>
        <v>6</v>
      </c>
      <c r="D69" s="169"/>
      <c r="E69" s="98" t="s">
        <v>212</v>
      </c>
      <c r="F69" s="100"/>
      <c r="G69" s="94"/>
      <c r="H69" s="100"/>
      <c r="I69" s="189"/>
      <c r="J69" s="183"/>
    </row>
    <row r="70" spans="1:10" x14ac:dyDescent="0.3">
      <c r="A70" s="87" t="s">
        <v>220</v>
      </c>
      <c r="B70" s="164"/>
      <c r="C70" s="178"/>
      <c r="D70" s="170"/>
      <c r="E70" s="99"/>
      <c r="F70" s="101"/>
      <c r="G70" s="95"/>
      <c r="H70" s="101"/>
      <c r="I70" s="190"/>
      <c r="J70" s="183"/>
    </row>
    <row r="71" spans="1:10" x14ac:dyDescent="0.3">
      <c r="A71" s="87" t="s">
        <v>224</v>
      </c>
      <c r="B71" s="89" t="s">
        <v>225</v>
      </c>
      <c r="C71" s="68">
        <v>1</v>
      </c>
      <c r="D71" s="166"/>
      <c r="E71" s="83"/>
      <c r="F71" s="88"/>
      <c r="G71" s="65"/>
      <c r="H71" s="68"/>
      <c r="I71" s="76"/>
      <c r="J71" s="183"/>
    </row>
    <row r="72" spans="1:10" x14ac:dyDescent="0.3">
      <c r="A72" s="87" t="s">
        <v>217</v>
      </c>
      <c r="B72" s="89" t="s">
        <v>216</v>
      </c>
      <c r="C72" s="68">
        <f>_xlfn.CEILING.MATH(D42/48)</f>
        <v>1</v>
      </c>
      <c r="D72" s="167"/>
      <c r="E72" s="85" t="s">
        <v>212</v>
      </c>
      <c r="F72" s="88"/>
      <c r="G72" s="65"/>
      <c r="H72" s="68"/>
      <c r="I72" s="76"/>
      <c r="J72" s="183"/>
    </row>
    <row r="73" spans="1:10" x14ac:dyDescent="0.3">
      <c r="A73" s="68" t="s">
        <v>208</v>
      </c>
      <c r="B73" s="89" t="s">
        <v>221</v>
      </c>
      <c r="C73" s="68">
        <f>D42</f>
        <v>18</v>
      </c>
      <c r="D73" s="167"/>
      <c r="E73" s="85" t="s">
        <v>212</v>
      </c>
      <c r="F73" s="88"/>
      <c r="G73" s="65"/>
      <c r="H73" s="68"/>
      <c r="I73" s="76"/>
      <c r="J73" s="183"/>
    </row>
    <row r="74" spans="1:10" ht="15" thickBot="1" x14ac:dyDescent="0.35">
      <c r="A74" s="79" t="s">
        <v>214</v>
      </c>
      <c r="B74" s="81" t="s">
        <v>227</v>
      </c>
      <c r="C74" s="69">
        <f>E42</f>
        <v>16</v>
      </c>
      <c r="D74" s="168"/>
      <c r="E74" s="90"/>
      <c r="F74" s="91"/>
      <c r="G74" s="66"/>
      <c r="H74" s="78"/>
      <c r="I74" s="191"/>
      <c r="J74" s="187"/>
    </row>
    <row r="75" spans="1:10" x14ac:dyDescent="0.3">
      <c r="A75" s="67" t="s">
        <v>210</v>
      </c>
      <c r="B75" s="84" t="s">
        <v>223</v>
      </c>
      <c r="C75" s="71">
        <v>1</v>
      </c>
      <c r="D75" s="166"/>
      <c r="E75" s="85" t="s">
        <v>212</v>
      </c>
      <c r="F75" s="86"/>
      <c r="G75" s="64"/>
      <c r="H75" s="67"/>
      <c r="I75" s="86"/>
      <c r="J75" s="184" t="s">
        <v>88</v>
      </c>
    </row>
    <row r="76" spans="1:10" x14ac:dyDescent="0.3">
      <c r="A76" s="87" t="s">
        <v>211</v>
      </c>
      <c r="B76" s="84" t="s">
        <v>215</v>
      </c>
      <c r="C76" s="68">
        <v>1</v>
      </c>
      <c r="D76" s="166"/>
      <c r="E76" s="83"/>
      <c r="F76" s="88"/>
      <c r="G76" s="65"/>
      <c r="H76" s="68"/>
      <c r="I76" s="88"/>
      <c r="J76" s="185"/>
    </row>
    <row r="77" spans="1:10" x14ac:dyDescent="0.3">
      <c r="A77" s="87" t="s">
        <v>218</v>
      </c>
      <c r="B77" s="163" t="s">
        <v>219</v>
      </c>
      <c r="C77" s="178">
        <f>_xlfn.CEILING.MATH(SUM(B43,E43)/48)</f>
        <v>5</v>
      </c>
      <c r="D77" s="169"/>
      <c r="E77" s="98" t="s">
        <v>212</v>
      </c>
      <c r="F77" s="100"/>
      <c r="G77" s="94"/>
      <c r="H77" s="100"/>
      <c r="I77" s="192"/>
      <c r="J77" s="185"/>
    </row>
    <row r="78" spans="1:10" x14ac:dyDescent="0.3">
      <c r="A78" s="87" t="s">
        <v>220</v>
      </c>
      <c r="B78" s="164"/>
      <c r="C78" s="178"/>
      <c r="D78" s="170"/>
      <c r="E78" s="99"/>
      <c r="F78" s="101"/>
      <c r="G78" s="95"/>
      <c r="H78" s="101"/>
      <c r="I78" s="193"/>
      <c r="J78" s="185"/>
    </row>
    <row r="79" spans="1:10" x14ac:dyDescent="0.3">
      <c r="A79" s="87" t="s">
        <v>224</v>
      </c>
      <c r="B79" s="89" t="s">
        <v>225</v>
      </c>
      <c r="C79" s="68">
        <v>1</v>
      </c>
      <c r="D79" s="166"/>
      <c r="E79" s="83"/>
      <c r="F79" s="88"/>
      <c r="G79" s="65"/>
      <c r="H79" s="68"/>
      <c r="I79" s="88"/>
      <c r="J79" s="185"/>
    </row>
    <row r="80" spans="1:10" x14ac:dyDescent="0.3">
      <c r="A80" s="87" t="s">
        <v>217</v>
      </c>
      <c r="B80" s="89" t="s">
        <v>216</v>
      </c>
      <c r="C80" s="68">
        <f>_xlfn.CEILING.MATH(D43/48)</f>
        <v>1</v>
      </c>
      <c r="D80" s="167"/>
      <c r="E80" s="85" t="s">
        <v>212</v>
      </c>
      <c r="F80" s="88"/>
      <c r="G80" s="65"/>
      <c r="H80" s="68"/>
      <c r="I80" s="88"/>
      <c r="J80" s="185"/>
    </row>
    <row r="81" spans="1:10" x14ac:dyDescent="0.3">
      <c r="A81" s="68" t="s">
        <v>208</v>
      </c>
      <c r="B81" s="89" t="s">
        <v>221</v>
      </c>
      <c r="C81" s="68">
        <f>D43</f>
        <v>18</v>
      </c>
      <c r="D81" s="167"/>
      <c r="E81" s="85" t="s">
        <v>212</v>
      </c>
      <c r="F81" s="88"/>
      <c r="G81" s="65"/>
      <c r="H81" s="68"/>
      <c r="I81" s="88"/>
      <c r="J81" s="185"/>
    </row>
    <row r="82" spans="1:10" ht="15" thickBot="1" x14ac:dyDescent="0.35">
      <c r="A82" s="79" t="s">
        <v>214</v>
      </c>
      <c r="B82" s="81" t="s">
        <v>227</v>
      </c>
      <c r="C82" s="69">
        <f>E43</f>
        <v>17</v>
      </c>
      <c r="D82" s="168"/>
      <c r="E82" s="90"/>
      <c r="F82" s="91"/>
      <c r="G82" s="66"/>
      <c r="H82" s="69"/>
      <c r="I82" s="91"/>
      <c r="J82" s="186"/>
    </row>
    <row r="85" spans="1:10" x14ac:dyDescent="0.3">
      <c r="A85" s="63"/>
      <c r="B85" s="63"/>
      <c r="C85" s="63"/>
    </row>
    <row r="86" spans="1:10" x14ac:dyDescent="0.3">
      <c r="A86" s="63"/>
      <c r="B86" s="63"/>
      <c r="C86" s="63"/>
    </row>
    <row r="87" spans="1:10" x14ac:dyDescent="0.3">
      <c r="A87" s="63"/>
      <c r="B87" s="63"/>
      <c r="C87" s="63"/>
    </row>
    <row r="88" spans="1:10" x14ac:dyDescent="0.3">
      <c r="A88" s="63"/>
      <c r="B88" s="63"/>
      <c r="C88" s="63"/>
    </row>
  </sheetData>
  <mergeCells count="82">
    <mergeCell ref="A47:J47"/>
    <mergeCell ref="F48:I48"/>
    <mergeCell ref="H77:H78"/>
    <mergeCell ref="I77:I78"/>
    <mergeCell ref="H69:H70"/>
    <mergeCell ref="I69:I70"/>
    <mergeCell ref="H61:H62"/>
    <mergeCell ref="I61:I62"/>
    <mergeCell ref="H52:H53"/>
    <mergeCell ref="I52:I53"/>
    <mergeCell ref="B31:C31"/>
    <mergeCell ref="B32:C32"/>
    <mergeCell ref="B33:C33"/>
    <mergeCell ref="B26:C26"/>
    <mergeCell ref="B27:C27"/>
    <mergeCell ref="B28:C28"/>
    <mergeCell ref="B29:C29"/>
    <mergeCell ref="B30:C30"/>
    <mergeCell ref="B9:C9"/>
    <mergeCell ref="B10:C10"/>
    <mergeCell ref="B11:C11"/>
    <mergeCell ref="B12:C12"/>
    <mergeCell ref="B13:C13"/>
    <mergeCell ref="B14:C14"/>
    <mergeCell ref="B38:C39"/>
    <mergeCell ref="B40:C40"/>
    <mergeCell ref="B41:C41"/>
    <mergeCell ref="B42:C42"/>
    <mergeCell ref="B43:C43"/>
    <mergeCell ref="A10:A21"/>
    <mergeCell ref="A22:A33"/>
    <mergeCell ref="H34:I34"/>
    <mergeCell ref="B34:D34"/>
    <mergeCell ref="H35:I35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J75:J82"/>
    <mergeCell ref="H36:I36"/>
    <mergeCell ref="H37:I37"/>
    <mergeCell ref="G52:G53"/>
    <mergeCell ref="C52:C53"/>
    <mergeCell ref="J59:J66"/>
    <mergeCell ref="J67:J74"/>
    <mergeCell ref="D52:D53"/>
    <mergeCell ref="F61:F62"/>
    <mergeCell ref="G61:G62"/>
    <mergeCell ref="C61:C62"/>
    <mergeCell ref="A38:A39"/>
    <mergeCell ref="D38:D39"/>
    <mergeCell ref="E38:E39"/>
    <mergeCell ref="F38:Q38"/>
    <mergeCell ref="J50:J58"/>
    <mergeCell ref="B48:E48"/>
    <mergeCell ref="A48:A49"/>
    <mergeCell ref="J48:J49"/>
    <mergeCell ref="B52:B53"/>
    <mergeCell ref="E52:E53"/>
    <mergeCell ref="F52:F53"/>
    <mergeCell ref="B61:B62"/>
    <mergeCell ref="C69:C70"/>
    <mergeCell ref="C77:C78"/>
    <mergeCell ref="B77:B78"/>
    <mergeCell ref="D77:D78"/>
    <mergeCell ref="E77:E78"/>
    <mergeCell ref="F77:F78"/>
    <mergeCell ref="G77:G78"/>
    <mergeCell ref="G69:G70"/>
    <mergeCell ref="F69:F70"/>
    <mergeCell ref="E69:E70"/>
    <mergeCell ref="D69:D70"/>
    <mergeCell ref="B69:B70"/>
    <mergeCell ref="D61:D62"/>
    <mergeCell ref="E61:E62"/>
  </mergeCells>
  <hyperlinks>
    <hyperlink ref="E57" r:id="rId1" xr:uid="{A029F0E9-C9D1-4CD2-ADE0-4784660C9D97}"/>
    <hyperlink ref="E56" r:id="rId2" xr:uid="{857B9BB1-3282-4DA1-96F1-AAF639475A2D}"/>
    <hyperlink ref="E55" r:id="rId3" xr:uid="{F6634F98-8A1B-4296-BD90-DA744A704792}"/>
    <hyperlink ref="E52" r:id="rId4" xr:uid="{4EB1002D-512E-490E-8CE7-EC79EF9020B5}"/>
    <hyperlink ref="E50" r:id="rId5" xr:uid="{883103FA-02FE-4CB6-A102-CF901C48D85E}"/>
    <hyperlink ref="E59" r:id="rId6" xr:uid="{D897E3EA-4B88-4B07-8E04-9BC62AA8DE11}"/>
    <hyperlink ref="E65" r:id="rId7" xr:uid="{881D9D2F-DA17-40C4-AA3C-EF0106248703}"/>
    <hyperlink ref="E64" r:id="rId8" xr:uid="{AA809D2B-FA2E-4C7A-A7B7-4832F6E4D09E}"/>
    <hyperlink ref="E61" r:id="rId9" xr:uid="{C8C2BF74-BEEC-4D78-81DC-1C5EAC1A63DA}"/>
    <hyperlink ref="E67" r:id="rId10" xr:uid="{D2753667-397D-495A-9EFF-B90CDE17CC24}"/>
    <hyperlink ref="E73" r:id="rId11" xr:uid="{509B4E63-2B9B-4B39-AE71-EC1816BD00CA}"/>
    <hyperlink ref="E72" r:id="rId12" xr:uid="{A9DD4DFE-201F-431D-BB40-6EDD85971C07}"/>
    <hyperlink ref="E69" r:id="rId13" xr:uid="{7056E575-1D4F-4EF2-89C3-BBB0B9A6A6BD}"/>
    <hyperlink ref="E75" r:id="rId14" xr:uid="{339D2A8A-3C61-4946-8E27-FBC09434974D}"/>
    <hyperlink ref="E81" r:id="rId15" xr:uid="{CE0123D6-F228-4B48-B3A9-3B41355BD82C}"/>
    <hyperlink ref="E80" r:id="rId16" xr:uid="{ADA3AFEC-EFC1-4367-AF19-DAEAF49BD26A}"/>
    <hyperlink ref="E77" r:id="rId17" xr:uid="{4C3B922A-447E-41C3-9BF0-53BEF1EE6A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Cable</vt:lpstr>
      <vt:lpstr>Fiber</vt:lpstr>
      <vt:lpstr>MDF</vt:lpstr>
      <vt:lpstr>IDF1</vt:lpstr>
      <vt:lpstr>IDF...</vt:lpstr>
      <vt:lpstr>Traffic Estimation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2026-04-09T10:37:11Z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