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7aur\Desktop\CND\CNP\"/>
    </mc:Choice>
  </mc:AlternateContent>
  <xr:revisionPtr revIDLastSave="0" documentId="13_ncr:1_{04644CDB-F20F-476C-B83F-5C674760A34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ble" sheetId="1" r:id="rId1"/>
    <sheet name="Fiber" sheetId="2" r:id="rId2"/>
    <sheet name="Tech Stack" sheetId="3" r:id="rId3"/>
    <sheet name="MDF" sheetId="4" r:id="rId4"/>
    <sheet name="IDF1" sheetId="5" r:id="rId5"/>
    <sheet name="IDF2" sheetId="6" r:id="rId6"/>
    <sheet name="IDF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5" i="3" l="1"/>
  <c r="H125" i="3"/>
  <c r="G6" i="7"/>
  <c r="D6" i="7"/>
  <c r="G6" i="6"/>
  <c r="D6" i="6"/>
  <c r="G6" i="5"/>
  <c r="D6" i="5"/>
  <c r="G6" i="4"/>
  <c r="D6" i="4"/>
  <c r="D5" i="4"/>
  <c r="K14" i="7"/>
  <c r="E40" i="7"/>
  <c r="D40" i="7"/>
  <c r="F35" i="7"/>
  <c r="F34" i="7"/>
  <c r="B33" i="7"/>
  <c r="G23" i="7"/>
  <c r="G22" i="7"/>
  <c r="G21" i="7"/>
  <c r="G20" i="7"/>
  <c r="G19" i="7"/>
  <c r="G18" i="7"/>
  <c r="K15" i="7"/>
  <c r="F14" i="7"/>
  <c r="D14" i="7"/>
  <c r="F13" i="7"/>
  <c r="D13" i="7"/>
  <c r="F12" i="7"/>
  <c r="G12" i="7" s="1"/>
  <c r="D12" i="7"/>
  <c r="F11" i="7"/>
  <c r="G11" i="7" s="1"/>
  <c r="D11" i="7"/>
  <c r="F10" i="7"/>
  <c r="G10" i="7" s="1"/>
  <c r="D10" i="7"/>
  <c r="F9" i="7"/>
  <c r="G9" i="7" s="1"/>
  <c r="D9" i="7"/>
  <c r="F8" i="7"/>
  <c r="G8" i="7" s="1"/>
  <c r="D8" i="7"/>
  <c r="G7" i="7"/>
  <c r="D7" i="7"/>
  <c r="G5" i="7"/>
  <c r="D5" i="7"/>
  <c r="E40" i="6"/>
  <c r="D40" i="6"/>
  <c r="F35" i="6"/>
  <c r="F34" i="6"/>
  <c r="B33" i="6"/>
  <c r="G23" i="6"/>
  <c r="G22" i="6"/>
  <c r="G21" i="6"/>
  <c r="G20" i="6"/>
  <c r="G19" i="6"/>
  <c r="G18" i="6"/>
  <c r="K15" i="6"/>
  <c r="F14" i="6"/>
  <c r="D14" i="6"/>
  <c r="F13" i="6"/>
  <c r="D13" i="6"/>
  <c r="F12" i="6"/>
  <c r="G12" i="6" s="1"/>
  <c r="D12" i="6"/>
  <c r="F11" i="6"/>
  <c r="G11" i="6" s="1"/>
  <c r="D11" i="6"/>
  <c r="F10" i="6"/>
  <c r="G10" i="6" s="1"/>
  <c r="D10" i="6"/>
  <c r="F9" i="6"/>
  <c r="G9" i="6" s="1"/>
  <c r="D9" i="6"/>
  <c r="F8" i="6"/>
  <c r="D8" i="6"/>
  <c r="G7" i="6"/>
  <c r="D7" i="6"/>
  <c r="G5" i="6"/>
  <c r="D5" i="6"/>
  <c r="F34" i="5"/>
  <c r="E40" i="5"/>
  <c r="D40" i="5"/>
  <c r="F35" i="5"/>
  <c r="B33" i="5"/>
  <c r="G23" i="5"/>
  <c r="G22" i="5"/>
  <c r="G21" i="5"/>
  <c r="G20" i="5"/>
  <c r="G19" i="5"/>
  <c r="G18" i="5"/>
  <c r="K15" i="5"/>
  <c r="F14" i="5"/>
  <c r="D14" i="5"/>
  <c r="F13" i="5"/>
  <c r="D13" i="5"/>
  <c r="F12" i="5"/>
  <c r="G12" i="5" s="1"/>
  <c r="D12" i="5"/>
  <c r="F11" i="5"/>
  <c r="G11" i="5" s="1"/>
  <c r="D11" i="5"/>
  <c r="F10" i="5"/>
  <c r="G10" i="5" s="1"/>
  <c r="D10" i="5"/>
  <c r="F9" i="5"/>
  <c r="G9" i="5" s="1"/>
  <c r="D9" i="5"/>
  <c r="F8" i="5"/>
  <c r="D8" i="5"/>
  <c r="G7" i="5"/>
  <c r="D7" i="5"/>
  <c r="G5" i="5"/>
  <c r="D5" i="5"/>
  <c r="C44" i="5"/>
  <c r="C45" i="5"/>
  <c r="G5" i="4"/>
  <c r="G9" i="4"/>
  <c r="G10" i="4"/>
  <c r="G11" i="4"/>
  <c r="G12" i="4"/>
  <c r="G8" i="4"/>
  <c r="F42" i="4"/>
  <c r="K15" i="4"/>
  <c r="F14" i="4"/>
  <c r="F13" i="4"/>
  <c r="F12" i="4"/>
  <c r="F11" i="4"/>
  <c r="F10" i="4"/>
  <c r="F9" i="4"/>
  <c r="F8" i="4"/>
  <c r="K14" i="4" s="1"/>
  <c r="H86" i="1" a="1"/>
  <c r="H86" i="1" s="1"/>
  <c r="H88" i="1" a="1"/>
  <c r="H88" i="1" s="1"/>
  <c r="H87" i="1" a="1"/>
  <c r="H87" i="1" s="1"/>
  <c r="H85" i="1" a="1"/>
  <c r="H85" i="1" s="1"/>
  <c r="H84" i="1" a="1"/>
  <c r="H84" i="1" s="1"/>
  <c r="H83" i="1" a="1"/>
  <c r="H83" i="1" s="1"/>
  <c r="H80" i="1" a="1"/>
  <c r="H80" i="1" s="1"/>
  <c r="H79" i="1" a="1"/>
  <c r="H79" i="1" s="1"/>
  <c r="H78" i="1" a="1"/>
  <c r="H78" i="1" s="1"/>
  <c r="H77" i="1" a="1"/>
  <c r="H77" i="1" s="1"/>
  <c r="H76" i="1" a="1"/>
  <c r="H76" i="1" s="1"/>
  <c r="H74" i="1" a="1"/>
  <c r="H74" i="1" s="1"/>
  <c r="H73" i="1" a="1"/>
  <c r="H73" i="1" s="1"/>
  <c r="H72" i="1" a="1"/>
  <c r="H72" i="1" s="1"/>
  <c r="H71" i="1" a="1"/>
  <c r="H71" i="1" s="1"/>
  <c r="H68" i="1" a="1"/>
  <c r="H68" i="1" s="1"/>
  <c r="H67" i="1" a="1"/>
  <c r="H67" i="1"/>
  <c r="H59" i="1" a="1"/>
  <c r="H59" i="1" s="1"/>
  <c r="H64" i="1" a="1"/>
  <c r="H64" i="1" s="1"/>
  <c r="H63" i="1" a="1"/>
  <c r="H63" i="1" s="1"/>
  <c r="H62" i="1" a="1"/>
  <c r="H62" i="1" s="1"/>
  <c r="H61" i="1" a="1"/>
  <c r="H61" i="1" s="1"/>
  <c r="H60" i="1" a="1"/>
  <c r="H60" i="1" s="1"/>
  <c r="H58" i="1" a="1"/>
  <c r="H58" i="1" s="1"/>
  <c r="H57" i="1" a="1"/>
  <c r="H57" i="1" s="1"/>
  <c r="H54" i="1" a="1"/>
  <c r="H54" i="1" s="1"/>
  <c r="H53" i="1" a="1"/>
  <c r="H53" i="1" s="1"/>
  <c r="H52" i="1" a="1"/>
  <c r="H52" i="1" s="1"/>
  <c r="H51" i="1" a="1"/>
  <c r="H51" i="1" s="1"/>
  <c r="H50" i="1" a="1"/>
  <c r="H50" i="1" s="1"/>
  <c r="H48" i="1" a="1"/>
  <c r="H48" i="1" s="1"/>
  <c r="H47" i="1" a="1"/>
  <c r="H47" i="1" s="1"/>
  <c r="H44" i="1" a="1"/>
  <c r="H44" i="1" s="1"/>
  <c r="H43" i="1" a="1"/>
  <c r="H43" i="1" s="1"/>
  <c r="H42" i="1" a="1"/>
  <c r="H42" i="1" s="1"/>
  <c r="H41" i="1" a="1"/>
  <c r="H41" i="1" s="1"/>
  <c r="H40" i="1" a="1"/>
  <c r="H40" i="1" s="1"/>
  <c r="H39" i="1" a="1"/>
  <c r="H39" i="1" s="1"/>
  <c r="H36" i="1" a="1"/>
  <c r="H36" i="1" s="1"/>
  <c r="H35" i="1" a="1"/>
  <c r="H35" i="1" s="1"/>
  <c r="H34" i="1" a="1"/>
  <c r="H34" i="1" s="1"/>
  <c r="H33" i="1" a="1"/>
  <c r="H33" i="1" s="1"/>
  <c r="H32" i="1" a="1"/>
  <c r="H32" i="1" s="1"/>
  <c r="H30" i="1" a="1"/>
  <c r="H30" i="1" s="1"/>
  <c r="H29" i="1" a="1"/>
  <c r="H29" i="1" s="1"/>
  <c r="H28" i="1" a="1"/>
  <c r="H28" i="1" s="1"/>
  <c r="H27" i="1" a="1"/>
  <c r="H27" i="1" s="1"/>
  <c r="H26" i="1" a="1"/>
  <c r="H26" i="1" s="1"/>
  <c r="H23" i="1" a="1"/>
  <c r="H23" i="1" s="1"/>
  <c r="H22" i="1" a="1"/>
  <c r="H22" i="1" s="1"/>
  <c r="H18" i="1" a="1"/>
  <c r="H18" i="1" s="1"/>
  <c r="H13" i="1" a="1"/>
  <c r="H13" i="1" s="1"/>
  <c r="H19" i="1" a="1"/>
  <c r="H19" i="1"/>
  <c r="H17" i="1" a="1"/>
  <c r="H17" i="1" s="1"/>
  <c r="H16" i="1" a="1"/>
  <c r="H16" i="1"/>
  <c r="H15" i="1" a="1"/>
  <c r="H15" i="1" s="1"/>
  <c r="H14" i="1" a="1"/>
  <c r="H14" i="1" s="1"/>
  <c r="H12" i="1" a="1"/>
  <c r="H12" i="1" s="1"/>
  <c r="H9" i="1" a="1"/>
  <c r="H9" i="1" s="1"/>
  <c r="H8" i="1" a="1"/>
  <c r="H8" i="1" s="1"/>
  <c r="H7" i="1" a="1"/>
  <c r="H7" i="1" s="1"/>
  <c r="H6" i="1" a="1"/>
  <c r="H6" i="1" s="1"/>
  <c r="H5" i="1" a="1"/>
  <c r="H5" i="1" s="1"/>
  <c r="H3" i="1" a="1"/>
  <c r="H3" i="1" s="1"/>
  <c r="H2" i="1" a="1"/>
  <c r="H2" i="1" s="1"/>
  <c r="C43" i="7"/>
  <c r="C43" i="6"/>
  <c r="C51" i="4"/>
  <c r="E48" i="4"/>
  <c r="D48" i="4"/>
  <c r="F43" i="4"/>
  <c r="B41" i="4"/>
  <c r="G36" i="4"/>
  <c r="G35" i="4"/>
  <c r="G34" i="4"/>
  <c r="D33" i="4"/>
  <c r="G23" i="4"/>
  <c r="G22" i="4"/>
  <c r="G21" i="4"/>
  <c r="G20" i="4"/>
  <c r="G19" i="4"/>
  <c r="G18" i="4"/>
  <c r="D14" i="4"/>
  <c r="D13" i="4"/>
  <c r="D12" i="4"/>
  <c r="D11" i="4"/>
  <c r="D10" i="4"/>
  <c r="D9" i="4"/>
  <c r="D8" i="4"/>
  <c r="G7" i="4"/>
  <c r="D7" i="4"/>
  <c r="C55" i="3"/>
  <c r="E43" i="3" a="1"/>
  <c r="E43" i="3" s="1"/>
  <c r="D43" i="3" a="1"/>
  <c r="D43" i="3" s="1"/>
  <c r="B43" i="3" a="1"/>
  <c r="B43" i="3" s="1"/>
  <c r="E42" i="3" a="1"/>
  <c r="E42" i="3" s="1"/>
  <c r="D42" i="3" a="1"/>
  <c r="D42" i="3" s="1"/>
  <c r="B42" i="3" a="1"/>
  <c r="B42" i="3" s="1"/>
  <c r="E41" i="3" a="1"/>
  <c r="E41" i="3" s="1"/>
  <c r="D41" i="3" a="1"/>
  <c r="D41" i="3" s="1"/>
  <c r="B41" i="3" a="1"/>
  <c r="B41" i="3" s="1"/>
  <c r="E40" i="3" a="1"/>
  <c r="E40" i="3" s="1"/>
  <c r="D40" i="3" a="1"/>
  <c r="D40" i="3" s="1"/>
  <c r="B40" i="3" a="1"/>
  <c r="B40" i="3" s="1"/>
  <c r="J37" i="3"/>
  <c r="J36" i="3"/>
  <c r="J35" i="3"/>
  <c r="J33" i="3"/>
  <c r="F33" i="3"/>
  <c r="E33" i="3" s="1"/>
  <c r="J32" i="3"/>
  <c r="F32" i="3"/>
  <c r="E32" i="3"/>
  <c r="J31" i="3"/>
  <c r="F31" i="3"/>
  <c r="E31" i="3" s="1"/>
  <c r="J30" i="3"/>
  <c r="F30" i="3"/>
  <c r="E30" i="3"/>
  <c r="J29" i="3"/>
  <c r="F29" i="3"/>
  <c r="E29" i="3" s="1"/>
  <c r="J28" i="3"/>
  <c r="F28" i="3"/>
  <c r="E28" i="3"/>
  <c r="J27" i="3"/>
  <c r="F27" i="3"/>
  <c r="E27" i="3" s="1"/>
  <c r="J26" i="3"/>
  <c r="F26" i="3"/>
  <c r="E26" i="3"/>
  <c r="J25" i="3"/>
  <c r="F25" i="3"/>
  <c r="E25" i="3" s="1"/>
  <c r="J24" i="3"/>
  <c r="F24" i="3"/>
  <c r="E24" i="3"/>
  <c r="J23" i="3"/>
  <c r="F23" i="3"/>
  <c r="E23" i="3" s="1"/>
  <c r="J22" i="3"/>
  <c r="F22" i="3"/>
  <c r="E22" i="3"/>
  <c r="J21" i="3"/>
  <c r="F21" i="3"/>
  <c r="E21" i="3" s="1"/>
  <c r="J20" i="3"/>
  <c r="F20" i="3"/>
  <c r="E20" i="3"/>
  <c r="J19" i="3"/>
  <c r="F19" i="3"/>
  <c r="E19" i="3" s="1"/>
  <c r="J18" i="3"/>
  <c r="F18" i="3"/>
  <c r="E18" i="3"/>
  <c r="J17" i="3"/>
  <c r="F17" i="3"/>
  <c r="E17" i="3" s="1"/>
  <c r="J16" i="3"/>
  <c r="F16" i="3"/>
  <c r="E16" i="3"/>
  <c r="J15" i="3"/>
  <c r="F15" i="3"/>
  <c r="E15" i="3" s="1"/>
  <c r="J14" i="3"/>
  <c r="F14" i="3"/>
  <c r="E14" i="3"/>
  <c r="J13" i="3"/>
  <c r="F13" i="3"/>
  <c r="E13" i="3" s="1"/>
  <c r="J12" i="3"/>
  <c r="F12" i="3"/>
  <c r="E12" i="3"/>
  <c r="J11" i="3"/>
  <c r="F11" i="3"/>
  <c r="E11" i="3" s="1"/>
  <c r="J10" i="3"/>
  <c r="J34" i="3" s="1"/>
  <c r="F10" i="3"/>
  <c r="E10" i="3"/>
  <c r="E12" i="2"/>
  <c r="F88" i="1"/>
  <c r="E88" i="1"/>
  <c r="E87" i="1"/>
  <c r="F87" i="1" s="1"/>
  <c r="F86" i="1"/>
  <c r="E86" i="1"/>
  <c r="E85" i="1"/>
  <c r="F85" i="1" s="1"/>
  <c r="F84" i="1"/>
  <c r="E84" i="1"/>
  <c r="E83" i="1"/>
  <c r="F83" i="1" s="1"/>
  <c r="F80" i="1"/>
  <c r="E80" i="1"/>
  <c r="E79" i="1"/>
  <c r="F79" i="1" s="1"/>
  <c r="F78" i="1"/>
  <c r="E78" i="1"/>
  <c r="E77" i="1"/>
  <c r="F77" i="1" s="1"/>
  <c r="F76" i="1"/>
  <c r="E76" i="1"/>
  <c r="E74" i="1"/>
  <c r="F74" i="1" s="1"/>
  <c r="E73" i="1"/>
  <c r="F73" i="1" s="1"/>
  <c r="E72" i="1"/>
  <c r="F72" i="1" s="1"/>
  <c r="F71" i="1"/>
  <c r="E71" i="1"/>
  <c r="E68" i="1"/>
  <c r="F68" i="1" s="1"/>
  <c r="E67" i="1"/>
  <c r="F67" i="1" s="1"/>
  <c r="E64" i="1"/>
  <c r="F64" i="1" s="1"/>
  <c r="E63" i="1"/>
  <c r="F63" i="1" s="1"/>
  <c r="E62" i="1"/>
  <c r="F62" i="1" s="1"/>
  <c r="F61" i="1"/>
  <c r="E61" i="1"/>
  <c r="E60" i="1"/>
  <c r="F60" i="1" s="1"/>
  <c r="E59" i="1"/>
  <c r="F59" i="1" s="1"/>
  <c r="E58" i="1"/>
  <c r="F58" i="1" s="1"/>
  <c r="F57" i="1"/>
  <c r="E57" i="1"/>
  <c r="E54" i="1"/>
  <c r="F54" i="1" s="1"/>
  <c r="E53" i="1"/>
  <c r="F53" i="1" s="1"/>
  <c r="E52" i="1"/>
  <c r="F52" i="1" s="1"/>
  <c r="F51" i="1"/>
  <c r="E51" i="1"/>
  <c r="E50" i="1"/>
  <c r="F50" i="1" s="1"/>
  <c r="F48" i="1"/>
  <c r="E48" i="1"/>
  <c r="E47" i="1"/>
  <c r="F47" i="1" s="1"/>
  <c r="E44" i="1"/>
  <c r="F44" i="1" s="1"/>
  <c r="E43" i="1"/>
  <c r="F43" i="1" s="1"/>
  <c r="F42" i="1"/>
  <c r="E42" i="1"/>
  <c r="E41" i="1"/>
  <c r="F41" i="1" s="1"/>
  <c r="F40" i="1"/>
  <c r="E40" i="1"/>
  <c r="E39" i="1"/>
  <c r="F39" i="1" s="1"/>
  <c r="F36" i="1"/>
  <c r="E36" i="1"/>
  <c r="E35" i="1"/>
  <c r="F35" i="1" s="1"/>
  <c r="E34" i="1"/>
  <c r="F34" i="1" s="1"/>
  <c r="E33" i="1"/>
  <c r="F33" i="1" s="1"/>
  <c r="F32" i="1"/>
  <c r="E32" i="1"/>
  <c r="E30" i="1"/>
  <c r="F30" i="1" s="1"/>
  <c r="E29" i="1"/>
  <c r="F29" i="1" s="1"/>
  <c r="E28" i="1"/>
  <c r="F28" i="1" s="1"/>
  <c r="F27" i="1"/>
  <c r="E27" i="1"/>
  <c r="E26" i="1"/>
  <c r="F26" i="1" s="1"/>
  <c r="E23" i="1"/>
  <c r="F23" i="1" s="1"/>
  <c r="E22" i="1"/>
  <c r="F22" i="1" s="1"/>
  <c r="E19" i="1"/>
  <c r="F19" i="1" s="1"/>
  <c r="E18" i="1"/>
  <c r="F18" i="1" s="1"/>
  <c r="F17" i="1"/>
  <c r="E17" i="1"/>
  <c r="E16" i="1"/>
  <c r="F16" i="1" s="1"/>
  <c r="E15" i="1"/>
  <c r="F15" i="1" s="1"/>
  <c r="E14" i="1"/>
  <c r="F14" i="1" s="1"/>
  <c r="F13" i="1"/>
  <c r="E13" i="1"/>
  <c r="E12" i="1"/>
  <c r="F12" i="1" s="1"/>
  <c r="F9" i="1"/>
  <c r="E9" i="1"/>
  <c r="E8" i="1"/>
  <c r="F8" i="1" s="1"/>
  <c r="F7" i="1"/>
  <c r="E7" i="1"/>
  <c r="E6" i="1"/>
  <c r="F6" i="1" s="1"/>
  <c r="E5" i="1"/>
  <c r="F5" i="1" s="1"/>
  <c r="E3" i="1"/>
  <c r="F3" i="1" s="1"/>
  <c r="F2" i="1"/>
  <c r="F20" i="1" s="1"/>
  <c r="E2" i="1"/>
  <c r="G33" i="7" l="1"/>
  <c r="K14" i="6"/>
  <c r="G8" i="6"/>
  <c r="G33" i="6" s="1"/>
  <c r="K14" i="5"/>
  <c r="G8" i="5"/>
  <c r="G33" i="5"/>
  <c r="I59" i="1"/>
  <c r="I86" i="1"/>
  <c r="I72" i="1"/>
  <c r="I78" i="1"/>
  <c r="I34" i="1"/>
  <c r="I35" i="1"/>
  <c r="I79" i="1"/>
  <c r="I54" i="1"/>
  <c r="I17" i="1"/>
  <c r="I63" i="1"/>
  <c r="I5" i="1"/>
  <c r="I57" i="1"/>
  <c r="I71" i="1"/>
  <c r="I85" i="1"/>
  <c r="I9" i="1"/>
  <c r="I28" i="1"/>
  <c r="I73" i="1"/>
  <c r="I6" i="1"/>
  <c r="I40" i="1"/>
  <c r="I48" i="1"/>
  <c r="I74" i="1"/>
  <c r="I3" i="1"/>
  <c r="I41" i="1"/>
  <c r="I33" i="1"/>
  <c r="I50" i="1"/>
  <c r="I76" i="1"/>
  <c r="I27" i="1"/>
  <c r="I51" i="1"/>
  <c r="I62" i="1"/>
  <c r="I58" i="1"/>
  <c r="I87" i="1"/>
  <c r="I12" i="1"/>
  <c r="I18" i="1"/>
  <c r="I42" i="1"/>
  <c r="I19" i="1"/>
  <c r="I29" i="1"/>
  <c r="I64" i="1"/>
  <c r="I80" i="1"/>
  <c r="I7" i="1"/>
  <c r="I36" i="1"/>
  <c r="I61" i="1"/>
  <c r="I14" i="1"/>
  <c r="I30" i="1"/>
  <c r="I43" i="1"/>
  <c r="I83" i="1"/>
  <c r="I60" i="1"/>
  <c r="I52" i="1"/>
  <c r="I8" i="1"/>
  <c r="I39" i="1"/>
  <c r="I68" i="1"/>
  <c r="I13" i="1"/>
  <c r="I32" i="1"/>
  <c r="I16" i="1"/>
  <c r="I26" i="1"/>
  <c r="I53" i="1"/>
  <c r="I77" i="1"/>
  <c r="I84" i="1"/>
  <c r="E34" i="3"/>
  <c r="G58" i="3"/>
  <c r="C58" i="3"/>
  <c r="G57" i="3"/>
  <c r="C57" i="3"/>
  <c r="C63" i="3"/>
  <c r="G63" i="3"/>
  <c r="G77" i="3"/>
  <c r="C77" i="3"/>
  <c r="G76" i="3"/>
  <c r="C76" i="3"/>
  <c r="I47" i="1"/>
  <c r="F65" i="1"/>
  <c r="G72" i="3"/>
  <c r="C72" i="3"/>
  <c r="C42" i="6"/>
  <c r="G78" i="3"/>
  <c r="C78" i="3"/>
  <c r="C81" i="3"/>
  <c r="C42" i="7"/>
  <c r="G81" i="3"/>
  <c r="G60" i="3"/>
  <c r="C60" i="3"/>
  <c r="G86" i="3"/>
  <c r="C86" i="3"/>
  <c r="G85" i="3"/>
  <c r="C85" i="3"/>
  <c r="G68" i="3"/>
  <c r="C68" i="3"/>
  <c r="G67" i="3"/>
  <c r="C67" i="3"/>
  <c r="G87" i="3"/>
  <c r="C87" i="3"/>
  <c r="F89" i="1"/>
  <c r="I67" i="1"/>
  <c r="I88" i="1"/>
  <c r="G69" i="3"/>
  <c r="C69" i="3"/>
  <c r="I22" i="1"/>
  <c r="F45" i="1"/>
  <c r="I15" i="1"/>
  <c r="I23" i="1"/>
  <c r="I44" i="1"/>
  <c r="C50" i="4"/>
  <c r="G53" i="3"/>
  <c r="H88" i="3" s="1"/>
  <c r="C53" i="3"/>
  <c r="D88" i="3" s="1"/>
  <c r="B44" i="3"/>
  <c r="G41" i="4"/>
  <c r="I2" i="1"/>
  <c r="I89" i="1" l="1"/>
  <c r="I65" i="1"/>
  <c r="I45" i="1"/>
  <c r="I20" i="1"/>
  <c r="F91" i="1"/>
  <c r="I91" i="1" l="1"/>
  <c r="C97" i="1" s="1"/>
  <c r="I93" i="1" l="1"/>
  <c r="I9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ID#AAAB25SOS0w
Emil Cebuc    (2026-04-01 14:28:17)
From detaild design</t>
        </r>
      </text>
    </comment>
    <comment ref="I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ID#AAAB25SOS00
Emil Cebuc    (2026-04-01 14:28:17)
3m for in rack cabling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9" authorId="0" shapeId="0" xr:uid="{00000000-0006-0000-0300-000007000000}">
      <text>
        <r>
          <rPr>
            <sz val="11"/>
            <color theme="1"/>
            <rFont val="Calibri"/>
            <scheme val="minor"/>
          </rPr>
          <t xml:space="preserve">l7aur:
+2 x APC SRT192BP2
=&gt; 20 minutes running time on failure
</t>
        </r>
      </text>
    </comment>
    <comment ref="C40" authorId="0" shapeId="0" xr:uid="{00000000-0006-0000-0300-000008000000}">
      <text>
        <r>
          <rPr>
            <sz val="11"/>
            <color theme="1"/>
            <rFont val="Calibri"/>
            <scheme val="minor"/>
          </rPr>
          <t xml:space="preserve">l7aur:
+2 x APC SRT192BP2
=&gt; 20 minutes running time on failure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1" authorId="0" shapeId="0" xr:uid="{8D0FDCC4-6D72-414A-A7B2-767FED4083C0}">
      <text>
        <r>
          <rPr>
            <sz val="11"/>
            <color theme="1"/>
            <rFont val="Calibri"/>
            <scheme val="minor"/>
          </rPr>
          <t xml:space="preserve">l7aur:
+2 x APC SRT192BP2
=&gt; 20 minutes running time on failure
</t>
        </r>
      </text>
    </comment>
    <comment ref="C32" authorId="0" shapeId="0" xr:uid="{D44B89D7-5FEB-4D1C-80A9-9D53769FCBD1}">
      <text>
        <r>
          <rPr>
            <sz val="11"/>
            <color theme="1"/>
            <rFont val="Calibri"/>
            <scheme val="minor"/>
          </rPr>
          <t xml:space="preserve">l7aur:
+2 x APC SRT192BP2
=&gt; 20 minutes running time on failure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1" authorId="0" shapeId="0" xr:uid="{2E13A527-257D-4E95-8199-909723ABF1B9}">
      <text>
        <r>
          <rPr>
            <sz val="11"/>
            <color theme="1"/>
            <rFont val="Calibri"/>
            <scheme val="minor"/>
          </rPr>
          <t xml:space="preserve">l7aur:
+2 x APC SRT192BP2
=&gt; 20 minutes running time on failure
</t>
        </r>
      </text>
    </comment>
    <comment ref="C32" authorId="0" shapeId="0" xr:uid="{91B0DA1B-0F9A-430C-BD28-56C3BC97BAA7}">
      <text>
        <r>
          <rPr>
            <sz val="11"/>
            <color theme="1"/>
            <rFont val="Calibri"/>
            <scheme val="minor"/>
          </rPr>
          <t xml:space="preserve">l7aur:
+2 x APC SRT192BP2
=&gt; 20 minutes running time on failure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1" authorId="0" shapeId="0" xr:uid="{E3BCF8BE-44D2-4438-B33D-C593FF9A7FCC}">
      <text>
        <r>
          <rPr>
            <sz val="11"/>
            <color theme="1"/>
            <rFont val="Calibri"/>
            <scheme val="minor"/>
          </rPr>
          <t xml:space="preserve">l7aur:
+2 x APC SRT192BP2
=&gt; 20 minutes running time on failure
</t>
        </r>
      </text>
    </comment>
    <comment ref="C32" authorId="0" shapeId="0" xr:uid="{51C52D76-CA4D-4C7F-A152-8404B6452FE6}">
      <text>
        <r>
          <rPr>
            <sz val="11"/>
            <color theme="1"/>
            <rFont val="Calibri"/>
            <scheme val="minor"/>
          </rPr>
          <t xml:space="preserve">l7aur:
+2 x APC SRT192BP2
=&gt; 20 minutes running time on failure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27EC32-7F6C-42A3-AFC6-C9E29DB9BCE4}" keepAlive="1" name="Query - vlan_table (2)" description="Connection to the 'vlan_table (2)' query in the workbook." type="5" refreshedVersion="0" background="1">
    <dbPr connection="Provider=Microsoft.Mashup.OleDb.1;Data Source=$Workbook$;Location=&quot;vlan_table (2)&quot;;Extended Properties=&quot;&quot;" command="SELECT * FROM [vlan_table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<sst xmlns="http://schemas.openxmlformats.org/spreadsheetml/2006/main" count="1002" uniqueCount="409">
  <si>
    <t>Room Nr</t>
  </si>
  <si>
    <t>Connected to DF</t>
  </si>
  <si>
    <t>Length m</t>
  </si>
  <si>
    <t>Width m</t>
  </si>
  <si>
    <t>Size sqm</t>
  </si>
  <si>
    <t>Nr Dou_Outlets</t>
  </si>
  <si>
    <t>Dist_To_DF</t>
  </si>
  <si>
    <t>AVG_In Room</t>
  </si>
  <si>
    <t>Cable for room</t>
  </si>
  <si>
    <t>Room Type</t>
  </si>
  <si>
    <t>1.1</t>
  </si>
  <si>
    <t>MDF</t>
  </si>
  <si>
    <t>A</t>
  </si>
  <si>
    <t>1.2</t>
  </si>
  <si>
    <t>B</t>
  </si>
  <si>
    <t>1.3</t>
  </si>
  <si>
    <t>1.4</t>
  </si>
  <si>
    <t>C</t>
  </si>
  <si>
    <t>1.5</t>
  </si>
  <si>
    <t>1.6</t>
  </si>
  <si>
    <t>1.7</t>
  </si>
  <si>
    <t>1.8</t>
  </si>
  <si>
    <t>1.9</t>
  </si>
  <si>
    <t>BATHROOM</t>
  </si>
  <si>
    <t>1.10</t>
  </si>
  <si>
    <t>1.11</t>
  </si>
  <si>
    <t>D</t>
  </si>
  <si>
    <t>1.12</t>
  </si>
  <si>
    <t>F</t>
  </si>
  <si>
    <t>1.13</t>
  </si>
  <si>
    <t>E</t>
  </si>
  <si>
    <t>1.14</t>
  </si>
  <si>
    <t>1.15</t>
  </si>
  <si>
    <t>1.16</t>
  </si>
  <si>
    <t>1.17</t>
  </si>
  <si>
    <t>1.22</t>
  </si>
  <si>
    <t>G</t>
  </si>
  <si>
    <t>Subtotal MDF</t>
  </si>
  <si>
    <t>1.18</t>
  </si>
  <si>
    <t>IDF1</t>
  </si>
  <si>
    <t>1.19</t>
  </si>
  <si>
    <t>1.20</t>
  </si>
  <si>
    <t>1.21</t>
  </si>
  <si>
    <t>1.23</t>
  </si>
  <si>
    <t>1.24</t>
  </si>
  <si>
    <t>H</t>
  </si>
  <si>
    <t>1.25</t>
  </si>
  <si>
    <t>1.26</t>
  </si>
  <si>
    <t>I</t>
  </si>
  <si>
    <t>1.27</t>
  </si>
  <si>
    <t>1.28</t>
  </si>
  <si>
    <t>1.29</t>
  </si>
  <si>
    <t>J</t>
  </si>
  <si>
    <t>1.30</t>
  </si>
  <si>
    <t>1.31</t>
  </si>
  <si>
    <t>1.32</t>
  </si>
  <si>
    <t>1.33</t>
  </si>
  <si>
    <t>1.34</t>
  </si>
  <si>
    <t>1.35</t>
  </si>
  <si>
    <t>1.36</t>
  </si>
  <si>
    <t>K</t>
  </si>
  <si>
    <t>1.37</t>
  </si>
  <si>
    <t>1.38</t>
  </si>
  <si>
    <t>1.39</t>
  </si>
  <si>
    <t>1.40</t>
  </si>
  <si>
    <t>1.41</t>
  </si>
  <si>
    <t>Subtotal IDF1</t>
  </si>
  <si>
    <t>2.1</t>
  </si>
  <si>
    <t>IDF2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</si>
  <si>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</si>
  <si>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</si>
  <si>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</si>
  <si>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</si>
  <si>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</si>
  <si>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</si>
  <si>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</si>
  <si>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</si>
  <si>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</si>
  <si>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</si>
  <si>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</si>
  <si>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</si>
  <si>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</si>
  <si>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</si>
  <si>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</si>
  <si>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</si>
  <si>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2.22</t>
  </si>
  <si>
    <t>Subtotal IDF2</t>
  </si>
  <si>
    <t>2.18</t>
  </si>
  <si>
    <t>IDF3</t>
  </si>
  <si>
    <t>2.19</t>
  </si>
  <si>
    <t>2.20</t>
  </si>
  <si>
    <t>2.21</t>
  </si>
  <si>
    <t>2.23</t>
  </si>
  <si>
    <t>2.24/25</t>
  </si>
  <si>
    <t>L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</si>
  <si>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</si>
  <si>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</si>
  <si>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</si>
  <si>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</si>
  <si>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</si>
  <si>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</si>
  <si>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</si>
  <si>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</si>
  <si>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</si>
  <si>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</si>
  <si>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</si>
  <si>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</si>
  <si>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2.38</t>
  </si>
  <si>
    <t>2.39</t>
  </si>
  <si>
    <t>2.40</t>
  </si>
  <si>
    <t>2.41</t>
  </si>
  <si>
    <t>Subtotal IDF3</t>
  </si>
  <si>
    <t>Total_Build</t>
  </si>
  <si>
    <t>305M Boxes</t>
  </si>
  <si>
    <t>2km Rols</t>
  </si>
  <si>
    <t>To check AVG linkspan</t>
  </si>
  <si>
    <t>Adapt technical reserve amount of cable according to design, example is for 3m, could be more</t>
  </si>
  <si>
    <t>Do not change</t>
  </si>
  <si>
    <t>From your design</t>
  </si>
  <si>
    <t>From detailed calcullus of prototype room/rooms</t>
  </si>
  <si>
    <t>Fiber optic cable length</t>
  </si>
  <si>
    <t>Cable Source</t>
  </si>
  <si>
    <t>Target</t>
  </si>
  <si>
    <t>Length (m)</t>
  </si>
  <si>
    <t>A0</t>
  </si>
  <si>
    <t>B0</t>
  </si>
  <si>
    <t>B1</t>
  </si>
  <si>
    <t>A1</t>
  </si>
  <si>
    <t>C0</t>
  </si>
  <si>
    <t>D0</t>
  </si>
  <si>
    <t>D1</t>
  </si>
  <si>
    <t>C1</t>
  </si>
  <si>
    <t>Total fiber optic cable length</t>
  </si>
  <si>
    <t>Device</t>
  </si>
  <si>
    <t>Estimated Average Traffic [Mpbs]</t>
  </si>
  <si>
    <t>Workstation</t>
  </si>
  <si>
    <t>IP phone</t>
  </si>
  <si>
    <t>Access Point</t>
  </si>
  <si>
    <t>Concurrency factor</t>
  </si>
  <si>
    <t>Floor</t>
  </si>
  <si>
    <t>Number of rooms</t>
  </si>
  <si>
    <t>Total Estimated Traffic [Gbps]</t>
  </si>
  <si>
    <t>Estimated Traffic/Room [Gbps]</t>
  </si>
  <si>
    <t>Number of workstations</t>
  </si>
  <si>
    <t>Number of IP phones</t>
  </si>
  <si>
    <t>Number of access points</t>
  </si>
  <si>
    <t>Number of simple outlets</t>
  </si>
  <si>
    <t>GROUND FLOOR</t>
  </si>
  <si>
    <t>FIRST FLOOR</t>
  </si>
  <si>
    <t>Estimated peak traffic value in network [Gbps]</t>
  </si>
  <si>
    <t>Total number of simple outlets</t>
  </si>
  <si>
    <t>Total number of IP Phones</t>
  </si>
  <si>
    <t>Total number of AP</t>
  </si>
  <si>
    <t>Total number of WS</t>
  </si>
  <si>
    <t>DF</t>
  </si>
  <si>
    <t>Number of WS</t>
  </si>
  <si>
    <t>Number of AP</t>
  </si>
  <si>
    <t>Number of IP Phones</t>
  </si>
  <si>
    <t>Number of Room Types Covered</t>
  </si>
  <si>
    <t>Total outlets</t>
  </si>
  <si>
    <t>Equipment</t>
  </si>
  <si>
    <t>Type</t>
  </si>
  <si>
    <t>Choice 1 (CISCO)</t>
  </si>
  <si>
    <t>Choice 2</t>
  </si>
  <si>
    <t>Name</t>
  </si>
  <si>
    <t>Required number/DF</t>
  </si>
  <si>
    <t>Price</t>
  </si>
  <si>
    <t>Link</t>
  </si>
  <si>
    <t>Wireless Mangement</t>
  </si>
  <si>
    <t>CW9800L</t>
  </si>
  <si>
    <t>link</t>
  </si>
  <si>
    <t>HPE Aruba Networking Central</t>
  </si>
  <si>
    <t>subscription</t>
  </si>
  <si>
    <t>CHASSIS</t>
  </si>
  <si>
    <t>Cisco Catalyst 9410R</t>
  </si>
  <si>
    <t>HPE Aruba Networking CX 6410 v2 Switch</t>
  </si>
  <si>
    <t>SUPERVISOR</t>
  </si>
  <si>
    <t>C9400-SUP-1XL</t>
  </si>
  <si>
    <t>HPE Aruba Networking CX 6400 Management Module</t>
  </si>
  <si>
    <t>LINE CARD (WS)</t>
  </si>
  <si>
    <t>C9400-LC-48P</t>
  </si>
  <si>
    <t>HPE Aruba Networking CX 6400 R0X39C</t>
  </si>
  <si>
    <t>LINE CARD (IPPHONE)</t>
  </si>
  <si>
    <t>OF CONNECTOR</t>
  </si>
  <si>
    <t>QSFP+</t>
  </si>
  <si>
    <t>HP JL310A</t>
  </si>
  <si>
    <t>LINE CARD (OF)</t>
  </si>
  <si>
    <t>C9400-LC-12QC (12x40GE)</t>
  </si>
  <si>
    <t>HPE Aruba Networking CX 6400 R0X45C</t>
  </si>
  <si>
    <t>LINE CARD (AP)</t>
  </si>
  <si>
    <t>C9400-LC-48UX</t>
  </si>
  <si>
    <t>HPE Aruba Networking CX 6400 24p S1T83A</t>
  </si>
  <si>
    <t>ACCESS POINT</t>
  </si>
  <si>
    <t>Cisco Wireless 9178</t>
  </si>
  <si>
    <t>HPE Aruba Networking AP‑765 </t>
  </si>
  <si>
    <t>FIREWALL</t>
  </si>
  <si>
    <t>Cisco Secure Firewall 4245</t>
  </si>
  <si>
    <t>152,257.81</t>
  </si>
  <si>
    <t>PALO-ALTO PA-3440</t>
  </si>
  <si>
    <t>IP PHONES</t>
  </si>
  <si>
    <t>Cisco IP Phone 8861</t>
  </si>
  <si>
    <t>HP 82M93AA</t>
  </si>
  <si>
    <t>C9400-LC-12QC</t>
  </si>
  <si>
    <t>Cisco Wireless 9179F</t>
  </si>
  <si>
    <t>Public Ip</t>
  </si>
  <si>
    <t>Private Ip</t>
  </si>
  <si>
    <t>VLAN Name</t>
  </si>
  <si>
    <t>Network ID</t>
  </si>
  <si>
    <t>Gateway</t>
  </si>
  <si>
    <t>Last Usable IP</t>
  </si>
  <si>
    <t>Broadcast</t>
  </si>
  <si>
    <t>Mask</t>
  </si>
  <si>
    <t>Target Use</t>
  </si>
  <si>
    <t>Max Capacity</t>
  </si>
  <si>
    <t>Management</t>
  </si>
  <si>
    <t>/24</t>
  </si>
  <si>
    <t>/22</t>
  </si>
  <si>
    <t>HR</t>
  </si>
  <si>
    <t>/26</t>
  </si>
  <si>
    <t>Finance</t>
  </si>
  <si>
    <t>IT_Ops</t>
  </si>
  <si>
    <t>Legal</t>
  </si>
  <si>
    <t>Frontend_Dev</t>
  </si>
  <si>
    <t>Backend_Dev</t>
  </si>
  <si>
    <t>QA_Test</t>
  </si>
  <si>
    <t>Logistics</t>
  </si>
  <si>
    <t>Purchasing</t>
  </si>
  <si>
    <t>Exec_Suite</t>
  </si>
  <si>
    <t>SRE_Internal</t>
  </si>
  <si>
    <t>Security_Ops</t>
  </si>
  <si>
    <t>Training_Lab</t>
  </si>
  <si>
    <t>Total target Use</t>
  </si>
  <si>
    <t>Max IP capacity</t>
  </si>
  <si>
    <t>ORG Vert</t>
  </si>
  <si>
    <t>Spatiu ocupat in U</t>
  </si>
  <si>
    <t>Denumire/ tip echipament</t>
  </si>
  <si>
    <t xml:space="preserve">Model </t>
  </si>
  <si>
    <t>Scurta descriere/ nr porturi</t>
  </si>
  <si>
    <t>Putere electrica W</t>
  </si>
  <si>
    <t>Caldura disipata BTU/h</t>
  </si>
  <si>
    <t>Organizator de cabluri vertical</t>
  </si>
  <si>
    <t>OF Patch Panel</t>
  </si>
  <si>
    <t>Chassis</t>
  </si>
  <si>
    <t>Supervisor</t>
  </si>
  <si>
    <t>OF Line Card</t>
  </si>
  <si>
    <t>Line Card (WS)</t>
  </si>
  <si>
    <t>Line Card (IP Phone)</t>
  </si>
  <si>
    <t>Line Card (AP)</t>
  </si>
  <si>
    <t>Power Supply</t>
  </si>
  <si>
    <t>PWR-C4-3200WAC</t>
  </si>
  <si>
    <t>Catalyst 9410R Fan Tray</t>
  </si>
  <si>
    <t>C9410-FAN</t>
  </si>
  <si>
    <t>UTP Patch Panel</t>
  </si>
  <si>
    <t>CPPKL6ATG48WBL</t>
  </si>
  <si>
    <t>EMPTY SPACE FOR VENTILATION</t>
  </si>
  <si>
    <t>Firewall</t>
  </si>
  <si>
    <t>Firewall 4245 Fan Module</t>
  </si>
  <si>
    <t>FPR4200-FAN</t>
  </si>
  <si>
    <t>UPS</t>
  </si>
  <si>
    <t>SRT10KXLT</t>
  </si>
  <si>
    <t>Total</t>
  </si>
  <si>
    <t>Required UPS power [W]</t>
  </si>
  <si>
    <t>Available UPS power [W]</t>
  </si>
  <si>
    <t>Consum  electric AC</t>
  </si>
  <si>
    <t>Racire AC</t>
  </si>
  <si>
    <t>AC 1</t>
  </si>
  <si>
    <t>AC 2</t>
  </si>
  <si>
    <t>Nr prize simple de conectat la acest DF, valoarea se ia din etapa 2</t>
  </si>
  <si>
    <t>Nr prize disponibil in PP UTP in acest rack</t>
  </si>
  <si>
    <t>Note</t>
  </si>
  <si>
    <t>Se lasa loc liber in Rack cca 10-20% din spatiu pentru dezvoltari ulterioare</t>
  </si>
  <si>
    <t>Daca nu incape intrun singur Rack se pot pune mai multe in fieacre DF, UPS /uri se pun in fiecare Rack</t>
  </si>
  <si>
    <t>Rack sunt de maxim 48 U sau 52 U inaltime</t>
  </si>
  <si>
    <t>Puterea disponibila in UPS sa fie cu 30% mai mare decat total putere necesar</t>
  </si>
  <si>
    <t>Daca sunt mai multe UPS-uri se distribuie sarcina intre ele</t>
  </si>
  <si>
    <t>Capacitatea bateriilor/acumultorilor din UPS se determina in asa fel incat sa asigure o functionare de 30 la 60 minute la sarcina medie</t>
  </si>
  <si>
    <t>Total porturi UTP din Switchuri intre 70 si 100 % din nr de prize simple care se conecteaza la un DF, functie de strategia aleasa</t>
  </si>
  <si>
    <t xml:space="preserve"> nr de porturi total din Patch Pannel UTP trebuie sa fie mai mare sau egal cu nr de prize simple care se conecteaza la un DF</t>
  </si>
  <si>
    <t>Echipamentele de racire se pun in fiecare DF si vor trebuii sa aibe capacitatea de racire cu cca 30% mai mare decat total Caldura dispata</t>
  </si>
  <si>
    <t>Echipamentele de racire, Aer Conditionat de uz industrial nu sunt alimentate din UPS</t>
  </si>
  <si>
    <t>Foia de calcul se replica pentru fiecare DF in parte</t>
  </si>
  <si>
    <t>Power required in chassis</t>
  </si>
  <si>
    <t>Power provided by chassis</t>
  </si>
  <si>
    <t>Open Frame Server 44U Rack</t>
  </si>
  <si>
    <t>Daikin Sky Air Active Ducted Air Conditioner ADEAS60A</t>
  </si>
  <si>
    <t>PP-72X100G-SMF</t>
  </si>
  <si>
    <t>IP_Phone_Data</t>
  </si>
  <si>
    <t>IP_Phone</t>
  </si>
  <si>
    <t>Wireless</t>
  </si>
  <si>
    <t>Data_Staff</t>
  </si>
  <si>
    <t>Data_Guest</t>
  </si>
  <si>
    <t>Sales_North</t>
  </si>
  <si>
    <t>Sales_South</t>
  </si>
  <si>
    <t>Sales_East</t>
  </si>
  <si>
    <t>Sales_West</t>
  </si>
  <si>
    <t>Mktg_Digital</t>
  </si>
  <si>
    <t>Mktg_Brand</t>
  </si>
  <si>
    <t>DevOps_Primary</t>
  </si>
  <si>
    <t>DevOps_Second</t>
  </si>
  <si>
    <t>10.1.10.0</t>
  </si>
  <si>
    <t>10.1.10.1</t>
  </si>
  <si>
    <t>10.1.10.254</t>
  </si>
  <si>
    <t>10.1.10.255</t>
  </si>
  <si>
    <t>10.1.19.0</t>
  </si>
  <si>
    <t>10.1.19.1</t>
  </si>
  <si>
    <t>10.1.19.254</t>
  </si>
  <si>
    <t>10.1.19.255</t>
  </si>
  <si>
    <t>10.1.20.0</t>
  </si>
  <si>
    <t>10.1.20.1</t>
  </si>
  <si>
    <t>10.1.20.254</t>
  </si>
  <si>
    <t>10.1.20.255</t>
  </si>
  <si>
    <t>10.1.32.0</t>
  </si>
  <si>
    <t>10.1.32.1</t>
  </si>
  <si>
    <t>10.1.35.254</t>
  </si>
  <si>
    <t>10.1.35.255</t>
  </si>
  <si>
    <t>10.1.40.0</t>
  </si>
  <si>
    <t>10.1.40.1</t>
  </si>
  <si>
    <t>10.1.40.254</t>
  </si>
  <si>
    <t>10.1.40.255</t>
  </si>
  <si>
    <t>10.1.50.0</t>
  </si>
  <si>
    <t>10.1.50.1</t>
  </si>
  <si>
    <t>10.1.50.254</t>
  </si>
  <si>
    <t>10.1.50.255</t>
  </si>
  <si>
    <t>10.1.100.0</t>
  </si>
  <si>
    <t>10.1.100.1</t>
  </si>
  <si>
    <t>10.1.100.62</t>
  </si>
  <si>
    <t>10.1.100.63</t>
  </si>
  <si>
    <t>10.1.110.0</t>
  </si>
  <si>
    <t>10.1.110.1</t>
  </si>
  <si>
    <t>10.1.110.62</t>
  </si>
  <si>
    <t>10.1.110.63</t>
  </si>
  <si>
    <t>10.1.120.0</t>
  </si>
  <si>
    <t>10.1.120.1</t>
  </si>
  <si>
    <t>10.1.120.62</t>
  </si>
  <si>
    <t>10.1.120.63</t>
  </si>
  <si>
    <t>10.1.130.0</t>
  </si>
  <si>
    <t>10.1.130.1</t>
  </si>
  <si>
    <t>10.1.130.62</t>
  </si>
  <si>
    <t>10.1.130.63</t>
  </si>
  <si>
    <t>10.1.140.0</t>
  </si>
  <si>
    <t>10.1.140.1</t>
  </si>
  <si>
    <t>10.1.140.62</t>
  </si>
  <si>
    <t>10.1.140.63</t>
  </si>
  <si>
    <t>10.1.150.0</t>
  </si>
  <si>
    <t>10.1.150.1</t>
  </si>
  <si>
    <t>10.1.150.62</t>
  </si>
  <si>
    <t>10.1.150.63</t>
  </si>
  <si>
    <t>10.1.160.0</t>
  </si>
  <si>
    <t>10.1.160.1</t>
  </si>
  <si>
    <t>10.1.160.62</t>
  </si>
  <si>
    <t>10.1.160.63</t>
  </si>
  <si>
    <t>10.1.170.0</t>
  </si>
  <si>
    <t>10.1.170.1</t>
  </si>
  <si>
    <t>10.1.170.62</t>
  </si>
  <si>
    <t>10.1.170.63</t>
  </si>
  <si>
    <t>10.1.180.0</t>
  </si>
  <si>
    <t>10.1.180.1</t>
  </si>
  <si>
    <t>10.1.180.62</t>
  </si>
  <si>
    <t>10.1.180.63</t>
  </si>
  <si>
    <t>10.1.190.0</t>
  </si>
  <si>
    <t>10.1.190.1</t>
  </si>
  <si>
    <t>10.1.190.62</t>
  </si>
  <si>
    <t>10.1.190.63</t>
  </si>
  <si>
    <t>10.1.200.0</t>
  </si>
  <si>
    <t>10.1.200.1</t>
  </si>
  <si>
    <t>10.1.200.62</t>
  </si>
  <si>
    <t>10.1.200.63</t>
  </si>
  <si>
    <t>10.1.210.0</t>
  </si>
  <si>
    <t>10.1.210.1</t>
  </si>
  <si>
    <t>10.1.210.62</t>
  </si>
  <si>
    <t>10.1.210.63</t>
  </si>
  <si>
    <t>10.1.220.0</t>
  </si>
  <si>
    <t>10.1.220.1</t>
  </si>
  <si>
    <t>10.1.220.62</t>
  </si>
  <si>
    <t>10.1.220.63</t>
  </si>
  <si>
    <t>10.1.230.0</t>
  </si>
  <si>
    <t>10.1.230.1</t>
  </si>
  <si>
    <t>10.1.230.62</t>
  </si>
  <si>
    <t>10.1.230.63</t>
  </si>
  <si>
    <t>10.1.240.0</t>
  </si>
  <si>
    <t>10.1.240.1</t>
  </si>
  <si>
    <t>10.1.240.62</t>
  </si>
  <si>
    <t>10.1.240.63</t>
  </si>
  <si>
    <t>10.1.250.0</t>
  </si>
  <si>
    <t>10.1.250.1</t>
  </si>
  <si>
    <t>10.1.250.62</t>
  </si>
  <si>
    <t>10.1.250.63</t>
  </si>
  <si>
    <t>10.2.0.0</t>
  </si>
  <si>
    <t>10.2.0.1</t>
  </si>
  <si>
    <t>10.2.0.62</t>
  </si>
  <si>
    <t>10.2.0.63</t>
  </si>
  <si>
    <t>10.2.10.0</t>
  </si>
  <si>
    <t>10.2.10.1</t>
  </si>
  <si>
    <t>10.2.10.62</t>
  </si>
  <si>
    <t>10.2.10.63</t>
  </si>
  <si>
    <t>10.2.20.0</t>
  </si>
  <si>
    <t>10.2.20.1</t>
  </si>
  <si>
    <t>10.2.20.62</t>
  </si>
  <si>
    <t>10.2.20.63</t>
  </si>
  <si>
    <t>10.2.30.0</t>
  </si>
  <si>
    <t>10.2.30.1</t>
  </si>
  <si>
    <t>10.2.30.62</t>
  </si>
  <si>
    <t>10.2.30.63</t>
  </si>
  <si>
    <t>10.2.40.0</t>
  </si>
  <si>
    <t>10.2.40.1</t>
  </si>
  <si>
    <t>10.2.40.62</t>
  </si>
  <si>
    <t>10.2.40.63</t>
  </si>
  <si>
    <t>203.0.113.0</t>
  </si>
  <si>
    <t>10.1.0.0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</si>
</sst>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EUR]"/>
  </numFmts>
  <fonts count="2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name val="Calibri"/>
    </font>
    <font>
      <b/>
      <sz val="12"/>
      <color theme="1"/>
      <name val="Calibri"/>
    </font>
    <font>
      <b/>
      <sz val="12"/>
      <color rgb="FF000000"/>
      <name val="Calibri"/>
    </font>
    <font>
      <sz val="12"/>
      <color rgb="FF000000"/>
      <name val="Calibri"/>
    </font>
    <font>
      <sz val="12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b/>
      <sz val="14"/>
      <color theme="1"/>
      <name val="Calibri"/>
    </font>
    <font>
      <u/>
      <sz val="11"/>
      <color theme="10"/>
      <name val="Calibri"/>
      <scheme val="minor"/>
    </font>
    <font>
      <sz val="12"/>
      <color rgb="FF1F1F1F"/>
      <name val="Times New Roman"/>
      <family val="1"/>
    </font>
    <font>
      <b/>
      <sz val="12"/>
      <color rgb="FF1F1F1F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D6DCE4"/>
        <bgColor rgb="FFD6DCE4"/>
      </patternFill>
    </fill>
    <fill>
      <patternFill patternType="solid">
        <fgColor rgb="FFC5E0B3"/>
        <bgColor rgb="FFC5E0B3"/>
      </patternFill>
    </fill>
    <fill>
      <patternFill patternType="solid">
        <fgColor rgb="FF9999FF"/>
        <bgColor rgb="FF9999FF"/>
      </patternFill>
    </fill>
    <fill>
      <patternFill patternType="solid">
        <fgColor rgb="FFC00000"/>
        <bgColor rgb="FFC00000"/>
      </patternFill>
    </fill>
    <fill>
      <patternFill patternType="solid">
        <fgColor rgb="FFF7CAAC"/>
        <bgColor rgb="FFF7CAAC"/>
      </patternFill>
    </fill>
    <fill>
      <patternFill patternType="solid">
        <fgColor rgb="FF7030A0"/>
        <bgColor rgb="FF7030A0"/>
      </patternFill>
    </fill>
    <fill>
      <patternFill patternType="solid">
        <fgColor rgb="FFA5A5A5"/>
        <bgColor rgb="FFA5A5A5"/>
      </patternFill>
    </fill>
    <fill>
      <patternFill patternType="solid">
        <fgColor rgb="FFF4B083"/>
        <bgColor rgb="FFF4B083"/>
      </patternFill>
    </fill>
    <fill>
      <patternFill patternType="solid">
        <fgColor rgb="FFA8D08D"/>
        <bgColor rgb="FFA8D08D"/>
      </patternFill>
    </fill>
    <fill>
      <patternFill patternType="solid">
        <fgColor rgb="FFFFE598"/>
        <bgColor rgb="FFFFE598"/>
      </patternFill>
    </fill>
    <fill>
      <patternFill patternType="solid">
        <fgColor rgb="FFFF0000"/>
        <bgColor rgb="FFFF0000"/>
      </patternFill>
    </fill>
    <fill>
      <patternFill patternType="solid">
        <fgColor rgb="FFFF6400"/>
        <bgColor rgb="FFFF64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D8D8D8"/>
        <bgColor rgb="FFD8D8D8"/>
      </patternFill>
    </fill>
  </fills>
  <borders count="1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248">
    <xf numFmtId="0" fontId="0" fillId="0" borderId="0" xfId="0"/>
    <xf numFmtId="0" fontId="1" fillId="0" borderId="1" xfId="0" applyFont="1" applyBorder="1"/>
    <xf numFmtId="2" fontId="1" fillId="0" borderId="1" xfId="0" applyNumberFormat="1" applyFont="1" applyBorder="1"/>
    <xf numFmtId="49" fontId="1" fillId="0" borderId="1" xfId="0" applyNumberFormat="1" applyFont="1" applyBorder="1"/>
    <xf numFmtId="49" fontId="2" fillId="2" borderId="1" xfId="0" applyNumberFormat="1" applyFont="1" applyFill="1" applyBorder="1"/>
    <xf numFmtId="2" fontId="2" fillId="2" borderId="1" xfId="0" applyNumberFormat="1" applyFont="1" applyFill="1" applyBorder="1"/>
    <xf numFmtId="0" fontId="2" fillId="3" borderId="1" xfId="0" applyFont="1" applyFill="1" applyBorder="1"/>
    <xf numFmtId="0" fontId="2" fillId="2" borderId="1" xfId="0" applyFont="1" applyFill="1" applyBorder="1"/>
    <xf numFmtId="2" fontId="2" fillId="4" borderId="1" xfId="0" applyNumberFormat="1" applyFont="1" applyFill="1" applyBorder="1"/>
    <xf numFmtId="0" fontId="2" fillId="5" borderId="1" xfId="0" applyFont="1" applyFill="1" applyBorder="1"/>
    <xf numFmtId="49" fontId="2" fillId="6" borderId="1" xfId="0" applyNumberFormat="1" applyFont="1" applyFill="1" applyBorder="1"/>
    <xf numFmtId="49" fontId="2" fillId="7" borderId="1" xfId="0" applyNumberFormat="1" applyFont="1" applyFill="1" applyBorder="1"/>
    <xf numFmtId="49" fontId="2" fillId="8" borderId="1" xfId="0" applyNumberFormat="1" applyFont="1" applyFill="1" applyBorder="1"/>
    <xf numFmtId="0" fontId="1" fillId="0" borderId="0" xfId="0" applyFont="1"/>
    <xf numFmtId="2" fontId="1" fillId="0" borderId="0" xfId="0" applyNumberFormat="1" applyFont="1"/>
    <xf numFmtId="49" fontId="2" fillId="0" borderId="0" xfId="0" applyNumberFormat="1" applyFont="1"/>
    <xf numFmtId="2" fontId="2" fillId="9" borderId="1" xfId="0" applyNumberFormat="1" applyFont="1" applyFill="1" applyBorder="1"/>
    <xf numFmtId="2" fontId="2" fillId="0" borderId="0" xfId="0" applyNumberFormat="1" applyFont="1"/>
    <xf numFmtId="0" fontId="4" fillId="0" borderId="0" xfId="0" applyFont="1"/>
    <xf numFmtId="2" fontId="4" fillId="0" borderId="0" xfId="0" applyNumberFormat="1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7" fillId="0" borderId="0" xfId="0" applyFont="1"/>
    <xf numFmtId="0" fontId="2" fillId="0" borderId="1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164" fontId="8" fillId="0" borderId="57" xfId="0" applyNumberFormat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164" fontId="2" fillId="0" borderId="57" xfId="0" applyNumberFormat="1" applyFont="1" applyBorder="1" applyAlignment="1">
      <alignment horizontal="center" vertical="center"/>
    </xf>
    <xf numFmtId="0" fontId="2" fillId="0" borderId="59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164" fontId="10" fillId="0" borderId="60" xfId="0" applyNumberFormat="1" applyFont="1" applyBorder="1" applyAlignment="1">
      <alignment horizontal="center" vertical="center"/>
    </xf>
    <xf numFmtId="0" fontId="11" fillId="0" borderId="6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2" fillId="0" borderId="66" xfId="0" applyFont="1" applyBorder="1" applyAlignment="1">
      <alignment horizontal="center" vertical="center"/>
    </xf>
    <xf numFmtId="164" fontId="14" fillId="0" borderId="50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164" fontId="16" fillId="0" borderId="64" xfId="0" applyNumberFormat="1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11" borderId="74" xfId="0" applyFont="1" applyFill="1" applyBorder="1" applyAlignment="1">
      <alignment horizontal="center" vertical="center"/>
    </xf>
    <xf numFmtId="0" fontId="2" fillId="11" borderId="75" xfId="0" applyFont="1" applyFill="1" applyBorder="1" applyAlignment="1">
      <alignment horizontal="center" vertical="center"/>
    </xf>
    <xf numFmtId="0" fontId="2" fillId="11" borderId="76" xfId="0" applyFont="1" applyFill="1" applyBorder="1" applyAlignment="1">
      <alignment horizontal="center" vertical="center"/>
    </xf>
    <xf numFmtId="0" fontId="2" fillId="12" borderId="78" xfId="0" applyFont="1" applyFill="1" applyBorder="1" applyAlignment="1">
      <alignment horizontal="center" vertical="center"/>
    </xf>
    <xf numFmtId="0" fontId="2" fillId="12" borderId="79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81" xfId="0" applyFont="1" applyFill="1" applyBorder="1" applyAlignment="1">
      <alignment horizontal="center" vertical="center"/>
    </xf>
    <xf numFmtId="0" fontId="2" fillId="14" borderId="82" xfId="0" applyFont="1" applyFill="1" applyBorder="1" applyAlignment="1">
      <alignment horizontal="center" vertical="center"/>
    </xf>
    <xf numFmtId="0" fontId="2" fillId="14" borderId="83" xfId="0" applyFont="1" applyFill="1" applyBorder="1" applyAlignment="1">
      <alignment horizontal="center" vertical="center"/>
    </xf>
    <xf numFmtId="0" fontId="2" fillId="14" borderId="84" xfId="0" applyFont="1" applyFill="1" applyBorder="1" applyAlignment="1">
      <alignment horizontal="center" vertical="center"/>
    </xf>
    <xf numFmtId="0" fontId="2" fillId="14" borderId="85" xfId="0" applyFont="1" applyFill="1" applyBorder="1" applyAlignment="1">
      <alignment horizontal="center" vertical="center"/>
    </xf>
    <xf numFmtId="0" fontId="2" fillId="14" borderId="8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4" borderId="75" xfId="0" applyFont="1" applyFill="1" applyBorder="1" applyAlignment="1">
      <alignment horizontal="center" vertical="center"/>
    </xf>
    <xf numFmtId="0" fontId="2" fillId="14" borderId="86" xfId="0" applyFont="1" applyFill="1" applyBorder="1" applyAlignment="1">
      <alignment horizontal="center" vertical="center"/>
    </xf>
    <xf numFmtId="0" fontId="2" fillId="14" borderId="87" xfId="0" applyFont="1" applyFill="1" applyBorder="1" applyAlignment="1">
      <alignment horizontal="center" vertical="center"/>
    </xf>
    <xf numFmtId="0" fontId="2" fillId="14" borderId="88" xfId="0" applyFont="1" applyFill="1" applyBorder="1" applyAlignment="1">
      <alignment horizontal="center" vertical="center"/>
    </xf>
    <xf numFmtId="0" fontId="2" fillId="2" borderId="87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2" fillId="2" borderId="90" xfId="0" applyFont="1" applyFill="1" applyBorder="1" applyAlignment="1">
      <alignment horizontal="center" vertical="center"/>
    </xf>
    <xf numFmtId="0" fontId="2" fillId="11" borderId="59" xfId="0" applyFont="1" applyFill="1" applyBorder="1" applyAlignment="1">
      <alignment horizontal="center" vertical="center"/>
    </xf>
    <xf numFmtId="0" fontId="2" fillId="11" borderId="60" xfId="0" applyFont="1" applyFill="1" applyBorder="1" applyAlignment="1">
      <alignment horizontal="center" vertical="center"/>
    </xf>
    <xf numFmtId="0" fontId="2" fillId="11" borderId="91" xfId="0" applyFont="1" applyFill="1" applyBorder="1" applyAlignment="1">
      <alignment horizontal="center" vertical="center"/>
    </xf>
    <xf numFmtId="0" fontId="2" fillId="11" borderId="92" xfId="0" applyFont="1" applyFill="1" applyBorder="1" applyAlignment="1">
      <alignment horizontal="center" vertical="center"/>
    </xf>
    <xf numFmtId="0" fontId="2" fillId="11" borderId="54" xfId="0" applyFont="1" applyFill="1" applyBorder="1" applyAlignment="1">
      <alignment horizontal="center" vertical="center"/>
    </xf>
    <xf numFmtId="0" fontId="2" fillId="11" borderId="82" xfId="0" applyFont="1" applyFill="1" applyBorder="1" applyAlignment="1">
      <alignment horizontal="center" vertical="center"/>
    </xf>
    <xf numFmtId="0" fontId="2" fillId="11" borderId="83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81" xfId="0" applyFont="1" applyFill="1" applyBorder="1" applyAlignment="1">
      <alignment horizontal="center" vertical="center"/>
    </xf>
    <xf numFmtId="0" fontId="2" fillId="11" borderId="87" xfId="0" applyFont="1" applyFill="1" applyBorder="1" applyAlignment="1">
      <alignment horizontal="center" vertical="center"/>
    </xf>
    <xf numFmtId="0" fontId="2" fillId="11" borderId="88" xfId="0" applyFont="1" applyFill="1" applyBorder="1" applyAlignment="1">
      <alignment horizontal="center" vertical="center"/>
    </xf>
    <xf numFmtId="0" fontId="2" fillId="11" borderId="85" xfId="0" applyFont="1" applyFill="1" applyBorder="1" applyAlignment="1">
      <alignment horizontal="center" vertical="center"/>
    </xf>
    <xf numFmtId="0" fontId="2" fillId="11" borderId="66" xfId="0" applyFont="1" applyFill="1" applyBorder="1" applyAlignment="1">
      <alignment horizontal="center" vertical="center"/>
    </xf>
    <xf numFmtId="0" fontId="2" fillId="11" borderId="5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2" fillId="11" borderId="90" xfId="0" applyFont="1" applyFill="1" applyBorder="1" applyAlignment="1">
      <alignment horizontal="center" vertical="center"/>
    </xf>
    <xf numFmtId="0" fontId="2" fillId="16" borderId="60" xfId="0" applyFont="1" applyFill="1" applyBorder="1" applyAlignment="1">
      <alignment horizontal="center" vertical="center"/>
    </xf>
    <xf numFmtId="0" fontId="2" fillId="16" borderId="91" xfId="0" applyFont="1" applyFill="1" applyBorder="1" applyAlignment="1">
      <alignment horizontal="center" vertical="center"/>
    </xf>
    <xf numFmtId="0" fontId="2" fillId="16" borderId="7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3" xfId="0" applyFont="1" applyFill="1" applyBorder="1" applyAlignment="1">
      <alignment horizontal="center" vertical="center"/>
    </xf>
    <xf numFmtId="0" fontId="2" fillId="2" borderId="82" xfId="0" applyFont="1" applyFill="1" applyBorder="1" applyAlignment="1">
      <alignment horizontal="center" vertical="center"/>
    </xf>
    <xf numFmtId="0" fontId="2" fillId="2" borderId="88" xfId="0" applyFont="1" applyFill="1" applyBorder="1" applyAlignment="1">
      <alignment horizontal="center" vertical="center"/>
    </xf>
    <xf numFmtId="0" fontId="2" fillId="2" borderId="102" xfId="0" applyFont="1" applyFill="1" applyBorder="1" applyAlignment="1">
      <alignment horizontal="center" vertical="center"/>
    </xf>
    <xf numFmtId="0" fontId="2" fillId="3" borderId="8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" fillId="3" borderId="81" xfId="0" applyFont="1" applyFill="1" applyBorder="1" applyAlignment="1">
      <alignment horizontal="center" vertical="center"/>
    </xf>
    <xf numFmtId="0" fontId="1" fillId="17" borderId="105" xfId="0" applyFont="1" applyFill="1" applyBorder="1" applyAlignment="1">
      <alignment horizontal="center" vertical="center"/>
    </xf>
    <xf numFmtId="0" fontId="1" fillId="17" borderId="71" xfId="0" applyFont="1" applyFill="1" applyBorder="1" applyAlignment="1">
      <alignment horizontal="center" vertical="center"/>
    </xf>
    <xf numFmtId="0" fontId="1" fillId="17" borderId="72" xfId="0" applyFont="1" applyFill="1" applyBorder="1" applyAlignment="1">
      <alignment horizontal="center" vertical="center"/>
    </xf>
    <xf numFmtId="0" fontId="1" fillId="17" borderId="106" xfId="0" applyFont="1" applyFill="1" applyBorder="1" applyAlignment="1">
      <alignment horizontal="center" vertical="center"/>
    </xf>
    <xf numFmtId="0" fontId="2" fillId="14" borderId="107" xfId="0" applyFont="1" applyFill="1" applyBorder="1" applyAlignment="1">
      <alignment horizontal="center" vertical="center"/>
    </xf>
    <xf numFmtId="0" fontId="2" fillId="3" borderId="107" xfId="0" applyFont="1" applyFill="1" applyBorder="1" applyAlignment="1">
      <alignment horizontal="center" vertical="center"/>
    </xf>
    <xf numFmtId="0" fontId="2" fillId="0" borderId="59" xfId="0" applyFont="1" applyBorder="1"/>
    <xf numFmtId="0" fontId="2" fillId="0" borderId="60" xfId="0" applyFont="1" applyBorder="1"/>
    <xf numFmtId="0" fontId="2" fillId="0" borderId="61" xfId="0" applyFont="1" applyBorder="1"/>
    <xf numFmtId="0" fontId="2" fillId="0" borderId="66" xfId="0" applyFont="1" applyBorder="1"/>
    <xf numFmtId="0" fontId="2" fillId="0" borderId="51" xfId="0" applyFont="1" applyBorder="1"/>
    <xf numFmtId="0" fontId="1" fillId="18" borderId="107" xfId="0" applyFont="1" applyFill="1" applyBorder="1"/>
    <xf numFmtId="0" fontId="2" fillId="19" borderId="107" xfId="0" applyFont="1" applyFill="1" applyBorder="1" applyAlignment="1">
      <alignment vertical="top" wrapText="1"/>
    </xf>
    <xf numFmtId="0" fontId="2" fillId="19" borderId="107" xfId="0" applyFont="1" applyFill="1" applyBorder="1"/>
    <xf numFmtId="0" fontId="1" fillId="0" borderId="0" xfId="0" applyFont="1" applyAlignment="1">
      <alignment wrapText="1"/>
    </xf>
    <xf numFmtId="0" fontId="2" fillId="19" borderId="107" xfId="0" applyFont="1" applyFill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108" xfId="0" applyFont="1" applyBorder="1" applyAlignment="1">
      <alignment horizontal="center" vertical="center"/>
    </xf>
    <xf numFmtId="0" fontId="2" fillId="0" borderId="110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0" fillId="0" borderId="60" xfId="1" applyBorder="1"/>
    <xf numFmtId="0" fontId="21" fillId="0" borderId="29" xfId="0" applyFont="1" applyBorder="1" applyAlignment="1">
      <alignment horizontal="center"/>
    </xf>
    <xf numFmtId="0" fontId="22" fillId="0" borderId="64" xfId="0" applyFont="1" applyBorder="1" applyAlignment="1">
      <alignment horizontal="center"/>
    </xf>
    <xf numFmtId="0" fontId="21" fillId="0" borderId="64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0" borderId="87" xfId="0" applyFont="1" applyBorder="1" applyAlignment="1">
      <alignment horizontal="center"/>
    </xf>
    <xf numFmtId="0" fontId="21" fillId="0" borderId="87" xfId="0" applyFont="1" applyBorder="1" applyAlignment="1">
      <alignment horizontal="center"/>
    </xf>
    <xf numFmtId="0" fontId="23" fillId="0" borderId="112" xfId="0" applyFont="1" applyBorder="1" applyAlignment="1">
      <alignment horizontal="center"/>
    </xf>
    <xf numFmtId="0" fontId="24" fillId="0" borderId="112" xfId="0" applyFont="1" applyBorder="1" applyAlignment="1">
      <alignment horizontal="center"/>
    </xf>
    <xf numFmtId="0" fontId="24" fillId="0" borderId="112" xfId="0" applyFont="1" applyBorder="1" applyAlignment="1">
      <alignment horizontal="center" vertical="center"/>
    </xf>
    <xf numFmtId="0" fontId="25" fillId="0" borderId="109" xfId="0" applyFont="1" applyBorder="1" applyAlignment="1">
      <alignment horizontal="center" vertical="center"/>
    </xf>
    <xf numFmtId="0" fontId="25" fillId="0" borderId="1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3" fillId="0" borderId="19" xfId="0" applyFont="1" applyBorder="1"/>
    <xf numFmtId="0" fontId="2" fillId="0" borderId="34" xfId="0" applyFont="1" applyBorder="1" applyAlignment="1">
      <alignment horizontal="center" vertical="center"/>
    </xf>
    <xf numFmtId="0" fontId="3" fillId="0" borderId="35" xfId="0" applyFont="1" applyBorder="1"/>
    <xf numFmtId="0" fontId="2" fillId="0" borderId="23" xfId="0" applyFont="1" applyBorder="1" applyAlignment="1">
      <alignment horizontal="center" vertical="center"/>
    </xf>
    <xf numFmtId="0" fontId="3" fillId="0" borderId="24" xfId="0" applyFont="1" applyBorder="1"/>
    <xf numFmtId="0" fontId="2" fillId="0" borderId="45" xfId="0" applyFont="1" applyBorder="1" applyAlignment="1">
      <alignment horizontal="center" vertical="center"/>
    </xf>
    <xf numFmtId="0" fontId="3" fillId="0" borderId="37" xfId="0" applyFont="1" applyBorder="1"/>
    <xf numFmtId="0" fontId="2" fillId="0" borderId="25" xfId="0" applyFont="1" applyBorder="1" applyAlignment="1">
      <alignment horizontal="center" vertical="center"/>
    </xf>
    <xf numFmtId="0" fontId="3" fillId="0" borderId="27" xfId="0" applyFont="1" applyBorder="1"/>
    <xf numFmtId="0" fontId="2" fillId="0" borderId="56" xfId="0" applyFont="1" applyBorder="1" applyAlignment="1">
      <alignment horizontal="center" vertical="center"/>
    </xf>
    <xf numFmtId="0" fontId="3" fillId="0" borderId="63" xfId="0" applyFont="1" applyBorder="1"/>
    <xf numFmtId="0" fontId="2" fillId="0" borderId="57" xfId="0" applyFont="1" applyBorder="1" applyAlignment="1">
      <alignment horizontal="center" vertical="center"/>
    </xf>
    <xf numFmtId="0" fontId="3" fillId="0" borderId="64" xfId="0" applyFont="1" applyBorder="1"/>
    <xf numFmtId="164" fontId="8" fillId="0" borderId="57" xfId="0" applyNumberFormat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3" fillId="0" borderId="65" xfId="0" applyFont="1" applyBorder="1"/>
    <xf numFmtId="0" fontId="2" fillId="0" borderId="44" xfId="0" applyFont="1" applyBorder="1" applyAlignment="1">
      <alignment horizontal="center" vertical="center"/>
    </xf>
    <xf numFmtId="0" fontId="3" fillId="0" borderId="49" xfId="0" applyFont="1" applyBorder="1"/>
    <xf numFmtId="0" fontId="2" fillId="0" borderId="53" xfId="0" applyFont="1" applyBorder="1" applyAlignment="1">
      <alignment horizontal="center" vertical="center"/>
    </xf>
    <xf numFmtId="0" fontId="3" fillId="0" borderId="22" xfId="0" applyFont="1" applyBorder="1"/>
    <xf numFmtId="0" fontId="2" fillId="0" borderId="16" xfId="0" applyFont="1" applyBorder="1" applyAlignment="1">
      <alignment horizontal="center" vertical="center"/>
    </xf>
    <xf numFmtId="0" fontId="3" fillId="0" borderId="62" xfId="0" applyFont="1" applyBorder="1"/>
    <xf numFmtId="0" fontId="3" fillId="0" borderId="67" xfId="0" applyFont="1" applyBorder="1"/>
    <xf numFmtId="0" fontId="2" fillId="0" borderId="6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0" borderId="38" xfId="0" applyFont="1" applyBorder="1"/>
    <xf numFmtId="0" fontId="3" fillId="0" borderId="39" xfId="0" applyFont="1" applyBorder="1"/>
    <xf numFmtId="0" fontId="2" fillId="0" borderId="41" xfId="0" applyFont="1" applyBorder="1" applyAlignment="1">
      <alignment horizontal="center" vertical="center"/>
    </xf>
    <xf numFmtId="0" fontId="3" fillId="0" borderId="46" xfId="0" applyFont="1" applyBorder="1"/>
    <xf numFmtId="0" fontId="2" fillId="0" borderId="52" xfId="0" applyFont="1" applyBorder="1" applyAlignment="1">
      <alignment horizontal="center" vertical="center"/>
    </xf>
    <xf numFmtId="0" fontId="3" fillId="0" borderId="21" xfId="0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2" fillId="0" borderId="15" xfId="0" applyFont="1" applyBorder="1" applyAlignment="1">
      <alignment horizontal="center" vertical="center"/>
    </xf>
    <xf numFmtId="0" fontId="3" fillId="0" borderId="15" xfId="0" applyFont="1" applyBorder="1"/>
    <xf numFmtId="0" fontId="2" fillId="0" borderId="42" xfId="0" applyFont="1" applyBorder="1" applyAlignment="1">
      <alignment horizontal="center" vertical="center"/>
    </xf>
    <xf numFmtId="0" fontId="3" fillId="0" borderId="43" xfId="0" applyFont="1" applyBorder="1"/>
    <xf numFmtId="0" fontId="3" fillId="0" borderId="47" xfId="0" applyFont="1" applyBorder="1"/>
    <xf numFmtId="0" fontId="3" fillId="0" borderId="48" xfId="0" applyFont="1" applyBorder="1"/>
    <xf numFmtId="0" fontId="4" fillId="3" borderId="11" xfId="0" applyFont="1" applyFill="1" applyBorder="1" applyAlignment="1">
      <alignment horizontal="center" vertical="center"/>
    </xf>
    <xf numFmtId="0" fontId="3" fillId="0" borderId="13" xfId="0" applyFont="1" applyBorder="1"/>
    <xf numFmtId="0" fontId="4" fillId="2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3" fillId="0" borderId="12" xfId="0" applyFont="1" applyBorder="1"/>
    <xf numFmtId="49" fontId="2" fillId="7" borderId="2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49" fontId="1" fillId="8" borderId="5" xfId="0" applyNumberFormat="1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1" fillId="8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5" borderId="11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0" borderId="16" xfId="0" applyFont="1" applyBorder="1"/>
    <xf numFmtId="0" fontId="6" fillId="0" borderId="17" xfId="0" applyFont="1" applyBorder="1" applyAlignment="1">
      <alignment horizontal="center"/>
    </xf>
    <xf numFmtId="0" fontId="3" fillId="0" borderId="18" xfId="0" applyFont="1" applyBorder="1"/>
    <xf numFmtId="0" fontId="7" fillId="0" borderId="17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5" xfId="0" applyFont="1" applyBorder="1" applyAlignment="1">
      <alignment horizontal="center"/>
    </xf>
    <xf numFmtId="0" fontId="3" fillId="0" borderId="26" xfId="0" applyFont="1" applyBorder="1"/>
    <xf numFmtId="0" fontId="6" fillId="0" borderId="28" xfId="0" applyFont="1" applyBorder="1" applyAlignment="1">
      <alignment horizontal="center"/>
    </xf>
    <xf numFmtId="0" fontId="2" fillId="15" borderId="103" xfId="0" applyFont="1" applyFill="1" applyBorder="1" applyAlignment="1">
      <alignment horizontal="center" vertical="center"/>
    </xf>
    <xf numFmtId="0" fontId="3" fillId="0" borderId="98" xfId="0" applyFont="1" applyBorder="1"/>
    <xf numFmtId="0" fontId="2" fillId="15" borderId="42" xfId="0" applyFont="1" applyFill="1" applyBorder="1" applyAlignment="1">
      <alignment horizontal="center" vertical="center"/>
    </xf>
    <xf numFmtId="0" fontId="3" fillId="0" borderId="104" xfId="0" applyFont="1" applyBorder="1"/>
    <xf numFmtId="0" fontId="3" fillId="0" borderId="99" xfId="0" applyFont="1" applyBorder="1"/>
    <xf numFmtId="0" fontId="3" fillId="0" borderId="100" xfId="0" applyFont="1" applyBorder="1"/>
    <xf numFmtId="0" fontId="20" fillId="10" borderId="68" xfId="1" applyFill="1" applyBorder="1" applyAlignment="1">
      <alignment horizontal="center" vertical="center"/>
    </xf>
    <xf numFmtId="0" fontId="20" fillId="0" borderId="69" xfId="1" applyBorder="1"/>
    <xf numFmtId="0" fontId="20" fillId="0" borderId="70" xfId="1" applyBorder="1"/>
    <xf numFmtId="0" fontId="2" fillId="0" borderId="33" xfId="0" applyFont="1" applyBorder="1" applyAlignment="1">
      <alignment horizontal="center" vertical="center" textRotation="255"/>
    </xf>
    <xf numFmtId="0" fontId="2" fillId="12" borderId="77" xfId="0" applyFont="1" applyFill="1" applyBorder="1" applyAlignment="1">
      <alignment horizontal="center" vertical="center"/>
    </xf>
    <xf numFmtId="0" fontId="3" fillId="0" borderId="80" xfId="0" applyFont="1" applyBorder="1"/>
    <xf numFmtId="0" fontId="3" fillId="0" borderId="89" xfId="0" applyFont="1" applyBorder="1"/>
    <xf numFmtId="0" fontId="2" fillId="15" borderId="94" xfId="0" applyFont="1" applyFill="1" applyBorder="1" applyAlignment="1">
      <alignment horizontal="center" vertical="center"/>
    </xf>
    <xf numFmtId="0" fontId="2" fillId="15" borderId="95" xfId="0" applyFont="1" applyFill="1" applyBorder="1" applyAlignment="1">
      <alignment horizontal="center" vertical="center"/>
    </xf>
    <xf numFmtId="0" fontId="3" fillId="0" borderId="96" xfId="0" applyFont="1" applyBorder="1"/>
    <xf numFmtId="0" fontId="3" fillId="0" borderId="97" xfId="0" applyFont="1" applyBorder="1"/>
    <xf numFmtId="0" fontId="2" fillId="16" borderId="77" xfId="0" applyFont="1" applyFill="1" applyBorder="1" applyAlignment="1">
      <alignment horizontal="center" vertical="center"/>
    </xf>
    <xf numFmtId="0" fontId="3" fillId="0" borderId="101" xfId="0" applyFont="1" applyBorder="1"/>
    <xf numFmtId="0" fontId="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2">
    <dxf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cisco.com/site/us/en/products/collateral/networking/wireless/access-points/catalyst-9100-series/wireless-9179f-access-point-ds.html" TargetMode="External"/><Relationship Id="rId117" Type="http://schemas.openxmlformats.org/officeDocument/2006/relationships/hyperlink" Target="https://www.cisco.com/site/us/en/products/collateral/networking/wireless/access-points/catalyst-9100-series/wireless-9179f-access-point-ds.html" TargetMode="External"/><Relationship Id="rId21" Type="http://schemas.openxmlformats.org/officeDocument/2006/relationships/hyperlink" Target="https://www.router-switch.com/c9400-lc-48ux.html" TargetMode="External"/><Relationship Id="rId42" Type="http://schemas.openxmlformats.org/officeDocument/2006/relationships/hyperlink" Target="https://www.cisco.com/c/en/us/products/collateral/switches/catalyst-9400-series-switches/nb-06-cat9400-ser-sup-eng-data-sheet-cte-en.html" TargetMode="External"/><Relationship Id="rId47" Type="http://schemas.openxmlformats.org/officeDocument/2006/relationships/hyperlink" Target="https://www.cisco.com/c/en/us/products/collateral/switches/catalyst-9400-series-switches/nb-06-cat9400-series-line-data-sheet-cte-en.html" TargetMode="External"/><Relationship Id="rId63" Type="http://schemas.openxmlformats.org/officeDocument/2006/relationships/hyperlink" Target="https://www.cisco.com/c/en/us/products/collateral/collaboration-endpoints/unified-ip-phone-8800-series/datasheet-c78-731668.html" TargetMode="External"/><Relationship Id="rId68" Type="http://schemas.openxmlformats.org/officeDocument/2006/relationships/hyperlink" Target="https://www.bechtle.com/de-en/shop/hpe-aruba-6410-v2-switch--4660077--p" TargetMode="External"/><Relationship Id="rId84" Type="http://schemas.openxmlformats.org/officeDocument/2006/relationships/hyperlink" Target="https://www.cisco.com/c/en/us/products/collateral/switches/catalyst-9400-series-switches/nb-06-cat9400-series-line-data-sheet-cte-en.html" TargetMode="External"/><Relationship Id="rId89" Type="http://schemas.openxmlformats.org/officeDocument/2006/relationships/hyperlink" Target="https://www.cdw.com/product/hpe-aruba-networking-ap-765-us-flex-wireless-access-point-built-in-dy/8538207" TargetMode="External"/><Relationship Id="rId112" Type="http://schemas.openxmlformats.org/officeDocument/2006/relationships/hyperlink" Target="https://www.router-switch.com/c9400-lc-48ux.html" TargetMode="External"/><Relationship Id="rId16" Type="http://schemas.openxmlformats.org/officeDocument/2006/relationships/hyperlink" Target="https://it-planet.com/en/p/hp-jl310a-381910.html?gad_source=1&amp;gad_campaignid=10637715501&amp;gbraid=0AAAAAC89HVSD4xsDqcS8K4yLzu4h2wxNL&amp;gclid=CjwKCAjwtIfPBhAzEiwAv9RTJmdJifTA0IO4YuKONqlSu9-0-NhG4gtUCkVckG220w8O7P4FV80FIxoCLaUQAvD_BwE" TargetMode="External"/><Relationship Id="rId107" Type="http://schemas.openxmlformats.org/officeDocument/2006/relationships/hyperlink" Target="https://buy.hpe.com/us/en/options/modules/switch-modules/hpe-aruba-networking-cx-6400-12%e2%80%91port-40-100gbe-qsfp28-v2-extended-tables-module/p/r0x45c" TargetMode="External"/><Relationship Id="rId11" Type="http://schemas.openxmlformats.org/officeDocument/2006/relationships/hyperlink" Target="https://buy.hpe.com/us/en/options/modules/switch-modules/hpe-aruba-networking-cx-6400-management-module/p/r0x31a" TargetMode="External"/><Relationship Id="rId32" Type="http://schemas.openxmlformats.org/officeDocument/2006/relationships/hyperlink" Target="https://www.paloguard.com/firewall-pa-3440.asp" TargetMode="External"/><Relationship Id="rId37" Type="http://schemas.openxmlformats.org/officeDocument/2006/relationships/hyperlink" Target="https://www.router-switch.com/c9410r.html" TargetMode="External"/><Relationship Id="rId53" Type="http://schemas.openxmlformats.org/officeDocument/2006/relationships/hyperlink" Target="https://it-planet.com/en/p/hp-jl310a-381910.html?gad_source=1&amp;gad_campaignid=10637715501&amp;gbraid=0AAAAAC89HVSD4xsDqcS8K4yLzu4h2wxNL&amp;gclid=CjwKCAjwtIfPBhAzEiwAv9RTJmdJifTA0IO4YuKONqlSu9-0-NhG4gtUCkVckG220w8O7P4FV80FIxoCLaUQAvD_BwE" TargetMode="External"/><Relationship Id="rId58" Type="http://schemas.openxmlformats.org/officeDocument/2006/relationships/hyperlink" Target="https://www.rhinonetworks.com/product/device/cisco-cw9179f" TargetMode="External"/><Relationship Id="rId74" Type="http://schemas.openxmlformats.org/officeDocument/2006/relationships/hyperlink" Target="https://www.cisco.com/c/en/us/products/collateral/switches/catalyst-9400-series-switches/nb-06-cat9400-series-line-data-sheet-cte-en.html" TargetMode="External"/><Relationship Id="rId79" Type="http://schemas.openxmlformats.org/officeDocument/2006/relationships/hyperlink" Target="https://www.fs.com/eu-en/products/36171.html?gad_source=1&amp;gad_campaignid=17958704370&amp;gbraid=0AAAAAoz-wfT_xbplSsDF5wnLt8v2Wzp2D&amp;gclid=CjwKCAjwtIfPBhAzEiwAv9RTJlKrkQBS8dOUVwOEDG8QDB1y0gEgpD_K3Km2f0GLubKbb3vLE1K1vxoCmsAQAvD_BwE" TargetMode="External"/><Relationship Id="rId102" Type="http://schemas.openxmlformats.org/officeDocument/2006/relationships/hyperlink" Target="https://buy.hpe.com/us/en/options/modules/switch-modules/hpe-aruba-networking-cx-6400-management-module/p/r0x31a" TargetMode="External"/><Relationship Id="rId123" Type="http://schemas.openxmlformats.org/officeDocument/2006/relationships/hyperlink" Target="https://www.hp.com/ro-ro/products/accessories/product-details/2101722231" TargetMode="External"/><Relationship Id="rId5" Type="http://schemas.openxmlformats.org/officeDocument/2006/relationships/hyperlink" Target="https://www.router-switch.com/pdf/c9407r-datasheet.pdf" TargetMode="External"/><Relationship Id="rId90" Type="http://schemas.openxmlformats.org/officeDocument/2006/relationships/hyperlink" Target="https://buy.hpe.com/us/en/networking/wireless-devices/wlan-access-points/hpe-aruba-networking-ap%E2%80%91765-us-flex-radio-2x2-wi%E2%80%91fi-7-dynamic-omni%E2%80%91directional-outdoor-ap/p/s4k19a" TargetMode="External"/><Relationship Id="rId95" Type="http://schemas.openxmlformats.org/officeDocument/2006/relationships/hyperlink" Target="https://www.router-switch.com/c9410r.html" TargetMode="External"/><Relationship Id="rId22" Type="http://schemas.openxmlformats.org/officeDocument/2006/relationships/hyperlink" Target="https://www.cisco.com/c/en/us/products/collateral/switches/catalyst-9400-series-switches/nb-06-cat9400-series-line-data-sheet-cte-en.html" TargetMode="External"/><Relationship Id="rId27" Type="http://schemas.openxmlformats.org/officeDocument/2006/relationships/hyperlink" Target="https://www.cdw.com/product/hpe-aruba-networking-ap-765-us-flex-wireless-access-point-built-in-dy/8538207" TargetMode="External"/><Relationship Id="rId43" Type="http://schemas.openxmlformats.org/officeDocument/2006/relationships/hyperlink" Target="https://edshop.edsystem.eu/hpe-aruba-networking-cx-6400-management-module/product-1686459" TargetMode="External"/><Relationship Id="rId48" Type="http://schemas.openxmlformats.org/officeDocument/2006/relationships/hyperlink" Target="https://it-planet.com/en/p/hpearuba-r0x45c-462673.html" TargetMode="External"/><Relationship Id="rId64" Type="http://schemas.openxmlformats.org/officeDocument/2006/relationships/hyperlink" Target="https://www.cdw.com/product/poly-edge-ip-phone-corded-corded-desktop/7597468" TargetMode="External"/><Relationship Id="rId69" Type="http://schemas.openxmlformats.org/officeDocument/2006/relationships/hyperlink" Target="https://www.hpe.com/us/en/collaterals/collateral.a00073541enw.html" TargetMode="External"/><Relationship Id="rId113" Type="http://schemas.openxmlformats.org/officeDocument/2006/relationships/hyperlink" Target="https://www.cisco.com/c/en/us/products/collateral/switches/catalyst-9400-series-switches/nb-06-cat9400-series-line-data-sheet-cte-en.html" TargetMode="External"/><Relationship Id="rId118" Type="http://schemas.openxmlformats.org/officeDocument/2006/relationships/hyperlink" Target="https://www.cdw.com/product/hpe-aruba-networking-ap-765-us-flex-wireless-access-point-built-in-dy/8538207" TargetMode="External"/><Relationship Id="rId80" Type="http://schemas.openxmlformats.org/officeDocument/2006/relationships/hyperlink" Target="https://www.fs.com/eu-en/products/36171.html?gad_source=1&amp;gad_campaignid=17958704370&amp;gbraid=0AAAAAoz-wfT_xbplSsDF5wnLt8v2Wzp2D&amp;gclid=CjwKCAjwtIfPBhAzEiwAv9RTJlKrkQBS8dOUVwOEDG8QDB1y0gEgpD_K3Km2f0GLubKbb3vLE1K1vxoCmsAQAvD_BwE" TargetMode="External"/><Relationship Id="rId85" Type="http://schemas.openxmlformats.org/officeDocument/2006/relationships/hyperlink" Target="https://it-planet.com/en/p/hpearuba-s1t83a-462820.html" TargetMode="External"/><Relationship Id="rId12" Type="http://schemas.openxmlformats.org/officeDocument/2006/relationships/hyperlink" Target="https://www.cisco.com/c/en/us/products/collateral/switches/catalyst-9400-series-switches/nb-06-cat9400-series-line-data-sheet-cte-en.html" TargetMode="External"/><Relationship Id="rId17" Type="http://schemas.openxmlformats.org/officeDocument/2006/relationships/hyperlink" Target="https://www.router-switch.com/c9400-lc-12qc.html" TargetMode="External"/><Relationship Id="rId33" Type="http://schemas.openxmlformats.org/officeDocument/2006/relationships/hyperlink" Target="https://www.router-switch.com/cp-8861-k9-p-21580.html" TargetMode="External"/><Relationship Id="rId38" Type="http://schemas.openxmlformats.org/officeDocument/2006/relationships/hyperlink" Target="https://www.router-switch.com/pdf/c9407r-datasheet.pdf" TargetMode="External"/><Relationship Id="rId59" Type="http://schemas.openxmlformats.org/officeDocument/2006/relationships/hyperlink" Target="https://www.cisco.com/site/us/en/products/collateral/networking/wireless/access-points/catalyst-9100-series/wireless-9179f-access-point-ds.html" TargetMode="External"/><Relationship Id="rId103" Type="http://schemas.openxmlformats.org/officeDocument/2006/relationships/hyperlink" Target="https://www.cisco.com/c/en/us/products/collateral/switches/catalyst-9400-series-switches/nb-06-cat9400-series-line-data-sheet-cte-en.html" TargetMode="External"/><Relationship Id="rId108" Type="http://schemas.openxmlformats.org/officeDocument/2006/relationships/hyperlink" Target="https://www.fs.com/eu-en/products/36171.html?gad_source=1&amp;gad_campaignid=17958704370&amp;gbraid=0AAAAAoz-wfT_xbplSsDF5wnLt8v2Wzp2D&amp;gclid=CjwKCAjwtIfPBhAzEiwAv9RTJlKrkQBS8dOUVwOEDG8QDB1y0gEgpD_K3Km2f0GLubKbb3vLE1K1vxoCmsAQAvD_BwE" TargetMode="External"/><Relationship Id="rId124" Type="http://schemas.openxmlformats.org/officeDocument/2006/relationships/printerSettings" Target="../printerSettings/printerSettings1.bin"/><Relationship Id="rId54" Type="http://schemas.openxmlformats.org/officeDocument/2006/relationships/hyperlink" Target="https://www.router-switch.com/c9400-lc-48ux.html" TargetMode="External"/><Relationship Id="rId70" Type="http://schemas.openxmlformats.org/officeDocument/2006/relationships/hyperlink" Target="https://www.router-switch.com/c9400-sup-1xl.html" TargetMode="External"/><Relationship Id="rId75" Type="http://schemas.openxmlformats.org/officeDocument/2006/relationships/hyperlink" Target="https://www.router-switch.com/c9400-lc-12qc.html" TargetMode="External"/><Relationship Id="rId91" Type="http://schemas.openxmlformats.org/officeDocument/2006/relationships/hyperlink" Target="https://www.router-switch.com/cp-8861-k9-p-21580.html" TargetMode="External"/><Relationship Id="rId96" Type="http://schemas.openxmlformats.org/officeDocument/2006/relationships/hyperlink" Target="https://www.router-switch.com/pdf/c9407r-datasheet.pdf" TargetMode="External"/><Relationship Id="rId1" Type="http://schemas.openxmlformats.org/officeDocument/2006/relationships/hyperlink" Target="https://www.router-switch.com/c9800-l-c-k9.html" TargetMode="External"/><Relationship Id="rId6" Type="http://schemas.openxmlformats.org/officeDocument/2006/relationships/hyperlink" Target="https://www.bechtle.com/de-en/shop/hpe-aruba-6410-v2-switch--4660077--p" TargetMode="External"/><Relationship Id="rId23" Type="http://schemas.openxmlformats.org/officeDocument/2006/relationships/hyperlink" Target="https://it-planet.com/en/p/hpearuba-s1t83a-462820.html" TargetMode="External"/><Relationship Id="rId28" Type="http://schemas.openxmlformats.org/officeDocument/2006/relationships/hyperlink" Target="https://buy.hpe.com/us/en/networking/wireless-devices/wlan-access-points/hpe-aruba-networking-ap%E2%80%91765-us-flex-radio-2x2-wi%E2%80%91fi-7-dynamic-omni%E2%80%91directional-outdoor-ap/p/s4k19a" TargetMode="External"/><Relationship Id="rId49" Type="http://schemas.openxmlformats.org/officeDocument/2006/relationships/hyperlink" Target="https://buy.hpe.com/us/en/options/modules/switch-modules/hpe-aruba-networking-cx-6400-12%e2%80%91port-40-100gbe-qsfp28-v2-extended-tables-module/p/r0x45c" TargetMode="External"/><Relationship Id="rId114" Type="http://schemas.openxmlformats.org/officeDocument/2006/relationships/hyperlink" Target="https://it-planet.com/en/p/hpearuba-s1t83a-462820.html" TargetMode="External"/><Relationship Id="rId119" Type="http://schemas.openxmlformats.org/officeDocument/2006/relationships/hyperlink" Target="https://buy.hpe.com/us/en/networking/wireless-devices/wlan-access-points/hpe-aruba-networking-ap%E2%80%91765-us-flex-radio-2x2-wi%E2%80%91fi-7-dynamic-omni%E2%80%91directional-outdoor-ap/p/s4k19a" TargetMode="External"/><Relationship Id="rId44" Type="http://schemas.openxmlformats.org/officeDocument/2006/relationships/hyperlink" Target="https://buy.hpe.com/us/en/options/modules/switch-modules/hpe-aruba-networking-cx-6400-management-module/p/r0x31a" TargetMode="External"/><Relationship Id="rId60" Type="http://schemas.openxmlformats.org/officeDocument/2006/relationships/hyperlink" Target="https://www.cdw.com/product/hpe-aruba-networking-ap-765-us-flex-wireless-access-point-built-in-dy/8538207" TargetMode="External"/><Relationship Id="rId65" Type="http://schemas.openxmlformats.org/officeDocument/2006/relationships/hyperlink" Target="https://www.hp.com/ro-ro/products/accessories/product-details/2101722231" TargetMode="External"/><Relationship Id="rId81" Type="http://schemas.openxmlformats.org/officeDocument/2006/relationships/hyperlink" Target="https://it-planet.com/en/p/hp-jl310a-381910.html?gad_source=1&amp;gad_campaignid=10637715501&amp;gbraid=0AAAAAC89HVSD4xsDqcS8K4yLzu4h2wxNL&amp;gclid=CjwKCAjwtIfPBhAzEiwAv9RTJmdJifTA0IO4YuKONqlSu9-0-NhG4gtUCkVckG220w8O7P4FV80FIxoCLaUQAvD_BwE" TargetMode="External"/><Relationship Id="rId86" Type="http://schemas.openxmlformats.org/officeDocument/2006/relationships/hyperlink" Target="https://buy.hpe.com/us/en/options/modules/switch-modules/hpe-aruba-networking-cx-6400-v2-24p-smart-rate-1g-2-5g-5g-10g-class8-poe-4p-sfp56-50g-module/p/s1t83a" TargetMode="External"/><Relationship Id="rId4" Type="http://schemas.openxmlformats.org/officeDocument/2006/relationships/hyperlink" Target="https://www.router-switch.com/c9410r.html" TargetMode="External"/><Relationship Id="rId9" Type="http://schemas.openxmlformats.org/officeDocument/2006/relationships/hyperlink" Target="https://www.cisco.com/c/en/us/products/collateral/switches/catalyst-9400-series-switches/nb-06-cat9400-ser-sup-eng-data-sheet-cte-en.html" TargetMode="External"/><Relationship Id="rId13" Type="http://schemas.openxmlformats.org/officeDocument/2006/relationships/hyperlink" Target="https://www.fs.com/eu-en/products/36171.html?gad_source=1&amp;gad_campaignid=17958704370&amp;gbraid=0AAAAAoz-wfT_xbplSsDF5wnLt8v2Wzp2D&amp;gclid=CjwKCAjwtIfPBhAzEiwAv9RTJlKrkQBS8dOUVwOEDG8QDB1y0gEgpD_K3Km2f0GLubKbb3vLE1K1vxoCmsAQAvD_BwE" TargetMode="External"/><Relationship Id="rId18" Type="http://schemas.openxmlformats.org/officeDocument/2006/relationships/hyperlink" Target="https://www.cisco.com/c/en/us/products/collateral/switches/catalyst-9400-series-switches/nb-06-cat9400-series-line-data-sheet-cte-en.html" TargetMode="External"/><Relationship Id="rId39" Type="http://schemas.openxmlformats.org/officeDocument/2006/relationships/hyperlink" Target="https://www.bechtle.com/de-en/shop/hpe-aruba-6410-v2-switch--4660077--p" TargetMode="External"/><Relationship Id="rId109" Type="http://schemas.openxmlformats.org/officeDocument/2006/relationships/hyperlink" Target="https://www.fs.com/eu-en/products/36171.html?gad_source=1&amp;gad_campaignid=17958704370&amp;gbraid=0AAAAAoz-wfT_xbplSsDF5wnLt8v2Wzp2D&amp;gclid=CjwKCAjwtIfPBhAzEiwAv9RTJlKrkQBS8dOUVwOEDG8QDB1y0gEgpD_K3Km2f0GLubKbb3vLE1K1vxoCmsAQAvD_BwE" TargetMode="External"/><Relationship Id="rId34" Type="http://schemas.openxmlformats.org/officeDocument/2006/relationships/hyperlink" Target="https://www.cisco.com/c/en/us/products/collateral/collaboration-endpoints/unified-ip-phone-8800-series/datasheet-c78-731668.html" TargetMode="External"/><Relationship Id="rId50" Type="http://schemas.openxmlformats.org/officeDocument/2006/relationships/hyperlink" Target="https://www.fs.com/eu-en/products/36171.html?gad_source=1&amp;gad_campaignid=17958704370&amp;gbraid=0AAAAAoz-wfT_xbplSsDF5wnLt8v2Wzp2D&amp;gclid=CjwKCAjwtIfPBhAzEiwAv9RTJlKrkQBS8dOUVwOEDG8QDB1y0gEgpD_K3Km2f0GLubKbb3vLE1K1vxoCmsAQAvD_BwE" TargetMode="External"/><Relationship Id="rId55" Type="http://schemas.openxmlformats.org/officeDocument/2006/relationships/hyperlink" Target="https://www.cisco.com/c/en/us/products/collateral/switches/catalyst-9400-series-switches/nb-06-cat9400-series-line-data-sheet-cte-en.html" TargetMode="External"/><Relationship Id="rId76" Type="http://schemas.openxmlformats.org/officeDocument/2006/relationships/hyperlink" Target="https://www.cisco.com/c/en/us/products/collateral/switches/catalyst-9400-series-switches/nb-06-cat9400-series-line-data-sheet-cte-en.html" TargetMode="External"/><Relationship Id="rId97" Type="http://schemas.openxmlformats.org/officeDocument/2006/relationships/hyperlink" Target="https://www.bechtle.com/de-en/shop/hpe-aruba-6410-v2-switch--4660077--p" TargetMode="External"/><Relationship Id="rId104" Type="http://schemas.openxmlformats.org/officeDocument/2006/relationships/hyperlink" Target="https://www.router-switch.com/c9400-lc-12qc.html" TargetMode="External"/><Relationship Id="rId120" Type="http://schemas.openxmlformats.org/officeDocument/2006/relationships/hyperlink" Target="https://www.router-switch.com/cp-8861-k9-p-21580.html" TargetMode="External"/><Relationship Id="rId7" Type="http://schemas.openxmlformats.org/officeDocument/2006/relationships/hyperlink" Target="https://www.hpe.com/us/en/collaterals/collateral.a00073541enw.html" TargetMode="External"/><Relationship Id="rId71" Type="http://schemas.openxmlformats.org/officeDocument/2006/relationships/hyperlink" Target="https://www.cisco.com/c/en/us/products/collateral/switches/catalyst-9400-series-switches/nb-06-cat9400-ser-sup-eng-data-sheet-cte-en.html" TargetMode="External"/><Relationship Id="rId92" Type="http://schemas.openxmlformats.org/officeDocument/2006/relationships/hyperlink" Target="https://www.cisco.com/c/en/us/products/collateral/collaboration-endpoints/unified-ip-phone-8800-series/datasheet-c78-731668.html" TargetMode="External"/><Relationship Id="rId2" Type="http://schemas.openxmlformats.org/officeDocument/2006/relationships/hyperlink" Target="https://www.cisco.com/c/en/us/products/collateral/wireless/cisco-cw9800l-wireless-controller-platform-aag.html" TargetMode="External"/><Relationship Id="rId29" Type="http://schemas.openxmlformats.org/officeDocument/2006/relationships/hyperlink" Target="https://www.router-switch.com/fpr4245-asa-k9.html" TargetMode="External"/><Relationship Id="rId24" Type="http://schemas.openxmlformats.org/officeDocument/2006/relationships/hyperlink" Target="https://buy.hpe.com/us/en/options/modules/switch-modules/hpe-aruba-networking-cx-6400-v2-24p-smart-rate-1g-2-5g-5g-10g-class8-poe-4p-sfp56-50g-module/p/s1t83a" TargetMode="External"/><Relationship Id="rId40" Type="http://schemas.openxmlformats.org/officeDocument/2006/relationships/hyperlink" Target="https://www.hpe.com/us/en/collaterals/collateral.a00073541enw.html" TargetMode="External"/><Relationship Id="rId45" Type="http://schemas.openxmlformats.org/officeDocument/2006/relationships/hyperlink" Target="https://www.cisco.com/c/en/us/products/collateral/switches/catalyst-9400-series-switches/nb-06-cat9400-series-line-data-sheet-cte-en.html" TargetMode="External"/><Relationship Id="rId66" Type="http://schemas.openxmlformats.org/officeDocument/2006/relationships/hyperlink" Target="https://www.router-switch.com/c9410r.html" TargetMode="External"/><Relationship Id="rId87" Type="http://schemas.openxmlformats.org/officeDocument/2006/relationships/hyperlink" Target="https://www.rhinonetworks.com/product/device/cisco-cw9179f" TargetMode="External"/><Relationship Id="rId110" Type="http://schemas.openxmlformats.org/officeDocument/2006/relationships/hyperlink" Target="https://it-planet.com/en/p/hp-jl310a-381910.html?gad_source=1&amp;gad_campaignid=10637715501&amp;gbraid=0AAAAAC89HVSD4xsDqcS8K4yLzu4h2wxNL&amp;gclid=CjwKCAjwtIfPBhAzEiwAv9RTJmdJifTA0IO4YuKONqlSu9-0-NhG4gtUCkVckG220w8O7P4FV80FIxoCLaUQAvD_BwE" TargetMode="External"/><Relationship Id="rId115" Type="http://schemas.openxmlformats.org/officeDocument/2006/relationships/hyperlink" Target="https://buy.hpe.com/us/en/options/modules/switch-modules/hpe-aruba-networking-cx-6400-v2-24p-smart-rate-1g-2-5g-5g-10g-class8-poe-4p-sfp56-50g-module/p/s1t83a" TargetMode="External"/><Relationship Id="rId61" Type="http://schemas.openxmlformats.org/officeDocument/2006/relationships/hyperlink" Target="https://buy.hpe.com/us/en/networking/wireless-devices/wlan-access-points/hpe-aruba-networking-ap%E2%80%91765-us-flex-radio-2x2-wi%E2%80%91fi-7-dynamic-omni%E2%80%91directional-outdoor-ap/p/s4k19a" TargetMode="External"/><Relationship Id="rId82" Type="http://schemas.openxmlformats.org/officeDocument/2006/relationships/hyperlink" Target="https://it-planet.com/en/p/hp-jl310a-381910.html?gad_source=1&amp;gad_campaignid=10637715501&amp;gbraid=0AAAAAC89HVSD4xsDqcS8K4yLzu4h2wxNL&amp;gclid=CjwKCAjwtIfPBhAzEiwAv9RTJmdJifTA0IO4YuKONqlSu9-0-NhG4gtUCkVckG220w8O7P4FV80FIxoCLaUQAvD_BwE" TargetMode="External"/><Relationship Id="rId19" Type="http://schemas.openxmlformats.org/officeDocument/2006/relationships/hyperlink" Target="https://it-planet.com/en/p/hpearuba-r0x45c-462673.html" TargetMode="External"/><Relationship Id="rId14" Type="http://schemas.openxmlformats.org/officeDocument/2006/relationships/hyperlink" Target="https://www.fs.com/eu-en/products/36171.html?gad_source=1&amp;gad_campaignid=17958704370&amp;gbraid=0AAAAAoz-wfT_xbplSsDF5wnLt8v2Wzp2D&amp;gclid=CjwKCAjwtIfPBhAzEiwAv9RTJlKrkQBS8dOUVwOEDG8QDB1y0gEgpD_K3Km2f0GLubKbb3vLE1K1vxoCmsAQAvD_BwE" TargetMode="External"/><Relationship Id="rId30" Type="http://schemas.openxmlformats.org/officeDocument/2006/relationships/hyperlink" Target="https://www.cisco.com/c/en/us/products/collateral/security/firewalls/secure-firewall-4200-ds.html" TargetMode="External"/><Relationship Id="rId35" Type="http://schemas.openxmlformats.org/officeDocument/2006/relationships/hyperlink" Target="https://www.cdw.com/product/poly-edge-ip-phone-corded-corded-desktop/7597468" TargetMode="External"/><Relationship Id="rId56" Type="http://schemas.openxmlformats.org/officeDocument/2006/relationships/hyperlink" Target="https://it-planet.com/en/p/hpearuba-s1t83a-462820.html" TargetMode="External"/><Relationship Id="rId77" Type="http://schemas.openxmlformats.org/officeDocument/2006/relationships/hyperlink" Target="https://it-planet.com/en/p/hpearuba-r0x45c-462673.html" TargetMode="External"/><Relationship Id="rId100" Type="http://schemas.openxmlformats.org/officeDocument/2006/relationships/hyperlink" Target="https://www.cisco.com/c/en/us/products/collateral/switches/catalyst-9400-series-switches/nb-06-cat9400-ser-sup-eng-data-sheet-cte-en.html" TargetMode="External"/><Relationship Id="rId105" Type="http://schemas.openxmlformats.org/officeDocument/2006/relationships/hyperlink" Target="https://www.cisco.com/c/en/us/products/collateral/switches/catalyst-9400-series-switches/nb-06-cat9400-series-line-data-sheet-cte-en.html" TargetMode="External"/><Relationship Id="rId8" Type="http://schemas.openxmlformats.org/officeDocument/2006/relationships/hyperlink" Target="https://www.router-switch.com/c9400-sup-1xl.html" TargetMode="External"/><Relationship Id="rId51" Type="http://schemas.openxmlformats.org/officeDocument/2006/relationships/hyperlink" Target="https://www.fs.com/eu-en/products/36171.html?gad_source=1&amp;gad_campaignid=17958704370&amp;gbraid=0AAAAAoz-wfT_xbplSsDF5wnLt8v2Wzp2D&amp;gclid=CjwKCAjwtIfPBhAzEiwAv9RTJlKrkQBS8dOUVwOEDG8QDB1y0gEgpD_K3Km2f0GLubKbb3vLE1K1vxoCmsAQAvD_BwE" TargetMode="External"/><Relationship Id="rId72" Type="http://schemas.openxmlformats.org/officeDocument/2006/relationships/hyperlink" Target="https://edshop.edsystem.eu/hpe-aruba-networking-cx-6400-management-module/product-1686459" TargetMode="External"/><Relationship Id="rId93" Type="http://schemas.openxmlformats.org/officeDocument/2006/relationships/hyperlink" Target="https://www.cdw.com/product/poly-edge-ip-phone-corded-corded-desktop/7597468" TargetMode="External"/><Relationship Id="rId98" Type="http://schemas.openxmlformats.org/officeDocument/2006/relationships/hyperlink" Target="https://www.hpe.com/us/en/collaterals/collateral.a00073541enw.html" TargetMode="External"/><Relationship Id="rId121" Type="http://schemas.openxmlformats.org/officeDocument/2006/relationships/hyperlink" Target="https://www.cisco.com/c/en/us/products/collateral/collaboration-endpoints/unified-ip-phone-8800-series/datasheet-c78-731668.html" TargetMode="External"/><Relationship Id="rId3" Type="http://schemas.openxmlformats.org/officeDocument/2006/relationships/hyperlink" Target="https://www.hpe.com/emea_europe/en/aruba-central.html" TargetMode="External"/><Relationship Id="rId25" Type="http://schemas.openxmlformats.org/officeDocument/2006/relationships/hyperlink" Target="https://www.rhinonetworks.com/product/device/cisco-cw9179f" TargetMode="External"/><Relationship Id="rId46" Type="http://schemas.openxmlformats.org/officeDocument/2006/relationships/hyperlink" Target="https://www.router-switch.com/c9400-lc-12qc.html" TargetMode="External"/><Relationship Id="rId67" Type="http://schemas.openxmlformats.org/officeDocument/2006/relationships/hyperlink" Target="https://www.router-switch.com/pdf/c9407r-datasheet.pdf" TargetMode="External"/><Relationship Id="rId116" Type="http://schemas.openxmlformats.org/officeDocument/2006/relationships/hyperlink" Target="https://www.rhinonetworks.com/product/device/cisco-cw9179f" TargetMode="External"/><Relationship Id="rId20" Type="http://schemas.openxmlformats.org/officeDocument/2006/relationships/hyperlink" Target="https://buy.hpe.com/us/en/options/modules/switch-modules/hpe-aruba-networking-cx-6400-12%e2%80%91port-40-100gbe-qsfp28-v2-extended-tables-module/p/r0x45c" TargetMode="External"/><Relationship Id="rId41" Type="http://schemas.openxmlformats.org/officeDocument/2006/relationships/hyperlink" Target="https://www.router-switch.com/c9400-sup-1xl.html" TargetMode="External"/><Relationship Id="rId62" Type="http://schemas.openxmlformats.org/officeDocument/2006/relationships/hyperlink" Target="https://www.router-switch.com/cp-8861-k9-p-21580.html" TargetMode="External"/><Relationship Id="rId83" Type="http://schemas.openxmlformats.org/officeDocument/2006/relationships/hyperlink" Target="https://www.router-switch.com/c9400-lc-48ux.html" TargetMode="External"/><Relationship Id="rId88" Type="http://schemas.openxmlformats.org/officeDocument/2006/relationships/hyperlink" Target="https://www.cisco.com/site/us/en/products/collateral/networking/wireless/access-points/catalyst-9100-series/wireless-9179f-access-point-ds.html" TargetMode="External"/><Relationship Id="rId111" Type="http://schemas.openxmlformats.org/officeDocument/2006/relationships/hyperlink" Target="https://it-planet.com/en/p/hp-jl310a-381910.html?gad_source=1&amp;gad_campaignid=10637715501&amp;gbraid=0AAAAAC89HVSD4xsDqcS8K4yLzu4h2wxNL&amp;gclid=CjwKCAjwtIfPBhAzEiwAv9RTJmdJifTA0IO4YuKONqlSu9-0-NhG4gtUCkVckG220w8O7P4FV80FIxoCLaUQAvD_BwE" TargetMode="External"/><Relationship Id="rId15" Type="http://schemas.openxmlformats.org/officeDocument/2006/relationships/hyperlink" Target="https://it-planet.com/en/p/hp-jl310a-381910.html?gad_source=1&amp;gad_campaignid=10637715501&amp;gbraid=0AAAAAC89HVSD4xsDqcS8K4yLzu4h2wxNL&amp;gclid=CjwKCAjwtIfPBhAzEiwAv9RTJmdJifTA0IO4YuKONqlSu9-0-NhG4gtUCkVckG220w8O7P4FV80FIxoCLaUQAvD_BwE" TargetMode="External"/><Relationship Id="rId36" Type="http://schemas.openxmlformats.org/officeDocument/2006/relationships/hyperlink" Target="https://www.hp.com/ro-ro/products/accessories/product-details/2101722231" TargetMode="External"/><Relationship Id="rId57" Type="http://schemas.openxmlformats.org/officeDocument/2006/relationships/hyperlink" Target="https://buy.hpe.com/us/en/options/modules/switch-modules/hpe-aruba-networking-cx-6400-v2-24p-smart-rate-1g-2-5g-5g-10g-class8-poe-4p-sfp56-50g-module/p/s1t83a" TargetMode="External"/><Relationship Id="rId106" Type="http://schemas.openxmlformats.org/officeDocument/2006/relationships/hyperlink" Target="https://it-planet.com/en/p/hpearuba-r0x45c-462673.html" TargetMode="External"/><Relationship Id="rId10" Type="http://schemas.openxmlformats.org/officeDocument/2006/relationships/hyperlink" Target="https://edshop.edsystem.eu/hpe-aruba-networking-cx-6400-management-module/product-1686459" TargetMode="External"/><Relationship Id="rId31" Type="http://schemas.openxmlformats.org/officeDocument/2006/relationships/hyperlink" Target="https://it-planet.com/en/p/paloaltonetworks-pan-pa-3440-493898.html" TargetMode="External"/><Relationship Id="rId52" Type="http://schemas.openxmlformats.org/officeDocument/2006/relationships/hyperlink" Target="https://it-planet.com/en/p/hp-jl310a-381910.html?gad_source=1&amp;gad_campaignid=10637715501&amp;gbraid=0AAAAAC89HVSD4xsDqcS8K4yLzu4h2wxNL&amp;gclid=CjwKCAjwtIfPBhAzEiwAv9RTJmdJifTA0IO4YuKONqlSu9-0-NhG4gtUCkVckG220w8O7P4FV80FIxoCLaUQAvD_BwE" TargetMode="External"/><Relationship Id="rId73" Type="http://schemas.openxmlformats.org/officeDocument/2006/relationships/hyperlink" Target="https://buy.hpe.com/us/en/options/modules/switch-modules/hpe-aruba-networking-cx-6400-management-module/p/r0x31a" TargetMode="External"/><Relationship Id="rId78" Type="http://schemas.openxmlformats.org/officeDocument/2006/relationships/hyperlink" Target="https://buy.hpe.com/us/en/options/modules/switch-modules/hpe-aruba-networking-cx-6400-12%e2%80%91port-40-100gbe-qsfp28-v2-extended-tables-module/p/r0x45c" TargetMode="External"/><Relationship Id="rId94" Type="http://schemas.openxmlformats.org/officeDocument/2006/relationships/hyperlink" Target="https://www.hp.com/ro-ro/products/accessories/product-details/2101722231" TargetMode="External"/><Relationship Id="rId99" Type="http://schemas.openxmlformats.org/officeDocument/2006/relationships/hyperlink" Target="https://www.router-switch.com/c9400-sup-1xl.html" TargetMode="External"/><Relationship Id="rId101" Type="http://schemas.openxmlformats.org/officeDocument/2006/relationships/hyperlink" Target="https://edshop.edsystem.eu/hpe-aruba-networking-cx-6400-management-module/product-1686459" TargetMode="External"/><Relationship Id="rId122" Type="http://schemas.openxmlformats.org/officeDocument/2006/relationships/hyperlink" Target="https://www.cdw.com/product/poly-edge-ip-phone-corded-corded-desktop/7597468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cksolutions.com/server-racks-cabinets-enclosures.html?srsltid=AfmBOoqf9s2q77SJ2xB0DIrRESnnxqS6dVARgzH-BkOredUqem8vA3-0" TargetMode="External"/><Relationship Id="rId2" Type="http://schemas.openxmlformats.org/officeDocument/2006/relationships/hyperlink" Target="https://groupsumi.fr/en/climate-control/air-conditioning/air-conditioning-ducts/daikin-sky-air-active-ducted-air-conditioner-5-7-kw-20000-btu-adeas60a" TargetMode="External"/><Relationship Id="rId1" Type="http://schemas.openxmlformats.org/officeDocument/2006/relationships/hyperlink" Target="https://www.se.com/us/en/products-runtime-graph/SRT10KXLT/apc-smartups-online-10kva-10kw-tower-208v-4x-l620r+2x-l630r-nema-outlets-network-card+smartslot-extended-runtime-w-o-rail-kit/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hyperlink" Target="https://groupsumi.fr/en/climate-control/air-conditioning/air-conditioning-ducts/daikin-sky-air-active-ducted-air-conditioner-5-7-kw-20000-btu-adeas60a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cksolutions.com/server-racks-cabinets-enclosures.html?srsltid=AfmBOoqf9s2q77SJ2xB0DIrRESnnxqS6dVARgzH-BkOredUqem8vA3-0" TargetMode="External"/><Relationship Id="rId2" Type="http://schemas.openxmlformats.org/officeDocument/2006/relationships/hyperlink" Target="https://groupsumi.fr/en/climate-control/air-conditioning/air-conditioning-ducts/daikin-sky-air-active-ducted-air-conditioner-5-7-kw-20000-btu-adeas60a" TargetMode="External"/><Relationship Id="rId1" Type="http://schemas.openxmlformats.org/officeDocument/2006/relationships/hyperlink" Target="https://www.se.com/us/en/products-runtime-graph/SRT10KXLT/apc-smartups-online-10kva-10kw-tower-208v-4x-l620r+2x-l630r-nema-outlets-network-card+smartslot-extended-runtime-w-o-rail-kit/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hyperlink" Target="https://groupsumi.fr/en/climate-control/air-conditioning/air-conditioning-ducts/daikin-sky-air-active-ducted-air-conditioner-5-7-kw-20000-btu-adeas60a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cksolutions.com/server-racks-cabinets-enclosures.html?srsltid=AfmBOoqf9s2q77SJ2xB0DIrRESnnxqS6dVARgzH-BkOredUqem8vA3-0" TargetMode="External"/><Relationship Id="rId2" Type="http://schemas.openxmlformats.org/officeDocument/2006/relationships/hyperlink" Target="https://groupsumi.fr/en/climate-control/air-conditioning/air-conditioning-ducts/daikin-sky-air-active-ducted-air-conditioner-5-7-kw-20000-btu-adeas60a" TargetMode="External"/><Relationship Id="rId1" Type="http://schemas.openxmlformats.org/officeDocument/2006/relationships/hyperlink" Target="https://www.se.com/us/en/products-runtime-graph/SRT10KXLT/apc-smartups-online-10kva-10kw-tower-208v-4x-l620r+2x-l630r-nema-outlets-network-card+smartslot-extended-runtime-w-o-rail-kit/" TargetMode="External"/><Relationship Id="rId6" Type="http://schemas.openxmlformats.org/officeDocument/2006/relationships/comments" Target="../comments4.xml"/><Relationship Id="rId5" Type="http://schemas.openxmlformats.org/officeDocument/2006/relationships/vmlDrawing" Target="../drawings/vmlDrawing4.vml"/><Relationship Id="rId4" Type="http://schemas.openxmlformats.org/officeDocument/2006/relationships/hyperlink" Target="https://groupsumi.fr/en/climate-control/air-conditioning/air-conditioning-ducts/daikin-sky-air-active-ducted-air-conditioner-5-7-kw-20000-btu-adeas60a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cksolutions.com/server-racks-cabinets-enclosures.html?srsltid=AfmBOoqf9s2q77SJ2xB0DIrRESnnxqS6dVARgzH-BkOredUqem8vA3-0" TargetMode="External"/><Relationship Id="rId2" Type="http://schemas.openxmlformats.org/officeDocument/2006/relationships/hyperlink" Target="https://groupsumi.fr/en/climate-control/air-conditioning/air-conditioning-ducts/daikin-sky-air-active-ducted-air-conditioner-5-7-kw-20000-btu-adeas60a" TargetMode="External"/><Relationship Id="rId1" Type="http://schemas.openxmlformats.org/officeDocument/2006/relationships/hyperlink" Target="https://www.se.com/us/en/products-runtime-graph/SRT10KXLT/apc-smartups-online-10kva-10kw-tower-208v-4x-l620r+2x-l630r-nema-outlets-network-card+smartslot-extended-runtime-w-o-rail-kit/" TargetMode="External"/><Relationship Id="rId6" Type="http://schemas.openxmlformats.org/officeDocument/2006/relationships/comments" Target="../comments5.xml"/><Relationship Id="rId5" Type="http://schemas.openxmlformats.org/officeDocument/2006/relationships/vmlDrawing" Target="../drawings/vmlDrawing5.vml"/><Relationship Id="rId4" Type="http://schemas.openxmlformats.org/officeDocument/2006/relationships/hyperlink" Target="https://groupsumi.fr/en/climate-control/air-conditioning/air-conditioning-ducts/daikin-sky-air-active-ducted-air-conditioner-5-7-kw-20000-btu-adeas6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>
      <pane ySplit="1" topLeftCell="A2" activePane="bottomLeft" state="frozen"/>
      <selection pane="bottomLeft" activeCell="J13" sqref="J13"/>
    </sheetView>
  </sheetViews>
  <sheetFormatPr defaultColWidth="14.44140625" defaultRowHeight="15" customHeight="1" x14ac:dyDescent="0.3"/>
  <cols>
    <col min="1" max="1" width="12.44140625" customWidth="1"/>
    <col min="2" max="2" width="15" customWidth="1"/>
    <col min="3" max="3" width="8.6640625" customWidth="1"/>
    <col min="4" max="5" width="8.33203125" customWidth="1"/>
    <col min="6" max="6" width="14" customWidth="1"/>
    <col min="7" max="7" width="10.33203125" customWidth="1"/>
    <col min="8" max="8" width="12.6640625" customWidth="1"/>
    <col min="9" max="9" width="13.6640625" customWidth="1"/>
    <col min="10" max="10" width="12.6640625" customWidth="1"/>
  </cols>
  <sheetData>
    <row r="1" spans="1:10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</row>
    <row r="2" spans="1:10" ht="14.25" customHeight="1" x14ac:dyDescent="0.3">
      <c r="A2" s="4" t="s">
        <v>10</v>
      </c>
      <c r="B2" s="4" t="s">
        <v>11</v>
      </c>
      <c r="C2" s="5">
        <v>6.5</v>
      </c>
      <c r="D2" s="5">
        <v>8.5</v>
      </c>
      <c r="E2" s="6">
        <f t="shared" ref="E2:E3" si="0">C2*D2</f>
        <v>55.25</v>
      </c>
      <c r="F2" s="6">
        <f t="shared" ref="F2:F3" si="1">ROUNDUP(E2/10,0)</f>
        <v>6</v>
      </c>
      <c r="G2" s="7">
        <v>9.4</v>
      </c>
      <c r="H2" s="8" cm="1">
        <f t="array" ref="H2">_xlfn.CEILING.MATH(_xlfn.SWITCH(J2, "A", 13.21, "B", 4.86, "C", 10.56, "D", 10.87, "E", 16.75, "F", 22, "G", 13.2, "H", 19.3, "I", 17.5, "J", 12.8, "K", 17.3, "L", 17, -1))</f>
        <v>14</v>
      </c>
      <c r="I2" s="9">
        <f t="shared" ref="I2:I3" si="2">2*F2*(G2+H2+6)</f>
        <v>352.79999999999995</v>
      </c>
      <c r="J2" s="10" t="s">
        <v>12</v>
      </c>
    </row>
    <row r="3" spans="1:10" ht="14.25" customHeight="1" x14ac:dyDescent="0.3">
      <c r="A3" s="4" t="s">
        <v>13</v>
      </c>
      <c r="B3" s="4" t="s">
        <v>11</v>
      </c>
      <c r="C3" s="5">
        <v>8.5</v>
      </c>
      <c r="D3" s="5">
        <v>6.5</v>
      </c>
      <c r="E3" s="6">
        <f t="shared" si="0"/>
        <v>55.25</v>
      </c>
      <c r="F3" s="6">
        <f t="shared" si="1"/>
        <v>6</v>
      </c>
      <c r="G3" s="7">
        <v>16.11</v>
      </c>
      <c r="H3" s="8" cm="1">
        <f t="array" ref="H3">_xlfn.CEILING.MATH(_xlfn.SWITCH(J3, "A", 13.21, "B", 4.86, "C", 10.56, "D", 10.87, "E", 16.75, "F", 22, "G", 13.2, "H", 19.3, "I", 17.5, "J", 12.8, "K", 17.3, "L", 17, -1))</f>
        <v>5</v>
      </c>
      <c r="I3" s="9">
        <f t="shared" si="2"/>
        <v>325.32</v>
      </c>
      <c r="J3" s="10" t="s">
        <v>14</v>
      </c>
    </row>
    <row r="4" spans="1:10" ht="14.25" customHeight="1" x14ac:dyDescent="0.3">
      <c r="A4" s="11" t="s">
        <v>15</v>
      </c>
      <c r="B4" s="200" t="s">
        <v>11</v>
      </c>
      <c r="C4" s="201"/>
      <c r="D4" s="201"/>
      <c r="E4" s="201"/>
      <c r="F4" s="201"/>
      <c r="G4" s="201"/>
      <c r="H4" s="201"/>
      <c r="I4" s="201"/>
      <c r="J4" s="202"/>
    </row>
    <row r="5" spans="1:10" ht="14.25" customHeight="1" x14ac:dyDescent="0.3">
      <c r="A5" s="4" t="s">
        <v>16</v>
      </c>
      <c r="B5" s="4" t="s">
        <v>11</v>
      </c>
      <c r="C5" s="5">
        <v>5.5</v>
      </c>
      <c r="D5" s="5">
        <v>8.5</v>
      </c>
      <c r="E5" s="6">
        <f t="shared" ref="E5:E9" si="3">C5*D5</f>
        <v>46.75</v>
      </c>
      <c r="F5" s="6">
        <f t="shared" ref="F5:F9" si="4">ROUNDUP(E5/10,0)</f>
        <v>5</v>
      </c>
      <c r="G5" s="7">
        <v>21.82</v>
      </c>
      <c r="H5" s="8" cm="1">
        <f t="array" ref="H5">_xlfn.CEILING.MATH(_xlfn.SWITCH(J5, "A", 13.21, "B", 4.86, "C", 10.56, "D", 10.87, "E", 16.75, "F", 22, "G", 13.2, "H", 19.3, "I", 17.5, "J", 12.8, "K", 17.3, "L", 17, -1))</f>
        <v>11</v>
      </c>
      <c r="I5" s="9">
        <f t="shared" ref="I5:I9" si="5">2*F5*(G5+H5+6)</f>
        <v>388.2</v>
      </c>
      <c r="J5" s="10" t="s">
        <v>17</v>
      </c>
    </row>
    <row r="6" spans="1:10" ht="14.25" customHeight="1" x14ac:dyDescent="0.3">
      <c r="A6" s="4" t="s">
        <v>18</v>
      </c>
      <c r="B6" s="4" t="s">
        <v>11</v>
      </c>
      <c r="C6" s="5">
        <v>5.5</v>
      </c>
      <c r="D6" s="5">
        <v>8.5</v>
      </c>
      <c r="E6" s="6">
        <f t="shared" si="3"/>
        <v>46.75</v>
      </c>
      <c r="F6" s="6">
        <f t="shared" si="4"/>
        <v>5</v>
      </c>
      <c r="G6" s="7">
        <v>27.82</v>
      </c>
      <c r="H6" s="8" cm="1">
        <f t="array" ref="H6">_xlfn.CEILING.MATH(_xlfn.SWITCH(J6, "A", 13.21, "B", 4.86, "C", 10.56, "D", 10.87, "E", 16.75, "F", 22, "G", 13.2, "H", 19.3, "I", 17.5, "J", 12.8, "K", 17.3, "L", 17, -1))</f>
        <v>11</v>
      </c>
      <c r="I6" s="9">
        <f t="shared" si="5"/>
        <v>448.2</v>
      </c>
      <c r="J6" s="10" t="s">
        <v>17</v>
      </c>
    </row>
    <row r="7" spans="1:10" ht="14.25" customHeight="1" x14ac:dyDescent="0.3">
      <c r="A7" s="4" t="s">
        <v>19</v>
      </c>
      <c r="B7" s="4" t="s">
        <v>11</v>
      </c>
      <c r="C7" s="5">
        <v>5.5</v>
      </c>
      <c r="D7" s="5">
        <v>8.5</v>
      </c>
      <c r="E7" s="6">
        <f t="shared" si="3"/>
        <v>46.75</v>
      </c>
      <c r="F7" s="6">
        <f t="shared" si="4"/>
        <v>5</v>
      </c>
      <c r="G7" s="7">
        <v>33.53</v>
      </c>
      <c r="H7" s="8" cm="1">
        <f t="array" ref="H7">_xlfn.CEILING.MATH(_xlfn.SWITCH(J7, "A", 13.21, "B", 4.86, "C", 10.56, "D", 10.87, "E", 16.75, "F", 22, "G", 13.2, "H", 19.3, "I", 17.5, "J", 12.8, "K", 17.3, "L", 17, -1))</f>
        <v>11</v>
      </c>
      <c r="I7" s="9">
        <f t="shared" si="5"/>
        <v>505.3</v>
      </c>
      <c r="J7" s="10" t="s">
        <v>17</v>
      </c>
    </row>
    <row r="8" spans="1:10" ht="14.25" customHeight="1" x14ac:dyDescent="0.3">
      <c r="A8" s="4" t="s">
        <v>20</v>
      </c>
      <c r="B8" s="4" t="s">
        <v>11</v>
      </c>
      <c r="C8" s="5">
        <v>5.5</v>
      </c>
      <c r="D8" s="5">
        <v>8.5</v>
      </c>
      <c r="E8" s="6">
        <f t="shared" si="3"/>
        <v>46.75</v>
      </c>
      <c r="F8" s="6">
        <f t="shared" si="4"/>
        <v>5</v>
      </c>
      <c r="G8" s="7">
        <v>39.53</v>
      </c>
      <c r="H8" s="8" cm="1">
        <f t="array" ref="H8">_xlfn.CEILING.MATH(_xlfn.SWITCH(J8, "A", 13.21, "B", 4.86, "C", 10.56, "D", 10.87, "E", 16.75, "F", 22, "G", 13.2, "H", 19.3, "I", 17.5, "J", 12.8, "K", 17.3, "L", 17, -1))</f>
        <v>11</v>
      </c>
      <c r="I8" s="9">
        <f t="shared" si="5"/>
        <v>565.29999999999995</v>
      </c>
      <c r="J8" s="10" t="s">
        <v>17</v>
      </c>
    </row>
    <row r="9" spans="1:10" ht="14.25" customHeight="1" x14ac:dyDescent="0.3">
      <c r="A9" s="4" t="s">
        <v>21</v>
      </c>
      <c r="B9" s="4" t="s">
        <v>11</v>
      </c>
      <c r="C9" s="5">
        <v>5.5</v>
      </c>
      <c r="D9" s="5">
        <v>8.5</v>
      </c>
      <c r="E9" s="6">
        <f t="shared" si="3"/>
        <v>46.75</v>
      </c>
      <c r="F9" s="6">
        <f t="shared" si="4"/>
        <v>5</v>
      </c>
      <c r="G9" s="7">
        <v>45.24</v>
      </c>
      <c r="H9" s="8" cm="1">
        <f t="array" ref="H9">_xlfn.CEILING.MATH(_xlfn.SWITCH(J9, "A", 13.21, "B", 4.86, "C", 10.56, "D", 10.87, "E", 16.75, "F", 22, "G", 13.2, "H", 19.3, "I", 17.5, "J", 12.8, "K", 17.3, "L", 17, -1))</f>
        <v>11</v>
      </c>
      <c r="I9" s="9">
        <f t="shared" si="5"/>
        <v>622.4</v>
      </c>
      <c r="J9" s="10" t="s">
        <v>17</v>
      </c>
    </row>
    <row r="10" spans="1:10" ht="14.25" customHeight="1" x14ac:dyDescent="0.3">
      <c r="A10" s="12" t="s">
        <v>22</v>
      </c>
      <c r="B10" s="203" t="s">
        <v>23</v>
      </c>
      <c r="C10" s="204"/>
      <c r="D10" s="204"/>
      <c r="E10" s="204"/>
      <c r="F10" s="204"/>
      <c r="G10" s="204"/>
      <c r="H10" s="204"/>
      <c r="I10" s="204"/>
      <c r="J10" s="205"/>
    </row>
    <row r="11" spans="1:10" ht="14.25" customHeight="1" x14ac:dyDescent="0.3">
      <c r="A11" s="12" t="s">
        <v>24</v>
      </c>
      <c r="B11" s="206"/>
      <c r="C11" s="207"/>
      <c r="D11" s="207"/>
      <c r="E11" s="207"/>
      <c r="F11" s="207"/>
      <c r="G11" s="207"/>
      <c r="H11" s="207"/>
      <c r="I11" s="207"/>
      <c r="J11" s="208"/>
    </row>
    <row r="12" spans="1:10" ht="14.25" customHeight="1" x14ac:dyDescent="0.3">
      <c r="A12" s="4" t="s">
        <v>25</v>
      </c>
      <c r="B12" s="4" t="s">
        <v>11</v>
      </c>
      <c r="C12" s="5">
        <v>8.5</v>
      </c>
      <c r="D12" s="5">
        <v>11.5</v>
      </c>
      <c r="E12" s="6">
        <f t="shared" ref="E12:E19" si="6">C12*D12</f>
        <v>97.75</v>
      </c>
      <c r="F12" s="6">
        <f t="shared" ref="F12:F19" si="7">ROUNDUP(E12/10,0)</f>
        <v>10</v>
      </c>
      <c r="G12" s="7">
        <v>0.5</v>
      </c>
      <c r="H12" s="8" cm="1">
        <f t="array" ref="H12">_xlfn.CEILING.MATH(_xlfn.SWITCH(J12, "A", 13.21, "B", 4.86, "C", 10.56, "D", 10.87, "E", 16.75, "F", 22, "G", 13.2, "H", 19.3, "I", 17.5, "J", 12.8, "K", 17.3, "L", 17, -1))</f>
        <v>11</v>
      </c>
      <c r="I12" s="9">
        <f t="shared" ref="I12:I19" si="8">2*F12*(G12+H12+6)</f>
        <v>350</v>
      </c>
      <c r="J12" s="10" t="s">
        <v>26</v>
      </c>
    </row>
    <row r="13" spans="1:10" ht="14.25" customHeight="1" x14ac:dyDescent="0.3">
      <c r="A13" s="4" t="s">
        <v>27</v>
      </c>
      <c r="B13" s="4" t="s">
        <v>11</v>
      </c>
      <c r="C13" s="5">
        <v>20</v>
      </c>
      <c r="D13" s="5">
        <v>16.5</v>
      </c>
      <c r="E13" s="6">
        <f t="shared" si="6"/>
        <v>330</v>
      </c>
      <c r="F13" s="6">
        <f t="shared" si="7"/>
        <v>33</v>
      </c>
      <c r="G13" s="7">
        <v>5</v>
      </c>
      <c r="H13" s="8" cm="1">
        <f t="array" ref="H13">_xlfn.CEILING.MATH(_xlfn.SWITCH(J13, "A", 13.21, "B", 4.86, "C", 10.56, "D", 10.87, "E", 16.75, "F", 22, "G", 13.2, "H", 19.3, "I", 17.5, "J", 12.8, "K", 17.3, "L", 17, -1))</f>
        <v>22</v>
      </c>
      <c r="I13" s="9">
        <f t="shared" si="8"/>
        <v>2178</v>
      </c>
      <c r="J13" s="10" t="s">
        <v>28</v>
      </c>
    </row>
    <row r="14" spans="1:10" ht="14.25" customHeight="1" x14ac:dyDescent="0.3">
      <c r="A14" s="4" t="s">
        <v>29</v>
      </c>
      <c r="B14" s="4" t="s">
        <v>11</v>
      </c>
      <c r="C14" s="5">
        <v>6.5</v>
      </c>
      <c r="D14" s="5">
        <v>11.5</v>
      </c>
      <c r="E14" s="6">
        <f t="shared" si="6"/>
        <v>74.75</v>
      </c>
      <c r="F14" s="6">
        <f t="shared" si="7"/>
        <v>8</v>
      </c>
      <c r="G14" s="7">
        <v>84.64</v>
      </c>
      <c r="H14" s="8" cm="1">
        <f t="array" ref="H14">_xlfn.CEILING.MATH(_xlfn.SWITCH(J14, "A", 13.21, "B", 4.86, "C", 10.56, "D", 10.87, "E", 16.75, "F", 22, "G", 13.2, "H", 19.3, "I", 17.5, "J", 12.8, "K", 17.3, "L", 17, -1))</f>
        <v>17</v>
      </c>
      <c r="I14" s="9">
        <f t="shared" si="8"/>
        <v>1722.24</v>
      </c>
      <c r="J14" s="10" t="s">
        <v>30</v>
      </c>
    </row>
    <row r="15" spans="1:10" ht="14.25" customHeight="1" x14ac:dyDescent="0.3">
      <c r="A15" s="4" t="s">
        <v>31</v>
      </c>
      <c r="B15" s="4" t="s">
        <v>11</v>
      </c>
      <c r="C15" s="5">
        <v>6.5</v>
      </c>
      <c r="D15" s="5">
        <v>11.5</v>
      </c>
      <c r="E15" s="6">
        <f t="shared" si="6"/>
        <v>74.75</v>
      </c>
      <c r="F15" s="6">
        <f t="shared" si="7"/>
        <v>8</v>
      </c>
      <c r="G15" s="7">
        <v>91.78</v>
      </c>
      <c r="H15" s="8" cm="1">
        <f t="array" ref="H15">_xlfn.CEILING.MATH(_xlfn.SWITCH(J15, "A", 13.21, "B", 4.86, "C", 10.56, "D", 10.87, "E", 16.75, "F", 22, "G", 13.2, "H", 19.3, "I", 17.5, "J", 12.8, "K", 17.3, "L", 17, -1))</f>
        <v>17</v>
      </c>
      <c r="I15" s="9">
        <f t="shared" si="8"/>
        <v>1836.48</v>
      </c>
      <c r="J15" s="10" t="s">
        <v>30</v>
      </c>
    </row>
    <row r="16" spans="1:10" ht="14.25" customHeight="1" x14ac:dyDescent="0.3">
      <c r="A16" s="4" t="s">
        <v>32</v>
      </c>
      <c r="B16" s="4" t="s">
        <v>11</v>
      </c>
      <c r="C16" s="5">
        <v>6.5</v>
      </c>
      <c r="D16" s="5">
        <v>11.5</v>
      </c>
      <c r="E16" s="6">
        <f t="shared" si="6"/>
        <v>74.75</v>
      </c>
      <c r="F16" s="6">
        <f t="shared" si="7"/>
        <v>8</v>
      </c>
      <c r="G16" s="7">
        <v>98.78</v>
      </c>
      <c r="H16" s="8" cm="1">
        <f t="array" ref="H16">_xlfn.CEILING.MATH(_xlfn.SWITCH(J16, "A", 13.21, "B", 4.86, "C", 10.56, "D", 10.87, "E", 16.75, "F", 22, "G", 13.2, "H", 19.3, "I", 17.5, "J", 12.8, "K", 17.3, "L", 17, -1))</f>
        <v>17</v>
      </c>
      <c r="I16" s="9">
        <f t="shared" si="8"/>
        <v>1948.48</v>
      </c>
      <c r="J16" s="10" t="s">
        <v>30</v>
      </c>
    </row>
    <row r="17" spans="1:10" ht="14.25" customHeight="1" x14ac:dyDescent="0.3">
      <c r="A17" s="4" t="s">
        <v>33</v>
      </c>
      <c r="B17" s="4" t="s">
        <v>11</v>
      </c>
      <c r="C17" s="5">
        <v>6.5</v>
      </c>
      <c r="D17" s="5">
        <v>11.5</v>
      </c>
      <c r="E17" s="6">
        <f t="shared" si="6"/>
        <v>74.75</v>
      </c>
      <c r="F17" s="6">
        <f t="shared" si="7"/>
        <v>8</v>
      </c>
      <c r="G17" s="7">
        <v>105.92</v>
      </c>
      <c r="H17" s="8" cm="1">
        <f t="array" ref="H17">_xlfn.CEILING.MATH(_xlfn.SWITCH(J17, "A", 13.21, "B", 4.86, "C", 10.56, "D", 10.87, "E", 16.75, "F", 22, "G", 13.2, "H", 19.3, "I", 17.5, "J", 12.8, "K", 17.3, "L", 17, -1))</f>
        <v>17</v>
      </c>
      <c r="I17" s="9">
        <f t="shared" si="8"/>
        <v>2062.7200000000003</v>
      </c>
      <c r="J17" s="10" t="s">
        <v>30</v>
      </c>
    </row>
    <row r="18" spans="1:10" ht="14.25" customHeight="1" x14ac:dyDescent="0.3">
      <c r="A18" s="4" t="s">
        <v>34</v>
      </c>
      <c r="B18" s="4" t="s">
        <v>11</v>
      </c>
      <c r="C18" s="5">
        <v>6.5</v>
      </c>
      <c r="D18" s="5">
        <v>11.5</v>
      </c>
      <c r="E18" s="6">
        <f t="shared" si="6"/>
        <v>74.75</v>
      </c>
      <c r="F18" s="6">
        <f t="shared" si="7"/>
        <v>8</v>
      </c>
      <c r="G18" s="7">
        <v>112.92</v>
      </c>
      <c r="H18" s="8" cm="1">
        <f t="array" ref="H18">_xlfn.CEILING.MATH(_xlfn.SWITCH(J18, "A", 13.21, "B", 4.86, "C", 10.56, "D", 10.87, "E", 16.75, "F", 22, "G", 13.2, "H", 19.3, "I", 17.5, "J", 12.8, "K", 17.3, "L", 17, -1))</f>
        <v>17</v>
      </c>
      <c r="I18" s="9">
        <f t="shared" si="8"/>
        <v>2174.7200000000003</v>
      </c>
      <c r="J18" s="10" t="s">
        <v>30</v>
      </c>
    </row>
    <row r="19" spans="1:10" ht="14.25" customHeight="1" x14ac:dyDescent="0.3">
      <c r="A19" s="4" t="s">
        <v>35</v>
      </c>
      <c r="B19" s="4" t="s">
        <v>11</v>
      </c>
      <c r="C19" s="5">
        <v>10</v>
      </c>
      <c r="D19" s="5">
        <v>20</v>
      </c>
      <c r="E19" s="6">
        <f t="shared" si="6"/>
        <v>200</v>
      </c>
      <c r="F19" s="6">
        <f t="shared" si="7"/>
        <v>20</v>
      </c>
      <c r="G19" s="7">
        <v>17.5</v>
      </c>
      <c r="H19" s="8" cm="1">
        <f t="array" ref="H19">_xlfn.CEILING.MATH(_xlfn.SWITCH(J19, "A", 13.21, "B", 4.86, "C", 10.56, "D", 10.87, "E", 16.75, "F", 22, "G", 13.2, "H", 19.3, "I", 17.5, "J", 12.8, "K", 17.3, "L", 17, -1))</f>
        <v>14</v>
      </c>
      <c r="I19" s="9">
        <f t="shared" si="8"/>
        <v>1500</v>
      </c>
      <c r="J19" s="10" t="s">
        <v>36</v>
      </c>
    </row>
    <row r="20" spans="1:10" ht="14.25" customHeight="1" x14ac:dyDescent="0.3">
      <c r="A20" s="13" t="s">
        <v>37</v>
      </c>
      <c r="B20" s="13"/>
      <c r="C20" s="13"/>
      <c r="D20" s="13"/>
      <c r="E20" s="13"/>
      <c r="F20" s="13">
        <f>SUM(F2:F19)</f>
        <v>140</v>
      </c>
      <c r="G20" s="13"/>
      <c r="H20" s="14"/>
      <c r="I20" s="13">
        <f>SUM(I2:I19)</f>
        <v>16980.16</v>
      </c>
      <c r="J20" s="15"/>
    </row>
    <row r="21" spans="1:10" ht="14.25" customHeight="1" x14ac:dyDescent="0.3">
      <c r="A21" s="13"/>
      <c r="B21" s="13"/>
      <c r="C21" s="13"/>
      <c r="D21" s="13"/>
      <c r="E21" s="13"/>
      <c r="F21" s="13"/>
      <c r="G21" s="13"/>
      <c r="H21" s="14"/>
      <c r="I21" s="13"/>
      <c r="J21" s="15"/>
    </row>
    <row r="22" spans="1:10" ht="14.25" customHeight="1" x14ac:dyDescent="0.3">
      <c r="A22" s="4" t="s">
        <v>38</v>
      </c>
      <c r="B22" s="4" t="s">
        <v>39</v>
      </c>
      <c r="C22" s="5">
        <v>6.5</v>
      </c>
      <c r="D22" s="5">
        <v>11.5</v>
      </c>
      <c r="E22" s="6">
        <f t="shared" ref="E22:E23" si="9">C22*D22</f>
        <v>74.75</v>
      </c>
      <c r="F22" s="6">
        <f t="shared" ref="F22:F23" si="10">ROUNDUP(E22/10,0)</f>
        <v>8</v>
      </c>
      <c r="G22" s="7">
        <v>32</v>
      </c>
      <c r="H22" s="16" cm="1">
        <f t="array" ref="H22">_xlfn.CEILING.MATH(_xlfn.SWITCH(J22, "A", 13.21, "B", 4.86, "C", 10.56, "D", 10.87, "E", 16.75, "F", 22, "G", 13.2, "H", 19.3, "I", 17.5, "J", 12.8, "K", 17.3, "L", 17, -1))</f>
        <v>17</v>
      </c>
      <c r="I22" s="9">
        <f t="shared" ref="I22:I23" si="11">2*F22*(G22+H22+6)</f>
        <v>880</v>
      </c>
      <c r="J22" s="10" t="s">
        <v>30</v>
      </c>
    </row>
    <row r="23" spans="1:10" ht="14.25" customHeight="1" x14ac:dyDescent="0.3">
      <c r="A23" s="4" t="s">
        <v>40</v>
      </c>
      <c r="B23" s="4" t="s">
        <v>39</v>
      </c>
      <c r="C23" s="5">
        <v>6.5</v>
      </c>
      <c r="D23" s="5">
        <v>11.5</v>
      </c>
      <c r="E23" s="6">
        <f t="shared" si="9"/>
        <v>74.75</v>
      </c>
      <c r="F23" s="6">
        <f t="shared" si="10"/>
        <v>8</v>
      </c>
      <c r="G23" s="7">
        <v>27</v>
      </c>
      <c r="H23" s="16" cm="1">
        <f t="array" ref="H23">_xlfn.CEILING.MATH(_xlfn.SWITCH(J23, "A", 13.21, "B", 4.86, "C", 10.56, "D", 10.87, "E", 16.75, "F", 22, "G", 13.2, "H", 19.3, "I", 17.5, "J", 12.8, "K", 17.3, "L", 17, -1))</f>
        <v>17</v>
      </c>
      <c r="I23" s="9">
        <f t="shared" si="11"/>
        <v>800</v>
      </c>
      <c r="J23" s="10" t="s">
        <v>30</v>
      </c>
    </row>
    <row r="24" spans="1:10" ht="14.25" customHeight="1" x14ac:dyDescent="0.3">
      <c r="A24" s="12" t="s">
        <v>41</v>
      </c>
      <c r="B24" s="203" t="s">
        <v>23</v>
      </c>
      <c r="C24" s="204"/>
      <c r="D24" s="204"/>
      <c r="E24" s="204"/>
      <c r="F24" s="204"/>
      <c r="G24" s="204"/>
      <c r="H24" s="204"/>
      <c r="I24" s="204"/>
      <c r="J24" s="205"/>
    </row>
    <row r="25" spans="1:10" ht="14.25" customHeight="1" x14ac:dyDescent="0.3">
      <c r="A25" s="12" t="s">
        <v>42</v>
      </c>
      <c r="B25" s="206"/>
      <c r="C25" s="207"/>
      <c r="D25" s="207"/>
      <c r="E25" s="207"/>
      <c r="F25" s="207"/>
      <c r="G25" s="207"/>
      <c r="H25" s="207"/>
      <c r="I25" s="207"/>
      <c r="J25" s="208"/>
    </row>
    <row r="26" spans="1:10" ht="14.25" customHeight="1" x14ac:dyDescent="0.3">
      <c r="A26" s="4" t="s">
        <v>43</v>
      </c>
      <c r="B26" s="4" t="s">
        <v>39</v>
      </c>
      <c r="C26" s="5">
        <v>10</v>
      </c>
      <c r="D26" s="5">
        <v>20</v>
      </c>
      <c r="E26" s="6">
        <f t="shared" ref="E26:E30" si="12">C26*D26</f>
        <v>200</v>
      </c>
      <c r="F26" s="6">
        <f t="shared" ref="F26:F30" si="13">ROUNDUP(E26/10,0)</f>
        <v>20</v>
      </c>
      <c r="G26" s="7">
        <v>0.5</v>
      </c>
      <c r="H26" s="16" cm="1">
        <f t="array" ref="H26">_xlfn.CEILING.MATH(_xlfn.SWITCH(J26, "A", 13.21, "B", 4.86, "C", 10.56, "D", 10.87, "E", 16.75, "F", 22, "G", 13.2, "H", 19.3, "I", 17.5, "J", 12.8, "K", 17.3, "L", 17, -1))</f>
        <v>14</v>
      </c>
      <c r="I26" s="9">
        <f t="shared" ref="I26:I30" si="14">2*F26*(G26+H26+6)</f>
        <v>820</v>
      </c>
      <c r="J26" s="10" t="s">
        <v>36</v>
      </c>
    </row>
    <row r="27" spans="1:10" ht="14.25" customHeight="1" x14ac:dyDescent="0.3">
      <c r="A27" s="4" t="s">
        <v>44</v>
      </c>
      <c r="B27" s="4" t="s">
        <v>39</v>
      </c>
      <c r="C27" s="7">
        <v>9</v>
      </c>
      <c r="D27" s="7">
        <v>10</v>
      </c>
      <c r="E27" s="6">
        <f t="shared" si="12"/>
        <v>90</v>
      </c>
      <c r="F27" s="6">
        <f t="shared" si="13"/>
        <v>9</v>
      </c>
      <c r="G27" s="7">
        <v>45</v>
      </c>
      <c r="H27" s="16" cm="1">
        <f t="array" ref="H27">_xlfn.CEILING.MATH(_xlfn.SWITCH(J27, "A", 13.21, "B", 4.86, "C", 10.56, "D", 10.87, "E", 16.75, "F", 22, "G", 13.2, "H", 19.3, "I", 17.5, "J", 12.8, "K", 17.3, "L", 17, -1))</f>
        <v>20</v>
      </c>
      <c r="I27" s="9">
        <f t="shared" si="14"/>
        <v>1278</v>
      </c>
      <c r="J27" s="10" t="s">
        <v>45</v>
      </c>
    </row>
    <row r="28" spans="1:10" ht="14.25" customHeight="1" x14ac:dyDescent="0.3">
      <c r="A28" s="4" t="s">
        <v>46</v>
      </c>
      <c r="B28" s="4" t="s">
        <v>39</v>
      </c>
      <c r="C28" s="7">
        <v>9</v>
      </c>
      <c r="D28" s="7">
        <v>10</v>
      </c>
      <c r="E28" s="6">
        <f t="shared" si="12"/>
        <v>90</v>
      </c>
      <c r="F28" s="6">
        <f t="shared" si="13"/>
        <v>9</v>
      </c>
      <c r="G28" s="7">
        <v>40</v>
      </c>
      <c r="H28" s="16" cm="1">
        <f t="array" ref="H28">_xlfn.CEILING.MATH(_xlfn.SWITCH(J28, "A", 13.21, "B", 4.86, "C", 10.56, "D", 10.87, "E", 16.75, "F", 22, "G", 13.2, "H", 19.3, "I", 17.5, "J", 12.8, "K", 17.3, "L", 17, -1))</f>
        <v>20</v>
      </c>
      <c r="I28" s="9">
        <f t="shared" si="14"/>
        <v>1188</v>
      </c>
      <c r="J28" s="10" t="s">
        <v>45</v>
      </c>
    </row>
    <row r="29" spans="1:10" ht="14.25" customHeight="1" x14ac:dyDescent="0.3">
      <c r="A29" s="4" t="s">
        <v>47</v>
      </c>
      <c r="B29" s="4" t="s">
        <v>39</v>
      </c>
      <c r="C29" s="7">
        <v>6.5</v>
      </c>
      <c r="D29" s="7">
        <v>9</v>
      </c>
      <c r="E29" s="6">
        <f t="shared" si="12"/>
        <v>58.5</v>
      </c>
      <c r="F29" s="6">
        <f t="shared" si="13"/>
        <v>6</v>
      </c>
      <c r="G29" s="7">
        <v>12.54</v>
      </c>
      <c r="H29" s="16" cm="1">
        <f t="array" ref="H29">_xlfn.CEILING.MATH(_xlfn.SWITCH(J29, "A", 13.21, "B", 4.86, "C", 10.56, "D", 10.87, "E", 16.75, "F", 22, "G", 13.2, "H", 19.3, "I", 17.5, "J", 12.8, "K", 17.3, "L", 17, -1))</f>
        <v>18</v>
      </c>
      <c r="I29" s="9">
        <f t="shared" si="14"/>
        <v>438.48</v>
      </c>
      <c r="J29" s="10" t="s">
        <v>48</v>
      </c>
    </row>
    <row r="30" spans="1:10" ht="14.25" customHeight="1" x14ac:dyDescent="0.3">
      <c r="A30" s="4" t="s">
        <v>49</v>
      </c>
      <c r="B30" s="4" t="s">
        <v>39</v>
      </c>
      <c r="C30" s="7">
        <v>6.5</v>
      </c>
      <c r="D30" s="7">
        <v>9</v>
      </c>
      <c r="E30" s="6">
        <f t="shared" si="12"/>
        <v>58.5</v>
      </c>
      <c r="F30" s="6">
        <f t="shared" si="13"/>
        <v>6</v>
      </c>
      <c r="G30" s="7">
        <v>21.88</v>
      </c>
      <c r="H30" s="16" cm="1">
        <f t="array" ref="H30">_xlfn.CEILING.MATH(_xlfn.SWITCH(J30, "A", 13.21, "B", 4.86, "C", 10.56, "D", 10.87, "E", 16.75, "F", 22, "G", 13.2, "H", 19.3, "I", 17.5, "J", 12.8, "K", 17.3, "L", 17, -1))</f>
        <v>18</v>
      </c>
      <c r="I30" s="9">
        <f t="shared" si="14"/>
        <v>550.55999999999995</v>
      </c>
      <c r="J30" s="10" t="s">
        <v>48</v>
      </c>
    </row>
    <row r="31" spans="1:10" ht="14.25" customHeight="1" x14ac:dyDescent="0.3">
      <c r="A31" s="11" t="s">
        <v>50</v>
      </c>
      <c r="B31" s="200" t="s">
        <v>39</v>
      </c>
      <c r="C31" s="201"/>
      <c r="D31" s="201"/>
      <c r="E31" s="201"/>
      <c r="F31" s="201"/>
      <c r="G31" s="201"/>
      <c r="H31" s="201"/>
      <c r="I31" s="201"/>
      <c r="J31" s="202"/>
    </row>
    <row r="32" spans="1:10" ht="14.25" customHeight="1" x14ac:dyDescent="0.3">
      <c r="A32" s="4" t="s">
        <v>51</v>
      </c>
      <c r="B32" s="4" t="s">
        <v>39</v>
      </c>
      <c r="C32" s="7">
        <v>4.5</v>
      </c>
      <c r="D32" s="7">
        <v>9.5</v>
      </c>
      <c r="E32" s="6">
        <f t="shared" ref="E32:E36" si="15">C32*D32</f>
        <v>42.75</v>
      </c>
      <c r="F32" s="6">
        <f t="shared" ref="F32:F36" si="16">ROUNDUP(E32/10,0)</f>
        <v>5</v>
      </c>
      <c r="G32" s="7">
        <v>11.5</v>
      </c>
      <c r="H32" s="8" cm="1">
        <f t="array" ref="H32">_xlfn.CEILING.MATH(_xlfn.SWITCH(J32, "A", 13.21, "B", 4.86, "C", 10.56, "D", 10.87, "E", 16.75, "F", 22, "G", 13.2, "H", 19.3, "I", 17.5, "J", 12.8, "K", 17.3, "L", 17, -1))</f>
        <v>13</v>
      </c>
      <c r="I32" s="9">
        <f t="shared" ref="I32:I36" si="17">2*F32*(G32+H32+6)</f>
        <v>305</v>
      </c>
      <c r="J32" s="10" t="s">
        <v>52</v>
      </c>
    </row>
    <row r="33" spans="1:10" ht="14.25" customHeight="1" x14ac:dyDescent="0.3">
      <c r="A33" s="4" t="s">
        <v>53</v>
      </c>
      <c r="B33" s="4" t="s">
        <v>39</v>
      </c>
      <c r="C33" s="7">
        <v>4.5</v>
      </c>
      <c r="D33" s="7">
        <v>9.5</v>
      </c>
      <c r="E33" s="6">
        <f t="shared" si="15"/>
        <v>42.75</v>
      </c>
      <c r="F33" s="6">
        <f t="shared" si="16"/>
        <v>5</v>
      </c>
      <c r="G33" s="7">
        <v>17</v>
      </c>
      <c r="H33" s="8" cm="1">
        <f t="array" ref="H33">_xlfn.CEILING.MATH(_xlfn.SWITCH(J33, "A", 13.21, "B", 4.86, "C", 10.56, "D", 10.87, "E", 16.75, "F", 22, "G", 13.2, "H", 19.3, "I", 17.5, "J", 12.8, "K", 17.3, "L", 17, -1))</f>
        <v>13</v>
      </c>
      <c r="I33" s="9">
        <f t="shared" si="17"/>
        <v>360</v>
      </c>
      <c r="J33" s="10" t="s">
        <v>52</v>
      </c>
    </row>
    <row r="34" spans="1:10" ht="14.25" customHeight="1" x14ac:dyDescent="0.3">
      <c r="A34" s="4" t="s">
        <v>54</v>
      </c>
      <c r="B34" s="4" t="s">
        <v>39</v>
      </c>
      <c r="C34" s="7">
        <v>4.5</v>
      </c>
      <c r="D34" s="7">
        <v>9.5</v>
      </c>
      <c r="E34" s="6">
        <f t="shared" si="15"/>
        <v>42.75</v>
      </c>
      <c r="F34" s="6">
        <f t="shared" si="16"/>
        <v>5</v>
      </c>
      <c r="G34" s="7">
        <v>22.5</v>
      </c>
      <c r="H34" s="8" cm="1">
        <f t="array" ref="H34">_xlfn.CEILING.MATH(_xlfn.SWITCH(J34, "A", 13.21, "B", 4.86, "C", 10.56, "D", 10.87, "E", 16.75, "F", 22, "G", 13.2, "H", 19.3, "I", 17.5, "J", 12.8, "K", 17.3, "L", 17, -1))</f>
        <v>13</v>
      </c>
      <c r="I34" s="9">
        <f t="shared" si="17"/>
        <v>415</v>
      </c>
      <c r="J34" s="10" t="s">
        <v>52</v>
      </c>
    </row>
    <row r="35" spans="1:10" ht="14.25" customHeight="1" x14ac:dyDescent="0.3">
      <c r="A35" s="4" t="s">
        <v>55</v>
      </c>
      <c r="B35" s="4" t="s">
        <v>39</v>
      </c>
      <c r="C35" s="7">
        <v>4.5</v>
      </c>
      <c r="D35" s="7">
        <v>9.5</v>
      </c>
      <c r="E35" s="6">
        <f t="shared" si="15"/>
        <v>42.75</v>
      </c>
      <c r="F35" s="6">
        <f t="shared" si="16"/>
        <v>5</v>
      </c>
      <c r="G35" s="7">
        <v>28</v>
      </c>
      <c r="H35" s="8" cm="1">
        <f t="array" ref="H35">_xlfn.CEILING.MATH(_xlfn.SWITCH(J35, "A", 13.21, "B", 4.86, "C", 10.56, "D", 10.87, "E", 16.75, "F", 22, "G", 13.2, "H", 19.3, "I", 17.5, "J", 12.8, "K", 17.3, "L", 17, -1))</f>
        <v>13</v>
      </c>
      <c r="I35" s="9">
        <f t="shared" si="17"/>
        <v>470</v>
      </c>
      <c r="J35" s="10" t="s">
        <v>52</v>
      </c>
    </row>
    <row r="36" spans="1:10" ht="14.25" customHeight="1" x14ac:dyDescent="0.3">
      <c r="A36" s="4" t="s">
        <v>56</v>
      </c>
      <c r="B36" s="4" t="s">
        <v>39</v>
      </c>
      <c r="C36" s="7">
        <v>4.5</v>
      </c>
      <c r="D36" s="7">
        <v>9.5</v>
      </c>
      <c r="E36" s="6">
        <f t="shared" si="15"/>
        <v>42.75</v>
      </c>
      <c r="F36" s="6">
        <f t="shared" si="16"/>
        <v>5</v>
      </c>
      <c r="G36" s="7">
        <v>33.5</v>
      </c>
      <c r="H36" s="8" cm="1">
        <f t="array" ref="H36">_xlfn.CEILING.MATH(_xlfn.SWITCH(J36, "A", 13.21, "B", 4.86, "C", 10.56, "D", 10.87, "E", 16.75, "F", 22, "G", 13.2, "H", 19.3, "I", 17.5, "J", 12.8, "K", 17.3, "L", 17, -1))</f>
        <v>13</v>
      </c>
      <c r="I36" s="9">
        <f t="shared" si="17"/>
        <v>525</v>
      </c>
      <c r="J36" s="10" t="s">
        <v>52</v>
      </c>
    </row>
    <row r="37" spans="1:10" ht="14.25" customHeight="1" x14ac:dyDescent="0.3">
      <c r="A37" s="12" t="s">
        <v>57</v>
      </c>
      <c r="B37" s="209" t="s">
        <v>23</v>
      </c>
      <c r="C37" s="204"/>
      <c r="D37" s="204"/>
      <c r="E37" s="204"/>
      <c r="F37" s="204"/>
      <c r="G37" s="204"/>
      <c r="H37" s="204"/>
      <c r="I37" s="204"/>
      <c r="J37" s="205"/>
    </row>
    <row r="38" spans="1:10" ht="14.25" customHeight="1" x14ac:dyDescent="0.3">
      <c r="A38" s="12" t="s">
        <v>58</v>
      </c>
      <c r="B38" s="206"/>
      <c r="C38" s="207"/>
      <c r="D38" s="207"/>
      <c r="E38" s="207"/>
      <c r="F38" s="207"/>
      <c r="G38" s="207"/>
      <c r="H38" s="207"/>
      <c r="I38" s="207"/>
      <c r="J38" s="208"/>
    </row>
    <row r="39" spans="1:10" ht="14.25" customHeight="1" x14ac:dyDescent="0.3">
      <c r="A39" s="4" t="s">
        <v>59</v>
      </c>
      <c r="B39" s="4" t="s">
        <v>39</v>
      </c>
      <c r="C39" s="7">
        <v>5.5</v>
      </c>
      <c r="D39" s="7">
        <v>12.5</v>
      </c>
      <c r="E39" s="6">
        <f t="shared" ref="E39:E44" si="18">C39*D39</f>
        <v>68.75</v>
      </c>
      <c r="F39" s="6">
        <f t="shared" ref="F39:F44" si="19">ROUNDUP(E39/10,0)</f>
        <v>7</v>
      </c>
      <c r="G39" s="7">
        <v>10.5</v>
      </c>
      <c r="H39" s="8" cm="1">
        <f t="array" ref="H39">_xlfn.CEILING.MATH(_xlfn.SWITCH(J39, "A", 13.21, "B", 4.86, "C", 10.56, "D", 10.87, "E", 16.75, "F", 22, "G", 13.2, "H", 19.3, "I", 17.5, "J", 12.8, "K", 17.3, "L", 17, -1))</f>
        <v>18</v>
      </c>
      <c r="I39" s="9">
        <f t="shared" ref="I39:I44" si="20">2*F39*(G39+H39+6)</f>
        <v>483</v>
      </c>
      <c r="J39" s="10" t="s">
        <v>60</v>
      </c>
    </row>
    <row r="40" spans="1:10" ht="14.25" customHeight="1" x14ac:dyDescent="0.3">
      <c r="A40" s="4" t="s">
        <v>61</v>
      </c>
      <c r="B40" s="4" t="s">
        <v>39</v>
      </c>
      <c r="C40" s="7">
        <v>5.5</v>
      </c>
      <c r="D40" s="7">
        <v>12.5</v>
      </c>
      <c r="E40" s="6">
        <f t="shared" si="18"/>
        <v>68.75</v>
      </c>
      <c r="F40" s="6">
        <f t="shared" si="19"/>
        <v>7</v>
      </c>
      <c r="G40" s="7">
        <v>17.5</v>
      </c>
      <c r="H40" s="8" cm="1">
        <f t="array" ref="H40">_xlfn.CEILING.MATH(_xlfn.SWITCH(J40, "A", 13.21, "B", 4.86, "C", 10.56, "D", 10.87, "E", 16.75, "F", 22, "G", 13.2, "H", 19.3, "I", 17.5, "J", 12.8, "K", 17.3, "L", 17, -1))</f>
        <v>18</v>
      </c>
      <c r="I40" s="9">
        <f t="shared" si="20"/>
        <v>581</v>
      </c>
      <c r="J40" s="10" t="s">
        <v>60</v>
      </c>
    </row>
    <row r="41" spans="1:10" ht="14.25" customHeight="1" x14ac:dyDescent="0.3">
      <c r="A41" s="4" t="s">
        <v>62</v>
      </c>
      <c r="B41" s="4" t="s">
        <v>39</v>
      </c>
      <c r="C41" s="7">
        <v>5.5</v>
      </c>
      <c r="D41" s="7">
        <v>12.5</v>
      </c>
      <c r="E41" s="6">
        <f t="shared" si="18"/>
        <v>68.75</v>
      </c>
      <c r="F41" s="6">
        <f t="shared" si="19"/>
        <v>7</v>
      </c>
      <c r="G41" s="7">
        <v>23.5</v>
      </c>
      <c r="H41" s="8" cm="1">
        <f t="array" ref="H41">_xlfn.CEILING.MATH(_xlfn.SWITCH(J41, "A", 13.21, "B", 4.86, "C", 10.56, "D", 10.87, "E", 16.75, "F", 22, "G", 13.2, "H", 19.3, "I", 17.5, "J", 12.8, "K", 17.3, "L", 17, -1))</f>
        <v>18</v>
      </c>
      <c r="I41" s="9">
        <f t="shared" si="20"/>
        <v>665</v>
      </c>
      <c r="J41" s="10" t="s">
        <v>60</v>
      </c>
    </row>
    <row r="42" spans="1:10" ht="14.25" customHeight="1" x14ac:dyDescent="0.3">
      <c r="A42" s="4" t="s">
        <v>63</v>
      </c>
      <c r="B42" s="4" t="s">
        <v>39</v>
      </c>
      <c r="C42" s="7">
        <v>5.5</v>
      </c>
      <c r="D42" s="7">
        <v>12.5</v>
      </c>
      <c r="E42" s="6">
        <f t="shared" si="18"/>
        <v>68.75</v>
      </c>
      <c r="F42" s="6">
        <f t="shared" si="19"/>
        <v>7</v>
      </c>
      <c r="G42" s="7">
        <v>29.5</v>
      </c>
      <c r="H42" s="8" cm="1">
        <f t="array" ref="H42">_xlfn.CEILING.MATH(_xlfn.SWITCH(J42, "A", 13.21, "B", 4.86, "C", 10.56, "D", 10.87, "E", 16.75, "F", 22, "G", 13.2, "H", 19.3, "I", 17.5, "J", 12.8, "K", 17.3, "L", 17, -1))</f>
        <v>18</v>
      </c>
      <c r="I42" s="9">
        <f t="shared" si="20"/>
        <v>749</v>
      </c>
      <c r="J42" s="10" t="s">
        <v>60</v>
      </c>
    </row>
    <row r="43" spans="1:10" ht="14.25" customHeight="1" x14ac:dyDescent="0.3">
      <c r="A43" s="4" t="s">
        <v>64</v>
      </c>
      <c r="B43" s="4" t="s">
        <v>39</v>
      </c>
      <c r="C43" s="7">
        <v>5.5</v>
      </c>
      <c r="D43" s="7">
        <v>12.5</v>
      </c>
      <c r="E43" s="6">
        <f t="shared" si="18"/>
        <v>68.75</v>
      </c>
      <c r="F43" s="6">
        <f t="shared" si="19"/>
        <v>7</v>
      </c>
      <c r="G43" s="7">
        <v>35.5</v>
      </c>
      <c r="H43" s="8" cm="1">
        <f t="array" ref="H43">_xlfn.CEILING.MATH(_xlfn.SWITCH(J43, "A", 13.21, "B", 4.86, "C", 10.56, "D", 10.87, "E", 16.75, "F", 22, "G", 13.2, "H", 19.3, "I", 17.5, "J", 12.8, "K", 17.3, "L", 17, -1))</f>
        <v>18</v>
      </c>
      <c r="I43" s="9">
        <f t="shared" si="20"/>
        <v>833</v>
      </c>
      <c r="J43" s="10" t="s">
        <v>60</v>
      </c>
    </row>
    <row r="44" spans="1:10" ht="14.25" customHeight="1" x14ac:dyDescent="0.3">
      <c r="A44" s="4" t="s">
        <v>65</v>
      </c>
      <c r="B44" s="4" t="s">
        <v>39</v>
      </c>
      <c r="C44" s="7">
        <v>5.5</v>
      </c>
      <c r="D44" s="7">
        <v>12.5</v>
      </c>
      <c r="E44" s="6">
        <f t="shared" si="18"/>
        <v>68.75</v>
      </c>
      <c r="F44" s="6">
        <f t="shared" si="19"/>
        <v>7</v>
      </c>
      <c r="G44" s="7">
        <v>41.5</v>
      </c>
      <c r="H44" s="8" cm="1">
        <f t="array" ref="H44">_xlfn.CEILING.MATH(_xlfn.SWITCH(J44, "A", 13.21, "B", 4.86, "C", 10.56, "D", 10.87, "E", 16.75, "F", 22, "G", 13.2, "H", 19.3, "I", 17.5, "J", 12.8, "K", 17.3, "L", 17, -1))</f>
        <v>18</v>
      </c>
      <c r="I44" s="9">
        <f t="shared" si="20"/>
        <v>917</v>
      </c>
      <c r="J44" s="10" t="s">
        <v>60</v>
      </c>
    </row>
    <row r="45" spans="1:10" ht="14.25" customHeight="1" x14ac:dyDescent="0.3">
      <c r="A45" s="13" t="s">
        <v>66</v>
      </c>
      <c r="B45" s="13"/>
      <c r="C45" s="13"/>
      <c r="D45" s="13"/>
      <c r="E45" s="13"/>
      <c r="F45" s="13">
        <f>SUM(F22:F44)</f>
        <v>133</v>
      </c>
      <c r="G45" s="13"/>
      <c r="H45" s="14"/>
      <c r="I45" s="13">
        <f>SUM(I22:I44)</f>
        <v>12258.039999999999</v>
      </c>
      <c r="J45" s="15"/>
    </row>
    <row r="46" spans="1:10" ht="14.25" customHeight="1" x14ac:dyDescent="0.3">
      <c r="A46" s="13"/>
      <c r="B46" s="13"/>
      <c r="C46" s="13"/>
      <c r="D46" s="13"/>
      <c r="E46" s="13"/>
      <c r="F46" s="13"/>
      <c r="G46" s="13"/>
      <c r="H46" s="14"/>
      <c r="I46" s="13"/>
      <c r="J46" s="15"/>
    </row>
    <row r="47" spans="1:10" ht="14.25" customHeight="1" x14ac:dyDescent="0.3">
      <c r="A47" s="4" t="s">
        <v>67</v>
      </c>
      <c r="B47" s="7" t="s">
        <v>68</v>
      </c>
      <c r="C47" s="5">
        <v>6.5</v>
      </c>
      <c r="D47" s="5">
        <v>8.5</v>
      </c>
      <c r="E47" s="6">
        <f t="shared" ref="E47:E48" si="21">C47*D47</f>
        <v>55.25</v>
      </c>
      <c r="F47" s="6">
        <f t="shared" ref="F47:F48" si="22">ROUNDUP(E47/10,0)</f>
        <v>6</v>
      </c>
      <c r="G47" s="7">
        <v>9.4</v>
      </c>
      <c r="H47" s="16" cm="1">
        <f t="array" ref="H47">_xlfn.CEILING.MATH(_xlfn.SWITCH(J47, "A", 13.21, "B", 4.86, "C", 10.56, "D", 10.87, "E", 16.75, "F", 22, "G", 13.2, "H", 19.3, "I", 17.5, "J", 12.8, "K", 17.3, "L", 17, -1))</f>
        <v>14</v>
      </c>
      <c r="I47" s="9">
        <f t="shared" ref="I47:I48" si="23">2*F47*(G47+H47+6)</f>
        <v>352.79999999999995</v>
      </c>
      <c r="J47" s="10" t="s">
        <v>12</v>
      </c>
    </row>
    <row r="48" spans="1:10" ht="14.25" customHeight="1" x14ac:dyDescent="0.3">
      <c r="A48" s="4" t="s">
        <v>69</v>
      </c>
      <c r="B48" s="7" t="s">
        <v>68</v>
      </c>
      <c r="C48" s="5">
        <v>8.5</v>
      </c>
      <c r="D48" s="5">
        <v>6.5</v>
      </c>
      <c r="E48" s="6">
        <f t="shared" si="21"/>
        <v>55.25</v>
      </c>
      <c r="F48" s="6">
        <f t="shared" si="22"/>
        <v>6</v>
      </c>
      <c r="G48" s="7">
        <v>16.11</v>
      </c>
      <c r="H48" s="16" cm="1">
        <f t="array" ref="H48">_xlfn.CEILING.MATH(_xlfn.SWITCH(J48, "A", 13.21, "B", 4.86, "C", 10.56, "D", 10.87, "E", 16.75, "F", 22, "G", 13.2, "H", 19.3, "I", 17.5, "J", 12.8, "K", 17.3, "L", 17, -1))</f>
        <v>5</v>
      </c>
      <c r="I48" s="9">
        <f t="shared" si="23"/>
        <v>325.32</v>
      </c>
      <c r="J48" s="10" t="s">
        <v>14</v>
      </c>
    </row>
    <row r="49" spans="1:10" ht="14.25" customHeight="1" x14ac:dyDescent="0.3">
      <c r="A49" s="11" t="s">
        <v>70</v>
      </c>
      <c r="B49" s="210" t="s">
        <v>68</v>
      </c>
      <c r="C49" s="201"/>
      <c r="D49" s="201"/>
      <c r="E49" s="201"/>
      <c r="F49" s="201"/>
      <c r="G49" s="201"/>
      <c r="H49" s="201"/>
      <c r="I49" s="201"/>
      <c r="J49" s="202"/>
    </row>
    <row r="50" spans="1:10" ht="14.25" customHeight="1" x14ac:dyDescent="0.3">
      <c r="A50" s="4" t="s">
        <v>71</v>
      </c>
      <c r="B50" s="7" t="s">
        <v>68</v>
      </c>
      <c r="C50" s="5">
        <v>5.5</v>
      </c>
      <c r="D50" s="5">
        <v>8.5</v>
      </c>
      <c r="E50" s="6">
        <f t="shared" ref="E50:E54" si="24">C50*D50</f>
        <v>46.75</v>
      </c>
      <c r="F50" s="6">
        <f t="shared" ref="F50:F54" si="25">ROUNDUP(E50/10,0)</f>
        <v>5</v>
      </c>
      <c r="G50" s="7">
        <v>21.82</v>
      </c>
      <c r="H50" s="16" cm="1">
        <f t="array" ref="H50">_xlfn.CEILING.MATH(_xlfn.SWITCH(J50, "A", 13.21, "B", 4.86, "C", 10.56, "D", 10.87, "E", 16.75, "F", 22, "G", 13.2, "H", 19.3, "I", 17.5, "J", 12.8, "K", 17.3, "L", 17, -1))</f>
        <v>11</v>
      </c>
      <c r="I50" s="9">
        <f t="shared" ref="I50:I54" si="26">2*F50*(G50+H50+6)</f>
        <v>388.2</v>
      </c>
      <c r="J50" s="10" t="s">
        <v>17</v>
      </c>
    </row>
    <row r="51" spans="1:10" ht="14.25" customHeight="1" x14ac:dyDescent="0.3">
      <c r="A51" s="4" t="s">
        <v>72</v>
      </c>
      <c r="B51" s="7" t="s">
        <v>68</v>
      </c>
      <c r="C51" s="5">
        <v>5.5</v>
      </c>
      <c r="D51" s="5">
        <v>8.5</v>
      </c>
      <c r="E51" s="6">
        <f t="shared" si="24"/>
        <v>46.75</v>
      </c>
      <c r="F51" s="6">
        <f t="shared" si="25"/>
        <v>5</v>
      </c>
      <c r="G51" s="7">
        <v>27.82</v>
      </c>
      <c r="H51" s="16" cm="1">
        <f t="array" ref="H51">_xlfn.CEILING.MATH(_xlfn.SWITCH(J51, "A", 13.21, "B", 4.86, "C", 10.56, "D", 10.87, "E", 16.75, "F", 22, "G", 13.2, "H", 19.3, "I", 17.5, "J", 12.8, "K", 17.3, "L", 17, -1))</f>
        <v>11</v>
      </c>
      <c r="I51" s="9">
        <f t="shared" si="26"/>
        <v>448.2</v>
      </c>
      <c r="J51" s="10" t="s">
        <v>17</v>
      </c>
    </row>
    <row r="52" spans="1:10" ht="14.25" customHeight="1" x14ac:dyDescent="0.3">
      <c r="A52" s="4" t="s">
        <v>73</v>
      </c>
      <c r="B52" s="7" t="s">
        <v>68</v>
      </c>
      <c r="C52" s="5">
        <v>5.5</v>
      </c>
      <c r="D52" s="5">
        <v>8.5</v>
      </c>
      <c r="E52" s="6">
        <f t="shared" si="24"/>
        <v>46.75</v>
      </c>
      <c r="F52" s="6">
        <f t="shared" si="25"/>
        <v>5</v>
      </c>
      <c r="G52" s="7">
        <v>33.53</v>
      </c>
      <c r="H52" s="16" cm="1">
        <f t="array" ref="H52">_xlfn.CEILING.MATH(_xlfn.SWITCH(J52, "A", 13.21, "B", 4.86, "C", 10.56, "D", 10.87, "E", 16.75, "F", 22, "G", 13.2, "H", 19.3, "I", 17.5, "J", 12.8, "K", 17.3, "L", 17, -1))</f>
        <v>11</v>
      </c>
      <c r="I52" s="9">
        <f t="shared" si="26"/>
        <v>505.3</v>
      </c>
      <c r="J52" s="10" t="s">
        <v>17</v>
      </c>
    </row>
    <row r="53" spans="1:10" ht="14.25" customHeight="1" x14ac:dyDescent="0.3">
      <c r="A53" s="4" t="s">
        <v>74</v>
      </c>
      <c r="B53" s="7" t="s">
        <v>68</v>
      </c>
      <c r="C53" s="5">
        <v>5.5</v>
      </c>
      <c r="D53" s="5">
        <v>8.5</v>
      </c>
      <c r="E53" s="6">
        <f t="shared" si="24"/>
        <v>46.75</v>
      </c>
      <c r="F53" s="6">
        <f t="shared" si="25"/>
        <v>5</v>
      </c>
      <c r="G53" s="7">
        <v>39.53</v>
      </c>
      <c r="H53" s="16" cm="1">
        <f t="array" ref="H53">_xlfn.CEILING.MATH(_xlfn.SWITCH(J53, "A", 13.21, "B", 4.86, "C", 10.56, "D", 10.87, "E", 16.75, "F", 22, "G", 13.2, "H", 19.3, "I", 17.5, "J", 12.8, "K", 17.3, "L", 17, -1))</f>
        <v>11</v>
      </c>
      <c r="I53" s="9">
        <f t="shared" si="26"/>
        <v>565.29999999999995</v>
      </c>
      <c r="J53" s="10" t="s">
        <v>17</v>
      </c>
    </row>
    <row r="54" spans="1:10" ht="14.25" customHeight="1" x14ac:dyDescent="0.3">
      <c r="A54" s="4" t="s">
        <v>75</v>
      </c>
      <c r="B54" s="7" t="s">
        <v>68</v>
      </c>
      <c r="C54" s="5">
        <v>5.5</v>
      </c>
      <c r="D54" s="5">
        <v>8.5</v>
      </c>
      <c r="E54" s="6">
        <f t="shared" si="24"/>
        <v>46.75</v>
      </c>
      <c r="F54" s="6">
        <f t="shared" si="25"/>
        <v>5</v>
      </c>
      <c r="G54" s="7">
        <v>45.24</v>
      </c>
      <c r="H54" s="16" cm="1">
        <f t="array" ref="H54">_xlfn.CEILING.MATH(_xlfn.SWITCH(J54, "A", 13.21, "B", 4.86, "C", 10.56, "D", 10.87, "E", 16.75, "F", 22, "G", 13.2, "H", 19.3, "I", 17.5, "J", 12.8, "K", 17.3, "L", 17, -1))</f>
        <v>11</v>
      </c>
      <c r="I54" s="9">
        <f t="shared" si="26"/>
        <v>622.4</v>
      </c>
      <c r="J54" s="10" t="s">
        <v>17</v>
      </c>
    </row>
    <row r="55" spans="1:10" ht="14.25" customHeight="1" x14ac:dyDescent="0.3">
      <c r="A55" s="12" t="s">
        <v>76</v>
      </c>
      <c r="B55" s="203" t="s">
        <v>23</v>
      </c>
      <c r="C55" s="204"/>
      <c r="D55" s="204"/>
      <c r="E55" s="204"/>
      <c r="F55" s="204"/>
      <c r="G55" s="204"/>
      <c r="H55" s="204"/>
      <c r="I55" s="204"/>
      <c r="J55" s="205"/>
    </row>
    <row r="56" spans="1:10" ht="14.25" customHeight="1" x14ac:dyDescent="0.3">
      <c r="A56" s="12" t="s">
        <v>77</v>
      </c>
      <c r="B56" s="206"/>
      <c r="C56" s="207"/>
      <c r="D56" s="207"/>
      <c r="E56" s="207"/>
      <c r="F56" s="207"/>
      <c r="G56" s="207"/>
      <c r="H56" s="207"/>
      <c r="I56" s="207"/>
      <c r="J56" s="208"/>
    </row>
    <row r="57" spans="1:10" ht="14.25" customHeight="1" x14ac:dyDescent="0.3">
      <c r="A57" s="4" t="s">
        <v>78</v>
      </c>
      <c r="B57" s="7" t="s">
        <v>68</v>
      </c>
      <c r="C57" s="5">
        <v>8.5</v>
      </c>
      <c r="D57" s="5">
        <v>11.5</v>
      </c>
      <c r="E57" s="6">
        <f t="shared" ref="E57:E64" si="27">C57*D57</f>
        <v>97.75</v>
      </c>
      <c r="F57" s="6">
        <f t="shared" ref="F57:F64" si="28">ROUNDUP(E57/10,0)</f>
        <v>10</v>
      </c>
      <c r="G57" s="7">
        <v>0.5</v>
      </c>
      <c r="H57" s="16" cm="1">
        <f t="array" ref="H57">_xlfn.CEILING.MATH(_xlfn.SWITCH(J57, "A", 13.21, "B", 4.86, "C", 10.56, "D", 10.87, "E", 16.75, "F", 22, "G", 13.2, "H", 19.3, "I", 17.5, "J", 12.8, "K", 17.3, "L", 17, -1))</f>
        <v>11</v>
      </c>
      <c r="I57" s="9">
        <f t="shared" ref="I57:I64" si="29">2*F57*(G57+H57+6)</f>
        <v>350</v>
      </c>
      <c r="J57" s="10" t="s">
        <v>26</v>
      </c>
    </row>
    <row r="58" spans="1:10" ht="14.25" customHeight="1" x14ac:dyDescent="0.3">
      <c r="A58" s="4" t="s">
        <v>79</v>
      </c>
      <c r="B58" s="7" t="s">
        <v>68</v>
      </c>
      <c r="C58" s="5">
        <v>20</v>
      </c>
      <c r="D58" s="5">
        <v>16.5</v>
      </c>
      <c r="E58" s="6">
        <f t="shared" si="27"/>
        <v>330</v>
      </c>
      <c r="F58" s="6">
        <f t="shared" si="28"/>
        <v>33</v>
      </c>
      <c r="G58" s="7">
        <v>5</v>
      </c>
      <c r="H58" s="16" cm="1">
        <f t="array" ref="H58">_xlfn.CEILING.MATH(_xlfn.SWITCH(J58, "A", 13.21, "B", 4.86, "C", 10.56, "D", 10.87, "E", 16.75, "F", 22, "G", 13.2, "H", 19.3, "I", 17.5, "J", 12.8, "K", 17.3, "L", 17, -1))</f>
        <v>22</v>
      </c>
      <c r="I58" s="9">
        <f t="shared" si="29"/>
        <v>2178</v>
      </c>
      <c r="J58" s="10" t="s">
        <v>28</v>
      </c>
    </row>
    <row r="59" spans="1:10" ht="14.25" customHeight="1" x14ac:dyDescent="0.3">
      <c r="A59" s="4" t="s">
        <v>80</v>
      </c>
      <c r="B59" s="7" t="s">
        <v>68</v>
      </c>
      <c r="C59" s="5">
        <v>6.5</v>
      </c>
      <c r="D59" s="5">
        <v>11.5</v>
      </c>
      <c r="E59" s="6">
        <f t="shared" si="27"/>
        <v>74.75</v>
      </c>
      <c r="F59" s="6">
        <f t="shared" si="28"/>
        <v>8</v>
      </c>
      <c r="G59" s="7">
        <v>84.64</v>
      </c>
      <c r="H59" s="16" cm="1">
        <f t="array" ref="H59">_xlfn.CEILING.MATH(_xlfn.SWITCH(J59, "A", 13.21, "B", 4.86, "C", 10.56, "D", 10.87, "E", 16.75, "F", 22, "G", 13.2, "H", 19.3, "I", 17.5, "J", 12.8, "K", 17.3, "L", 17, -1))</f>
        <v>17</v>
      </c>
      <c r="I59" s="9">
        <f t="shared" si="29"/>
        <v>1722.24</v>
      </c>
      <c r="J59" s="10" t="s">
        <v>30</v>
      </c>
    </row>
    <row r="60" spans="1:10" ht="14.25" customHeight="1" x14ac:dyDescent="0.3">
      <c r="A60" s="4" t="s">
        <v>81</v>
      </c>
      <c r="B60" s="7" t="s">
        <v>68</v>
      </c>
      <c r="C60" s="5">
        <v>6.5</v>
      </c>
      <c r="D60" s="5">
        <v>11.5</v>
      </c>
      <c r="E60" s="6">
        <f t="shared" si="27"/>
        <v>74.75</v>
      </c>
      <c r="F60" s="6">
        <f t="shared" si="28"/>
        <v>8</v>
      </c>
      <c r="G60" s="7">
        <v>91.78</v>
      </c>
      <c r="H60" s="16" cm="1">
        <f t="array" ref="H60">_xlfn.CEILING.MATH(_xlfn.SWITCH(J60, "A", 13.21, "B", 4.86, "C", 10.56, "D", 10.87, "E", 16.75, "F", 22, "G", 13.2, "H", 19.3, "I", 17.5, "J", 12.8, "K", 17.3, "L", 17, -1))</f>
        <v>17</v>
      </c>
      <c r="I60" s="9">
        <f t="shared" si="29"/>
        <v>1836.48</v>
      </c>
      <c r="J60" s="10" t="s">
        <v>30</v>
      </c>
    </row>
    <row r="61" spans="1:10" ht="14.25" customHeight="1" x14ac:dyDescent="0.3">
      <c r="A61" s="4" t="s">
        <v>82</v>
      </c>
      <c r="B61" s="7" t="s">
        <v>68</v>
      </c>
      <c r="C61" s="5">
        <v>6.5</v>
      </c>
      <c r="D61" s="5">
        <v>11.5</v>
      </c>
      <c r="E61" s="6">
        <f t="shared" si="27"/>
        <v>74.75</v>
      </c>
      <c r="F61" s="6">
        <f t="shared" si="28"/>
        <v>8</v>
      </c>
      <c r="G61" s="7">
        <v>98.78</v>
      </c>
      <c r="H61" s="16" cm="1">
        <f t="array" ref="H61">_xlfn.CEILING.MATH(_xlfn.SWITCH(J61, "A", 13.21, "B", 4.86, "C", 10.56, "D", 10.87, "E", 16.75, "F", 22, "G", 13.2, "H", 19.3, "I", 17.5, "J", 12.8, "K", 17.3, "L", 17, -1))</f>
        <v>17</v>
      </c>
      <c r="I61" s="9">
        <f t="shared" si="29"/>
        <v>1948.48</v>
      </c>
      <c r="J61" s="10" t="s">
        <v>30</v>
      </c>
    </row>
    <row r="62" spans="1:10" ht="14.25" customHeight="1" x14ac:dyDescent="0.3">
      <c r="A62" s="4" t="s">
        <v>83</v>
      </c>
      <c r="B62" s="7" t="s">
        <v>68</v>
      </c>
      <c r="C62" s="5">
        <v>6.5</v>
      </c>
      <c r="D62" s="5">
        <v>11.5</v>
      </c>
      <c r="E62" s="6">
        <f t="shared" si="27"/>
        <v>74.75</v>
      </c>
      <c r="F62" s="6">
        <f t="shared" si="28"/>
        <v>8</v>
      </c>
      <c r="G62" s="7">
        <v>105.92</v>
      </c>
      <c r="H62" s="16" cm="1">
        <f t="array" ref="H62">_xlfn.CEILING.MATH(_xlfn.SWITCH(J62, "A", 13.21, "B", 4.86, "C", 10.56, "D", 10.87, "E", 16.75, "F", 22, "G", 13.2, "H", 19.3, "I", 17.5, "J", 12.8, "K", 17.3, "L", 17, -1))</f>
        <v>17</v>
      </c>
      <c r="I62" s="9">
        <f t="shared" si="29"/>
        <v>2062.7200000000003</v>
      </c>
      <c r="J62" s="10" t="s">
        <v>30</v>
      </c>
    </row>
    <row r="63" spans="1:10" ht="14.25" customHeight="1" x14ac:dyDescent="0.3">
      <c r="A63" s="4" t="s">
        <v>84</v>
      </c>
      <c r="B63" s="7" t="s">
        <v>68</v>
      </c>
      <c r="C63" s="5">
        <v>6.5</v>
      </c>
      <c r="D63" s="5">
        <v>11.5</v>
      </c>
      <c r="E63" s="6">
        <f t="shared" si="27"/>
        <v>74.75</v>
      </c>
      <c r="F63" s="6">
        <f t="shared" si="28"/>
        <v>8</v>
      </c>
      <c r="G63" s="7">
        <v>112.92</v>
      </c>
      <c r="H63" s="16" cm="1">
        <f t="array" ref="H63">_xlfn.CEILING.MATH(_xlfn.SWITCH(J63, "A", 13.21, "B", 4.86, "C", 10.56, "D", 10.87, "E", 16.75, "F", 22, "G", 13.2, "H", 19.3, "I", 17.5, "J", 12.8, "K", 17.3, "L", 17, -1))</f>
        <v>17</v>
      </c>
      <c r="I63" s="9">
        <f t="shared" si="29"/>
        <v>2174.7200000000003</v>
      </c>
      <c r="J63" s="10" t="s">
        <v>30</v>
      </c>
    </row>
    <row r="64" spans="1:10" ht="14.25" customHeight="1" x14ac:dyDescent="0.3">
      <c r="A64" s="4" t="s">
        <v>85</v>
      </c>
      <c r="B64" s="7" t="s">
        <v>68</v>
      </c>
      <c r="C64" s="5">
        <v>10</v>
      </c>
      <c r="D64" s="5">
        <v>20</v>
      </c>
      <c r="E64" s="6">
        <f t="shared" si="27"/>
        <v>200</v>
      </c>
      <c r="F64" s="6">
        <f t="shared" si="28"/>
        <v>20</v>
      </c>
      <c r="G64" s="7">
        <v>17.5</v>
      </c>
      <c r="H64" s="16" cm="1">
        <f t="array" ref="H64">_xlfn.CEILING.MATH(_xlfn.SWITCH(J64, "A", 13.21, "B", 4.86, "C", 10.56, "D", 10.87, "E", 16.75, "F", 22, "G", 13.2, "H", 19.3, "I", 17.5, "J", 12.8, "K", 17.3, "L", 17, -1))</f>
        <v>14</v>
      </c>
      <c r="I64" s="9">
        <f t="shared" si="29"/>
        <v>1500</v>
      </c>
      <c r="J64" s="10" t="s">
        <v>36</v>
      </c>
    </row>
    <row r="65" spans="1:10" ht="14.25" customHeight="1" x14ac:dyDescent="0.3">
      <c r="A65" s="13" t="s">
        <v>86</v>
      </c>
      <c r="B65" s="13"/>
      <c r="C65" s="13"/>
      <c r="D65" s="13"/>
      <c r="E65" s="13"/>
      <c r="F65" s="13">
        <f>SUM(F47:F64)</f>
        <v>140</v>
      </c>
      <c r="G65" s="13"/>
      <c r="H65" s="14"/>
      <c r="I65" s="13">
        <f>SUM(I47:I64)</f>
        <v>16980.16</v>
      </c>
      <c r="J65" s="15"/>
    </row>
    <row r="66" spans="1:10" ht="14.25" customHeight="1" x14ac:dyDescent="0.3">
      <c r="A66" s="13"/>
      <c r="B66" s="13"/>
      <c r="C66" s="13"/>
      <c r="D66" s="13"/>
      <c r="E66" s="13"/>
      <c r="F66" s="13"/>
      <c r="G66" s="13"/>
      <c r="H66" s="14"/>
      <c r="I66" s="13"/>
      <c r="J66" s="15"/>
    </row>
    <row r="67" spans="1:10" ht="14.25" customHeight="1" x14ac:dyDescent="0.3">
      <c r="A67" s="4" t="s">
        <v>87</v>
      </c>
      <c r="B67" s="4" t="s">
        <v>88</v>
      </c>
      <c r="C67" s="5">
        <v>6.5</v>
      </c>
      <c r="D67" s="5">
        <v>11.5</v>
      </c>
      <c r="E67" s="6">
        <f t="shared" ref="E67:E68" si="30">C67*D67</f>
        <v>74.75</v>
      </c>
      <c r="F67" s="6">
        <f t="shared" ref="F67:F68" si="31">ROUNDUP(E67/10,0)</f>
        <v>8</v>
      </c>
      <c r="G67" s="7">
        <v>32</v>
      </c>
      <c r="H67" s="16" cm="1">
        <f t="array" ref="H67">_xlfn.CEILING.MATH(_xlfn.SWITCH(J67, "A", 13.21, "B", 4.86, "C", 10.56, "D", 10.87, "E", 16.75, "F", 22, "G", 13.2, "H", 19.3, "I", 17.5, "J", 12.8, "K", 17.3, "L", 17, -1))</f>
        <v>17</v>
      </c>
      <c r="I67" s="9">
        <f t="shared" ref="I67:I68" si="32">2*F67*(G67+H67+6)</f>
        <v>880</v>
      </c>
      <c r="J67" s="10" t="s">
        <v>30</v>
      </c>
    </row>
    <row r="68" spans="1:10" ht="14.25" customHeight="1" x14ac:dyDescent="0.3">
      <c r="A68" s="4" t="s">
        <v>89</v>
      </c>
      <c r="B68" s="4" t="s">
        <v>88</v>
      </c>
      <c r="C68" s="5">
        <v>6.5</v>
      </c>
      <c r="D68" s="5">
        <v>11.5</v>
      </c>
      <c r="E68" s="6">
        <f t="shared" si="30"/>
        <v>74.75</v>
      </c>
      <c r="F68" s="6">
        <f t="shared" si="31"/>
        <v>8</v>
      </c>
      <c r="G68" s="7">
        <v>27</v>
      </c>
      <c r="H68" s="16" cm="1">
        <f t="array" ref="H68">_xlfn.CEILING.MATH(_xlfn.SWITCH(J68, "A", 13.21, "B", 4.86, "C", 10.56, "D", 10.87, "E", 16.75, "F", 22, "G", 13.2, "H", 19.3, "I", 17.5, "J", 12.8, "K", 17.3, "L", 17, -1))</f>
        <v>17</v>
      </c>
      <c r="I68" s="9">
        <f t="shared" si="32"/>
        <v>800</v>
      </c>
      <c r="J68" s="10" t="s">
        <v>30</v>
      </c>
    </row>
    <row r="69" spans="1:10" ht="14.25" customHeight="1" x14ac:dyDescent="0.3">
      <c r="A69" s="12" t="s">
        <v>90</v>
      </c>
      <c r="B69" s="203" t="s">
        <v>23</v>
      </c>
      <c r="C69" s="204"/>
      <c r="D69" s="204"/>
      <c r="E69" s="204"/>
      <c r="F69" s="204"/>
      <c r="G69" s="204"/>
      <c r="H69" s="204"/>
      <c r="I69" s="204"/>
      <c r="J69" s="205"/>
    </row>
    <row r="70" spans="1:10" ht="14.25" customHeight="1" x14ac:dyDescent="0.3">
      <c r="A70" s="12" t="s">
        <v>91</v>
      </c>
      <c r="B70" s="206"/>
      <c r="C70" s="207"/>
      <c r="D70" s="207"/>
      <c r="E70" s="207"/>
      <c r="F70" s="207"/>
      <c r="G70" s="207"/>
      <c r="H70" s="207"/>
      <c r="I70" s="207"/>
      <c r="J70" s="208"/>
    </row>
    <row r="71" spans="1:10" ht="14.25" customHeight="1" x14ac:dyDescent="0.3">
      <c r="A71" s="4" t="s">
        <v>92</v>
      </c>
      <c r="B71" s="4" t="s">
        <v>88</v>
      </c>
      <c r="C71" s="5">
        <v>10</v>
      </c>
      <c r="D71" s="5">
        <v>20</v>
      </c>
      <c r="E71" s="6">
        <f t="shared" ref="E71:E74" si="33">C71*D71</f>
        <v>200</v>
      </c>
      <c r="F71" s="6">
        <f t="shared" ref="F71:F74" si="34">ROUNDUP(E71/10,0)</f>
        <v>20</v>
      </c>
      <c r="G71" s="7">
        <v>0.5</v>
      </c>
      <c r="H71" s="16" cm="1">
        <f t="array" ref="H71">_xlfn.CEILING.MATH(_xlfn.SWITCH(J71, "A", 13.21, "B", 4.86, "C", 10.56, "D", 10.87, "E", 16.75, "F", 22, "G", 13.2, "H", 19.3, "I", 17.5, "J", 12.8, "K", 17.3, "L", 17, -1))</f>
        <v>14</v>
      </c>
      <c r="I71" s="9">
        <f t="shared" ref="I71:I74" si="35">2*F71*(G71+H71+6)</f>
        <v>820</v>
      </c>
      <c r="J71" s="10" t="s">
        <v>36</v>
      </c>
    </row>
    <row r="72" spans="1:10" ht="14.25" customHeight="1" x14ac:dyDescent="0.3">
      <c r="A72" s="4" t="s">
        <v>93</v>
      </c>
      <c r="B72" s="4" t="s">
        <v>88</v>
      </c>
      <c r="C72" s="7">
        <v>5</v>
      </c>
      <c r="D72" s="7">
        <v>14</v>
      </c>
      <c r="E72" s="6">
        <f t="shared" si="33"/>
        <v>70</v>
      </c>
      <c r="F72" s="6">
        <f t="shared" si="34"/>
        <v>7</v>
      </c>
      <c r="G72" s="7">
        <v>56.07</v>
      </c>
      <c r="H72" s="16" cm="1">
        <f t="array" ref="H72">_xlfn.CEILING.MATH(_xlfn.SWITCH(J72, "A", 13.21, "B", 4.86, "C", 10.56, "D", 10.87, "E", 16.75, "F", 22, "G", 13.2, "H", 19.3, "I", 17.5, "J", 12.8, "K", 17.3, "L", 17, -1))</f>
        <v>17</v>
      </c>
      <c r="I72" s="9">
        <f t="shared" si="35"/>
        <v>1106.98</v>
      </c>
      <c r="J72" s="10" t="s">
        <v>94</v>
      </c>
    </row>
    <row r="73" spans="1:10" ht="14.25" customHeight="1" x14ac:dyDescent="0.3">
      <c r="A73" s="4" t="s">
        <v>95</v>
      </c>
      <c r="B73" s="4" t="s">
        <v>88</v>
      </c>
      <c r="C73" s="7">
        <v>9</v>
      </c>
      <c r="D73" s="7">
        <v>6.5</v>
      </c>
      <c r="E73" s="6">
        <f t="shared" si="33"/>
        <v>58.5</v>
      </c>
      <c r="F73" s="6">
        <f t="shared" si="34"/>
        <v>6</v>
      </c>
      <c r="G73" s="7">
        <v>12.54</v>
      </c>
      <c r="H73" s="16" cm="1">
        <f t="array" ref="H73">_xlfn.CEILING.MATH(_xlfn.SWITCH(J73, "A", 13.21, "B", 4.86, "C", 10.56, "D", 10.87, "E", 16.75, "F", 22, "G", 13.2, "H", 19.3, "I", 17.5, "J", 12.8, "K", 17.3, "L", 17, -1))</f>
        <v>18</v>
      </c>
      <c r="I73" s="9">
        <f t="shared" si="35"/>
        <v>438.48</v>
      </c>
      <c r="J73" s="10" t="s">
        <v>48</v>
      </c>
    </row>
    <row r="74" spans="1:10" ht="14.25" customHeight="1" x14ac:dyDescent="0.3">
      <c r="A74" s="4" t="s">
        <v>96</v>
      </c>
      <c r="B74" s="4" t="s">
        <v>88</v>
      </c>
      <c r="C74" s="7">
        <v>6.5</v>
      </c>
      <c r="D74" s="7">
        <v>9</v>
      </c>
      <c r="E74" s="6">
        <f t="shared" si="33"/>
        <v>58.5</v>
      </c>
      <c r="F74" s="6">
        <f t="shared" si="34"/>
        <v>6</v>
      </c>
      <c r="G74" s="7">
        <v>21.88</v>
      </c>
      <c r="H74" s="16" cm="1">
        <f t="array" ref="H74">_xlfn.CEILING.MATH(_xlfn.SWITCH(J74, "A", 13.21, "B", 4.86, "C", 10.56, "D", 10.87, "E", 16.75, "F", 22, "G", 13.2, "H", 19.3, "I", 17.5, "J", 12.8, "K", 17.3, "L", 17, -1))</f>
        <v>18</v>
      </c>
      <c r="I74" s="9">
        <f t="shared" si="35"/>
        <v>550.55999999999995</v>
      </c>
      <c r="J74" s="10" t="s">
        <v>48</v>
      </c>
    </row>
    <row r="75" spans="1:10" ht="14.25" customHeight="1" x14ac:dyDescent="0.3">
      <c r="A75" s="11" t="s">
        <v>97</v>
      </c>
      <c r="B75" s="200" t="s">
        <v>88</v>
      </c>
      <c r="C75" s="201"/>
      <c r="D75" s="201"/>
      <c r="E75" s="201"/>
      <c r="F75" s="201"/>
      <c r="G75" s="201"/>
      <c r="H75" s="201"/>
      <c r="I75" s="201"/>
      <c r="J75" s="202"/>
    </row>
    <row r="76" spans="1:10" ht="14.25" customHeight="1" x14ac:dyDescent="0.3">
      <c r="A76" s="4" t="s">
        <v>98</v>
      </c>
      <c r="B76" s="4" t="s">
        <v>88</v>
      </c>
      <c r="C76" s="7">
        <v>4.5</v>
      </c>
      <c r="D76" s="7">
        <v>9.5</v>
      </c>
      <c r="E76" s="6">
        <f t="shared" ref="E76:E80" si="36">C76*D76</f>
        <v>42.75</v>
      </c>
      <c r="F76" s="6">
        <f t="shared" ref="F76:F80" si="37">ROUNDUP(E76/10,0)</f>
        <v>5</v>
      </c>
      <c r="G76" s="7">
        <v>11.5</v>
      </c>
      <c r="H76" s="16" cm="1">
        <f t="array" ref="H76">_xlfn.CEILING.MATH(_xlfn.SWITCH(J76, "A", 13.21, "B", 4.86, "C", 10.56, "D", 10.87, "E", 16.75, "F", 22, "G", 13.2, "H", 19.3, "I", 17.5, "J", 12.8, "K", 17.3, "L", 17, -1))</f>
        <v>13</v>
      </c>
      <c r="I76" s="9">
        <f t="shared" ref="I76:I80" si="38">2*F76*(G76+H76+6)</f>
        <v>305</v>
      </c>
      <c r="J76" s="10" t="s">
        <v>52</v>
      </c>
    </row>
    <row r="77" spans="1:10" ht="14.25" customHeight="1" x14ac:dyDescent="0.3">
      <c r="A77" s="4" t="s">
        <v>99</v>
      </c>
      <c r="B77" s="4" t="s">
        <v>88</v>
      </c>
      <c r="C77" s="7">
        <v>4.5</v>
      </c>
      <c r="D77" s="7">
        <v>9.5</v>
      </c>
      <c r="E77" s="6">
        <f t="shared" si="36"/>
        <v>42.75</v>
      </c>
      <c r="F77" s="6">
        <f t="shared" si="37"/>
        <v>5</v>
      </c>
      <c r="G77" s="7">
        <v>17</v>
      </c>
      <c r="H77" s="16" cm="1">
        <f t="array" ref="H77">_xlfn.CEILING.MATH(_xlfn.SWITCH(J77, "A", 13.21, "B", 4.86, "C", 10.56, "D", 10.87, "E", 16.75, "F", 22, "G", 13.2, "H", 19.3, "I", 17.5, "J", 12.8, "K", 17.3, "L", 17, -1))</f>
        <v>13</v>
      </c>
      <c r="I77" s="9">
        <f t="shared" si="38"/>
        <v>360</v>
      </c>
      <c r="J77" s="10" t="s">
        <v>52</v>
      </c>
    </row>
    <row r="78" spans="1:10" ht="14.25" customHeight="1" x14ac:dyDescent="0.3">
      <c r="A78" s="4" t="s">
        <v>100</v>
      </c>
      <c r="B78" s="4" t="s">
        <v>88</v>
      </c>
      <c r="C78" s="7">
        <v>4.5</v>
      </c>
      <c r="D78" s="7">
        <v>9.5</v>
      </c>
      <c r="E78" s="6">
        <f t="shared" si="36"/>
        <v>42.75</v>
      </c>
      <c r="F78" s="6">
        <f t="shared" si="37"/>
        <v>5</v>
      </c>
      <c r="G78" s="7">
        <v>22.5</v>
      </c>
      <c r="H78" s="16" cm="1">
        <f t="array" ref="H78">_xlfn.CEILING.MATH(_xlfn.SWITCH(J78, "A", 13.21, "B", 4.86, "C", 10.56, "D", 10.87, "E", 16.75, "F", 22, "G", 13.2, "H", 19.3, "I", 17.5, "J", 12.8, "K", 17.3, "L", 17, -1))</f>
        <v>13</v>
      </c>
      <c r="I78" s="9">
        <f t="shared" si="38"/>
        <v>415</v>
      </c>
      <c r="J78" s="10" t="s">
        <v>52</v>
      </c>
    </row>
    <row r="79" spans="1:10" ht="14.25" customHeight="1" x14ac:dyDescent="0.3">
      <c r="A79" s="4" t="s">
        <v>101</v>
      </c>
      <c r="B79" s="4" t="s">
        <v>88</v>
      </c>
      <c r="C79" s="7">
        <v>4.5</v>
      </c>
      <c r="D79" s="7">
        <v>9.5</v>
      </c>
      <c r="E79" s="6">
        <f t="shared" si="36"/>
        <v>42.75</v>
      </c>
      <c r="F79" s="6">
        <f t="shared" si="37"/>
        <v>5</v>
      </c>
      <c r="G79" s="7">
        <v>28</v>
      </c>
      <c r="H79" s="16" cm="1">
        <f t="array" ref="H79">_xlfn.CEILING.MATH(_xlfn.SWITCH(J79, "A", 13.21, "B", 4.86, "C", 10.56, "D", 10.87, "E", 16.75, "F", 22, "G", 13.2, "H", 19.3, "I", 17.5, "J", 12.8, "K", 17.3, "L", 17, -1))</f>
        <v>13</v>
      </c>
      <c r="I79" s="9">
        <f t="shared" si="38"/>
        <v>470</v>
      </c>
      <c r="J79" s="10" t="s">
        <v>52</v>
      </c>
    </row>
    <row r="80" spans="1:10" ht="14.25" customHeight="1" x14ac:dyDescent="0.3">
      <c r="A80" s="4" t="s">
        <v>102</v>
      </c>
      <c r="B80" s="4" t="s">
        <v>88</v>
      </c>
      <c r="C80" s="7">
        <v>4.5</v>
      </c>
      <c r="D80" s="7">
        <v>9.5</v>
      </c>
      <c r="E80" s="6">
        <f t="shared" si="36"/>
        <v>42.75</v>
      </c>
      <c r="F80" s="6">
        <f t="shared" si="37"/>
        <v>5</v>
      </c>
      <c r="G80" s="7">
        <v>33.5</v>
      </c>
      <c r="H80" s="16" cm="1">
        <f t="array" ref="H80">_xlfn.CEILING.MATH(_xlfn.SWITCH(J80, "A", 13.21, "B", 4.86, "C", 10.56, "D", 10.87, "E", 16.75, "F", 22, "G", 13.2, "H", 19.3, "I", 17.5, "J", 12.8, "K", 17.3, "L", 17, -1))</f>
        <v>13</v>
      </c>
      <c r="I80" s="9">
        <f t="shared" si="38"/>
        <v>525</v>
      </c>
      <c r="J80" s="10" t="s">
        <v>52</v>
      </c>
    </row>
    <row r="81" spans="1:10" ht="14.25" customHeight="1" x14ac:dyDescent="0.3">
      <c r="A81" s="12" t="s">
        <v>103</v>
      </c>
      <c r="B81" s="209" t="s">
        <v>23</v>
      </c>
      <c r="C81" s="204"/>
      <c r="D81" s="204"/>
      <c r="E81" s="204"/>
      <c r="F81" s="204"/>
      <c r="G81" s="204"/>
      <c r="H81" s="204"/>
      <c r="I81" s="204"/>
      <c r="J81" s="205"/>
    </row>
    <row r="82" spans="1:10" ht="14.25" customHeight="1" x14ac:dyDescent="0.3">
      <c r="A82" s="12" t="s">
        <v>104</v>
      </c>
      <c r="B82" s="206"/>
      <c r="C82" s="207"/>
      <c r="D82" s="207"/>
      <c r="E82" s="207"/>
      <c r="F82" s="207"/>
      <c r="G82" s="207"/>
      <c r="H82" s="207"/>
      <c r="I82" s="207"/>
      <c r="J82" s="208"/>
    </row>
    <row r="83" spans="1:10" ht="14.25" customHeight="1" x14ac:dyDescent="0.3">
      <c r="A83" s="4" t="s">
        <v>105</v>
      </c>
      <c r="B83" s="4" t="s">
        <v>88</v>
      </c>
      <c r="C83" s="7">
        <v>5.5</v>
      </c>
      <c r="D83" s="7">
        <v>12.5</v>
      </c>
      <c r="E83" s="6">
        <f t="shared" ref="E83:E88" si="39">C83*D83</f>
        <v>68.75</v>
      </c>
      <c r="F83" s="6">
        <f t="shared" ref="F83:F88" si="40">ROUNDUP(E83/10,0)</f>
        <v>7</v>
      </c>
      <c r="G83" s="7">
        <v>10.5</v>
      </c>
      <c r="H83" s="16" cm="1">
        <f t="array" ref="H83">_xlfn.CEILING.MATH(_xlfn.SWITCH(J83, "A", 13.21, "B", 4.86, "C", 10.56, "D", 10.87, "E", 16.75, "F", 22, "G", 13.2, "H", 19.3, "I", 17.5, "J", 12.8, "K", 17.3, "L", 17, -1))</f>
        <v>18</v>
      </c>
      <c r="I83" s="9">
        <f t="shared" ref="I83:I88" si="41">2*F83*(G83+H83+6)</f>
        <v>483</v>
      </c>
      <c r="J83" s="10" t="s">
        <v>60</v>
      </c>
    </row>
    <row r="84" spans="1:10" ht="14.25" customHeight="1" x14ac:dyDescent="0.3">
      <c r="A84" s="4" t="s">
        <v>106</v>
      </c>
      <c r="B84" s="4" t="s">
        <v>88</v>
      </c>
      <c r="C84" s="7">
        <v>5.5</v>
      </c>
      <c r="D84" s="7">
        <v>12.5</v>
      </c>
      <c r="E84" s="6">
        <f t="shared" si="39"/>
        <v>68.75</v>
      </c>
      <c r="F84" s="6">
        <f t="shared" si="40"/>
        <v>7</v>
      </c>
      <c r="G84" s="7">
        <v>17.5</v>
      </c>
      <c r="H84" s="16" cm="1">
        <f t="array" ref="H84">_xlfn.CEILING.MATH(_xlfn.SWITCH(J84, "A", 13.21, "B", 4.86, "C", 10.56, "D", 10.87, "E", 16.75, "F", 22, "G", 13.2, "H", 19.3, "I", 17.5, "J", 12.8, "K", 17.3, "L", 17, -1))</f>
        <v>18</v>
      </c>
      <c r="I84" s="9">
        <f t="shared" si="41"/>
        <v>581</v>
      </c>
      <c r="J84" s="10" t="s">
        <v>60</v>
      </c>
    </row>
    <row r="85" spans="1:10" ht="14.25" customHeight="1" x14ac:dyDescent="0.3">
      <c r="A85" s="4" t="s">
        <v>107</v>
      </c>
      <c r="B85" s="4" t="s">
        <v>88</v>
      </c>
      <c r="C85" s="7">
        <v>5.5</v>
      </c>
      <c r="D85" s="7">
        <v>12.5</v>
      </c>
      <c r="E85" s="6">
        <f t="shared" si="39"/>
        <v>68.75</v>
      </c>
      <c r="F85" s="6">
        <f t="shared" si="40"/>
        <v>7</v>
      </c>
      <c r="G85" s="7">
        <v>23.5</v>
      </c>
      <c r="H85" s="16" cm="1">
        <f t="array" ref="H85">_xlfn.CEILING.MATH(_xlfn.SWITCH(J85, "A", 13.21, "B", 4.86, "C", 10.56, "D", 10.87, "E", 16.75, "F", 22, "G", 13.2, "H", 19.3, "I", 17.5, "J", 12.8, "K", 17.3, "L", 17, -1))</f>
        <v>18</v>
      </c>
      <c r="I85" s="9">
        <f t="shared" si="41"/>
        <v>665</v>
      </c>
      <c r="J85" s="10" t="s">
        <v>60</v>
      </c>
    </row>
    <row r="86" spans="1:10" ht="14.25" customHeight="1" x14ac:dyDescent="0.3">
      <c r="A86" s="4" t="s">
        <v>108</v>
      </c>
      <c r="B86" s="4" t="s">
        <v>88</v>
      </c>
      <c r="C86" s="7">
        <v>5.5</v>
      </c>
      <c r="D86" s="7">
        <v>12.5</v>
      </c>
      <c r="E86" s="6">
        <f t="shared" si="39"/>
        <v>68.75</v>
      </c>
      <c r="F86" s="6">
        <f t="shared" si="40"/>
        <v>7</v>
      </c>
      <c r="G86" s="7">
        <v>29.5</v>
      </c>
      <c r="H86" s="16" cm="1">
        <f t="array" ref="H86">_xlfn.CEILING.MATH(_xlfn.SWITCH(J86, "A", 13.21, "B", 4.86, "C", 10.56, "D", 10.87, "E", 16.75, "F", 22, "G", 13.2, "H", 19.3, "I", 17.5, "J", 12.8, "K", 17.3, "L", 17, -1))</f>
        <v>18</v>
      </c>
      <c r="I86" s="9">
        <f t="shared" si="41"/>
        <v>749</v>
      </c>
      <c r="J86" s="10" t="s">
        <v>60</v>
      </c>
    </row>
    <row r="87" spans="1:10" ht="14.25" customHeight="1" x14ac:dyDescent="0.3">
      <c r="A87" s="4" t="s">
        <v>109</v>
      </c>
      <c r="B87" s="4" t="s">
        <v>88</v>
      </c>
      <c r="C87" s="7">
        <v>5.5</v>
      </c>
      <c r="D87" s="7">
        <v>12.5</v>
      </c>
      <c r="E87" s="6">
        <f t="shared" si="39"/>
        <v>68.75</v>
      </c>
      <c r="F87" s="6">
        <f t="shared" si="40"/>
        <v>7</v>
      </c>
      <c r="G87" s="7">
        <v>35.5</v>
      </c>
      <c r="H87" s="16" cm="1">
        <f t="array" ref="H87">_xlfn.CEILING.MATH(_xlfn.SWITCH(J87, "A", 13.21, "B", 4.86, "C", 10.56, "D", 10.87, "E", 16.75, "F", 22, "G", 13.2, "H", 19.3, "I", 17.5, "J", 12.8, "K", 17.3, "L", 17, -1))</f>
        <v>18</v>
      </c>
      <c r="I87" s="9">
        <f t="shared" si="41"/>
        <v>833</v>
      </c>
      <c r="J87" s="10" t="s">
        <v>60</v>
      </c>
    </row>
    <row r="88" spans="1:10" ht="14.25" customHeight="1" x14ac:dyDescent="0.3">
      <c r="A88" s="4" t="s">
        <v>110</v>
      </c>
      <c r="B88" s="4" t="s">
        <v>88</v>
      </c>
      <c r="C88" s="7">
        <v>5.5</v>
      </c>
      <c r="D88" s="7">
        <v>12.5</v>
      </c>
      <c r="E88" s="6">
        <f t="shared" si="39"/>
        <v>68.75</v>
      </c>
      <c r="F88" s="6">
        <f t="shared" si="40"/>
        <v>7</v>
      </c>
      <c r="G88" s="7">
        <v>41.5</v>
      </c>
      <c r="H88" s="16" cm="1">
        <f t="array" ref="H88">_xlfn.CEILING.MATH(_xlfn.SWITCH(J88, "A", 13.21, "B", 4.86, "C", 10.56, "D", 10.87, "E", 16.75, "F", 22, "G", 13.2, "H", 19.3, "I", 17.5, "J", 12.8, "K", 17.3, "L", 17, -1))</f>
        <v>18</v>
      </c>
      <c r="I88" s="9">
        <f t="shared" si="41"/>
        <v>917</v>
      </c>
      <c r="J88" s="10" t="s">
        <v>60</v>
      </c>
    </row>
    <row r="89" spans="1:10" ht="14.25" customHeight="1" x14ac:dyDescent="0.3">
      <c r="A89" s="13" t="s">
        <v>111</v>
      </c>
      <c r="B89" s="13"/>
      <c r="C89" s="13"/>
      <c r="D89" s="13"/>
      <c r="E89" s="13"/>
      <c r="F89" s="13">
        <f>SUM(F67:F88)</f>
        <v>122</v>
      </c>
      <c r="G89" s="13"/>
      <c r="H89" s="14"/>
      <c r="I89" s="13">
        <f>SUM(I67:I88)</f>
        <v>10899.02</v>
      </c>
      <c r="J89" s="15"/>
    </row>
    <row r="90" spans="1:10" ht="14.25" customHeight="1" x14ac:dyDescent="0.3">
      <c r="H90" s="17"/>
      <c r="J90" s="15"/>
    </row>
    <row r="91" spans="1:10" ht="14.25" customHeight="1" x14ac:dyDescent="0.3">
      <c r="A91" s="18" t="s">
        <v>112</v>
      </c>
      <c r="B91" s="18"/>
      <c r="C91" s="18"/>
      <c r="D91" s="18"/>
      <c r="E91" s="18"/>
      <c r="F91" s="18">
        <f>F89+F65+F45+F20</f>
        <v>535</v>
      </c>
      <c r="G91" s="18"/>
      <c r="H91" s="19"/>
      <c r="I91" s="18">
        <f>I89+I65+I45+I20</f>
        <v>57117.380000000005</v>
      </c>
      <c r="J91" s="15"/>
    </row>
    <row r="92" spans="1:10" ht="14.25" customHeight="1" x14ac:dyDescent="0.3">
      <c r="H92" s="17"/>
      <c r="J92" s="15"/>
    </row>
    <row r="93" spans="1:10" ht="14.25" customHeight="1" x14ac:dyDescent="0.3">
      <c r="H93" s="14" t="s">
        <v>113</v>
      </c>
      <c r="I93" s="13">
        <f>ROUNDUP(ROUNDUP($I$91/305,0)*1.1,0)</f>
        <v>207</v>
      </c>
      <c r="J93" s="15"/>
    </row>
    <row r="94" spans="1:10" ht="14.25" customHeight="1" x14ac:dyDescent="0.3">
      <c r="H94" s="14" t="s">
        <v>114</v>
      </c>
      <c r="I94" s="13">
        <f>ROUNDUP($I$91/2000,0)</f>
        <v>29</v>
      </c>
      <c r="J94" s="15"/>
    </row>
    <row r="95" spans="1:10" ht="14.25" customHeight="1" x14ac:dyDescent="0.3">
      <c r="H95" s="17"/>
      <c r="J95" s="15"/>
    </row>
    <row r="96" spans="1:10" ht="14.25" customHeight="1" x14ac:dyDescent="0.3">
      <c r="H96" s="17"/>
      <c r="J96" s="15"/>
    </row>
    <row r="97" spans="1:10" ht="14.25" customHeight="1" x14ac:dyDescent="0.3">
      <c r="A97" s="211" t="s">
        <v>115</v>
      </c>
      <c r="B97" s="188"/>
      <c r="C97" s="18">
        <f>I91/(F91*2)</f>
        <v>53.380728971962618</v>
      </c>
      <c r="H97" s="17"/>
      <c r="J97" s="15"/>
    </row>
    <row r="98" spans="1:10" ht="14.25" customHeight="1" x14ac:dyDescent="0.3">
      <c r="H98" s="17"/>
      <c r="J98" s="15"/>
    </row>
    <row r="99" spans="1:10" ht="14.25" customHeight="1" x14ac:dyDescent="0.3">
      <c r="A99" s="212" t="s">
        <v>116</v>
      </c>
      <c r="B99" s="199"/>
      <c r="C99" s="199"/>
      <c r="D99" s="199"/>
      <c r="E99" s="199"/>
      <c r="F99" s="199"/>
      <c r="G99" s="199"/>
      <c r="H99" s="196"/>
      <c r="J99" s="15"/>
    </row>
    <row r="100" spans="1:10" ht="14.25" customHeight="1" x14ac:dyDescent="0.3">
      <c r="A100" s="195" t="s">
        <v>117</v>
      </c>
      <c r="B100" s="196"/>
      <c r="H100" s="17"/>
      <c r="J100" s="15"/>
    </row>
    <row r="101" spans="1:10" ht="14.25" customHeight="1" x14ac:dyDescent="0.3">
      <c r="A101" s="197" t="s">
        <v>118</v>
      </c>
      <c r="B101" s="196"/>
      <c r="H101" s="17"/>
      <c r="J101" s="15"/>
    </row>
    <row r="102" spans="1:10" ht="14.25" customHeight="1" x14ac:dyDescent="0.3">
      <c r="A102" s="198" t="s">
        <v>119</v>
      </c>
      <c r="B102" s="199"/>
      <c r="C102" s="199"/>
      <c r="D102" s="199"/>
      <c r="E102" s="196"/>
      <c r="H102" s="17"/>
      <c r="J102" s="15"/>
    </row>
    <row r="103" spans="1:10" ht="14.25" customHeight="1" x14ac:dyDescent="0.3">
      <c r="H103" s="17"/>
      <c r="J103" s="15"/>
    </row>
    <row r="104" spans="1:10" ht="14.25" customHeight="1" x14ac:dyDescent="0.3">
      <c r="H104" s="17"/>
      <c r="J104" s="15"/>
    </row>
    <row r="105" spans="1:10" ht="14.25" customHeight="1" x14ac:dyDescent="0.3">
      <c r="H105" s="17"/>
      <c r="J105" s="15"/>
    </row>
    <row r="106" spans="1:10" ht="14.25" customHeight="1" x14ac:dyDescent="0.3">
      <c r="H106" s="17"/>
      <c r="J106" s="15"/>
    </row>
    <row r="107" spans="1:10" ht="14.25" customHeight="1" x14ac:dyDescent="0.3">
      <c r="H107" s="17"/>
      <c r="J107" s="15"/>
    </row>
    <row r="108" spans="1:10" ht="14.25" customHeight="1" x14ac:dyDescent="0.3">
      <c r="H108" s="17"/>
      <c r="J108" s="15"/>
    </row>
    <row r="109" spans="1:10" ht="14.25" customHeight="1" x14ac:dyDescent="0.3">
      <c r="H109" s="17"/>
      <c r="J109" s="15"/>
    </row>
    <row r="110" spans="1:10" ht="14.25" customHeight="1" x14ac:dyDescent="0.3">
      <c r="H110" s="17"/>
      <c r="J110" s="15"/>
    </row>
    <row r="111" spans="1:10" ht="14.25" customHeight="1" x14ac:dyDescent="0.3">
      <c r="H111" s="17"/>
      <c r="J111" s="15"/>
    </row>
    <row r="112" spans="1:10" ht="14.25" customHeight="1" x14ac:dyDescent="0.3">
      <c r="H112" s="17"/>
      <c r="J112" s="15"/>
    </row>
    <row r="113" spans="8:10" ht="14.25" customHeight="1" x14ac:dyDescent="0.3">
      <c r="H113" s="17"/>
      <c r="J113" s="15"/>
    </row>
    <row r="114" spans="8:10" ht="14.25" customHeight="1" x14ac:dyDescent="0.3">
      <c r="H114" s="17"/>
      <c r="J114" s="15"/>
    </row>
    <row r="115" spans="8:10" ht="14.25" customHeight="1" x14ac:dyDescent="0.3">
      <c r="H115" s="17"/>
      <c r="J115" s="15"/>
    </row>
    <row r="116" spans="8:10" ht="14.25" customHeight="1" x14ac:dyDescent="0.3">
      <c r="H116" s="17"/>
      <c r="J116" s="15"/>
    </row>
    <row r="117" spans="8:10" ht="14.25" customHeight="1" x14ac:dyDescent="0.3">
      <c r="H117" s="17"/>
      <c r="J117" s="15"/>
    </row>
    <row r="118" spans="8:10" ht="14.25" customHeight="1" x14ac:dyDescent="0.3">
      <c r="H118" s="17"/>
      <c r="J118" s="15"/>
    </row>
    <row r="119" spans="8:10" ht="14.25" customHeight="1" x14ac:dyDescent="0.3">
      <c r="H119" s="17"/>
      <c r="J119" s="15"/>
    </row>
    <row r="120" spans="8:10" ht="14.25" customHeight="1" x14ac:dyDescent="0.3">
      <c r="H120" s="17"/>
      <c r="J120" s="15"/>
    </row>
    <row r="121" spans="8:10" ht="14.25" customHeight="1" x14ac:dyDescent="0.3">
      <c r="H121" s="17"/>
      <c r="J121" s="15"/>
    </row>
    <row r="122" spans="8:10" ht="14.25" customHeight="1" x14ac:dyDescent="0.3">
      <c r="H122" s="17"/>
      <c r="J122" s="15"/>
    </row>
    <row r="123" spans="8:10" ht="14.25" customHeight="1" x14ac:dyDescent="0.3">
      <c r="H123" s="17"/>
      <c r="J123" s="15"/>
    </row>
    <row r="124" spans="8:10" ht="14.25" customHeight="1" x14ac:dyDescent="0.3">
      <c r="H124" s="17"/>
      <c r="J124" s="15"/>
    </row>
    <row r="125" spans="8:10" ht="14.25" customHeight="1" x14ac:dyDescent="0.3">
      <c r="H125" s="17"/>
      <c r="J125" s="15"/>
    </row>
    <row r="126" spans="8:10" ht="14.25" customHeight="1" x14ac:dyDescent="0.3">
      <c r="H126" s="17"/>
      <c r="J126" s="15"/>
    </row>
    <row r="127" spans="8:10" ht="14.25" customHeight="1" x14ac:dyDescent="0.3">
      <c r="H127" s="17"/>
      <c r="J127" s="15"/>
    </row>
    <row r="128" spans="8:10" ht="14.25" customHeight="1" x14ac:dyDescent="0.3">
      <c r="H128" s="17"/>
      <c r="J128" s="15"/>
    </row>
    <row r="129" spans="8:10" ht="14.25" customHeight="1" x14ac:dyDescent="0.3">
      <c r="H129" s="17"/>
      <c r="J129" s="15"/>
    </row>
    <row r="130" spans="8:10" ht="14.25" customHeight="1" x14ac:dyDescent="0.3">
      <c r="H130" s="17"/>
      <c r="J130" s="15"/>
    </row>
    <row r="131" spans="8:10" ht="14.25" customHeight="1" x14ac:dyDescent="0.3">
      <c r="H131" s="17"/>
      <c r="J131" s="15"/>
    </row>
    <row r="132" spans="8:10" ht="14.25" customHeight="1" x14ac:dyDescent="0.3">
      <c r="H132" s="17"/>
      <c r="J132" s="15"/>
    </row>
    <row r="133" spans="8:10" ht="14.25" customHeight="1" x14ac:dyDescent="0.3">
      <c r="H133" s="17"/>
      <c r="J133" s="15"/>
    </row>
    <row r="134" spans="8:10" ht="14.25" customHeight="1" x14ac:dyDescent="0.3">
      <c r="H134" s="17"/>
      <c r="J134" s="15"/>
    </row>
    <row r="135" spans="8:10" ht="14.25" customHeight="1" x14ac:dyDescent="0.3">
      <c r="H135" s="17"/>
      <c r="J135" s="15"/>
    </row>
    <row r="136" spans="8:10" ht="14.25" customHeight="1" x14ac:dyDescent="0.3">
      <c r="H136" s="17"/>
      <c r="J136" s="15"/>
    </row>
    <row r="137" spans="8:10" ht="14.25" customHeight="1" x14ac:dyDescent="0.3">
      <c r="H137" s="17"/>
      <c r="J137" s="15"/>
    </row>
    <row r="138" spans="8:10" ht="14.25" customHeight="1" x14ac:dyDescent="0.3">
      <c r="H138" s="17"/>
      <c r="J138" s="15"/>
    </row>
    <row r="139" spans="8:10" ht="14.25" customHeight="1" x14ac:dyDescent="0.3">
      <c r="H139" s="17"/>
      <c r="J139" s="15"/>
    </row>
    <row r="140" spans="8:10" ht="14.25" customHeight="1" x14ac:dyDescent="0.3">
      <c r="H140" s="17"/>
      <c r="J140" s="15"/>
    </row>
    <row r="141" spans="8:10" ht="14.25" customHeight="1" x14ac:dyDescent="0.3">
      <c r="H141" s="17"/>
      <c r="J141" s="15"/>
    </row>
    <row r="142" spans="8:10" ht="14.25" customHeight="1" x14ac:dyDescent="0.3">
      <c r="H142" s="17"/>
      <c r="J142" s="15"/>
    </row>
    <row r="143" spans="8:10" ht="14.25" customHeight="1" x14ac:dyDescent="0.3">
      <c r="H143" s="17"/>
      <c r="J143" s="15"/>
    </row>
    <row r="144" spans="8:10" ht="14.25" customHeight="1" x14ac:dyDescent="0.3">
      <c r="H144" s="17"/>
      <c r="J144" s="15"/>
    </row>
    <row r="145" spans="8:10" ht="14.25" customHeight="1" x14ac:dyDescent="0.3">
      <c r="H145" s="17"/>
      <c r="J145" s="15"/>
    </row>
    <row r="146" spans="8:10" ht="14.25" customHeight="1" x14ac:dyDescent="0.3">
      <c r="H146" s="17"/>
      <c r="J146" s="15"/>
    </row>
    <row r="147" spans="8:10" ht="14.25" customHeight="1" x14ac:dyDescent="0.3">
      <c r="H147" s="17"/>
      <c r="J147" s="15"/>
    </row>
    <row r="148" spans="8:10" ht="14.25" customHeight="1" x14ac:dyDescent="0.3">
      <c r="H148" s="17"/>
      <c r="J148" s="15"/>
    </row>
    <row r="149" spans="8:10" ht="14.25" customHeight="1" x14ac:dyDescent="0.3">
      <c r="H149" s="17"/>
      <c r="J149" s="15"/>
    </row>
    <row r="150" spans="8:10" ht="14.25" customHeight="1" x14ac:dyDescent="0.3">
      <c r="H150" s="17"/>
      <c r="J150" s="15"/>
    </row>
    <row r="151" spans="8:10" ht="14.25" customHeight="1" x14ac:dyDescent="0.3">
      <c r="H151" s="17"/>
      <c r="J151" s="15"/>
    </row>
    <row r="152" spans="8:10" ht="14.25" customHeight="1" x14ac:dyDescent="0.3">
      <c r="H152" s="17"/>
      <c r="J152" s="15"/>
    </row>
    <row r="153" spans="8:10" ht="14.25" customHeight="1" x14ac:dyDescent="0.3">
      <c r="H153" s="17"/>
      <c r="J153" s="15"/>
    </row>
    <row r="154" spans="8:10" ht="14.25" customHeight="1" x14ac:dyDescent="0.3">
      <c r="H154" s="17"/>
      <c r="J154" s="15"/>
    </row>
    <row r="155" spans="8:10" ht="14.25" customHeight="1" x14ac:dyDescent="0.3">
      <c r="H155" s="17"/>
      <c r="J155" s="15"/>
    </row>
    <row r="156" spans="8:10" ht="14.25" customHeight="1" x14ac:dyDescent="0.3">
      <c r="H156" s="17"/>
      <c r="J156" s="15"/>
    </row>
    <row r="157" spans="8:10" ht="14.25" customHeight="1" x14ac:dyDescent="0.3">
      <c r="H157" s="17"/>
      <c r="J157" s="15"/>
    </row>
    <row r="158" spans="8:10" ht="14.25" customHeight="1" x14ac:dyDescent="0.3">
      <c r="H158" s="17"/>
      <c r="J158" s="15"/>
    </row>
    <row r="159" spans="8:10" ht="14.25" customHeight="1" x14ac:dyDescent="0.3">
      <c r="H159" s="17"/>
      <c r="J159" s="15"/>
    </row>
    <row r="160" spans="8:10" ht="14.25" customHeight="1" x14ac:dyDescent="0.3">
      <c r="H160" s="17"/>
      <c r="J160" s="15"/>
    </row>
    <row r="161" spans="8:10" ht="14.25" customHeight="1" x14ac:dyDescent="0.3">
      <c r="H161" s="17"/>
      <c r="J161" s="15"/>
    </row>
    <row r="162" spans="8:10" ht="14.25" customHeight="1" x14ac:dyDescent="0.3">
      <c r="H162" s="17"/>
      <c r="J162" s="15"/>
    </row>
    <row r="163" spans="8:10" ht="14.25" customHeight="1" x14ac:dyDescent="0.3">
      <c r="H163" s="17"/>
      <c r="J163" s="15"/>
    </row>
    <row r="164" spans="8:10" ht="14.25" customHeight="1" x14ac:dyDescent="0.3">
      <c r="H164" s="17"/>
      <c r="J164" s="15"/>
    </row>
    <row r="165" spans="8:10" ht="14.25" customHeight="1" x14ac:dyDescent="0.3">
      <c r="H165" s="17"/>
      <c r="J165" s="15"/>
    </row>
    <row r="166" spans="8:10" ht="14.25" customHeight="1" x14ac:dyDescent="0.3">
      <c r="H166" s="17"/>
      <c r="J166" s="15"/>
    </row>
    <row r="167" spans="8:10" ht="14.25" customHeight="1" x14ac:dyDescent="0.3">
      <c r="H167" s="17"/>
      <c r="J167" s="15"/>
    </row>
    <row r="168" spans="8:10" ht="14.25" customHeight="1" x14ac:dyDescent="0.3">
      <c r="H168" s="17"/>
      <c r="J168" s="15"/>
    </row>
    <row r="169" spans="8:10" ht="14.25" customHeight="1" x14ac:dyDescent="0.3">
      <c r="H169" s="17"/>
      <c r="J169" s="15"/>
    </row>
    <row r="170" spans="8:10" ht="14.25" customHeight="1" x14ac:dyDescent="0.3">
      <c r="H170" s="17"/>
      <c r="J170" s="15"/>
    </row>
    <row r="171" spans="8:10" ht="14.25" customHeight="1" x14ac:dyDescent="0.3">
      <c r="H171" s="17"/>
      <c r="J171" s="15"/>
    </row>
    <row r="172" spans="8:10" ht="14.25" customHeight="1" x14ac:dyDescent="0.3">
      <c r="H172" s="17"/>
      <c r="J172" s="15"/>
    </row>
    <row r="173" spans="8:10" ht="14.25" customHeight="1" x14ac:dyDescent="0.3">
      <c r="H173" s="17"/>
      <c r="J173" s="15"/>
    </row>
    <row r="174" spans="8:10" ht="14.25" customHeight="1" x14ac:dyDescent="0.3">
      <c r="H174" s="17"/>
      <c r="J174" s="15"/>
    </row>
    <row r="175" spans="8:10" ht="14.25" customHeight="1" x14ac:dyDescent="0.3">
      <c r="H175" s="17"/>
      <c r="J175" s="15"/>
    </row>
    <row r="176" spans="8:10" ht="14.25" customHeight="1" x14ac:dyDescent="0.3">
      <c r="H176" s="17"/>
      <c r="J176" s="15"/>
    </row>
    <row r="177" spans="8:10" ht="14.25" customHeight="1" x14ac:dyDescent="0.3">
      <c r="H177" s="17"/>
      <c r="J177" s="15"/>
    </row>
    <row r="178" spans="8:10" ht="14.25" customHeight="1" x14ac:dyDescent="0.3">
      <c r="H178" s="17"/>
      <c r="J178" s="15"/>
    </row>
    <row r="179" spans="8:10" ht="14.25" customHeight="1" x14ac:dyDescent="0.3">
      <c r="H179" s="17"/>
      <c r="J179" s="15"/>
    </row>
    <row r="180" spans="8:10" ht="14.25" customHeight="1" x14ac:dyDescent="0.3">
      <c r="H180" s="17"/>
      <c r="J180" s="15"/>
    </row>
    <row r="181" spans="8:10" ht="14.25" customHeight="1" x14ac:dyDescent="0.3">
      <c r="H181" s="17"/>
      <c r="J181" s="15"/>
    </row>
    <row r="182" spans="8:10" ht="14.25" customHeight="1" x14ac:dyDescent="0.3">
      <c r="H182" s="17"/>
      <c r="J182" s="15"/>
    </row>
    <row r="183" spans="8:10" ht="14.25" customHeight="1" x14ac:dyDescent="0.3">
      <c r="H183" s="17"/>
      <c r="J183" s="15"/>
    </row>
    <row r="184" spans="8:10" ht="14.25" customHeight="1" x14ac:dyDescent="0.3">
      <c r="H184" s="17"/>
      <c r="J184" s="15"/>
    </row>
    <row r="185" spans="8:10" ht="14.25" customHeight="1" x14ac:dyDescent="0.3">
      <c r="H185" s="17"/>
      <c r="J185" s="15"/>
    </row>
    <row r="186" spans="8:10" ht="14.25" customHeight="1" x14ac:dyDescent="0.3">
      <c r="H186" s="17"/>
      <c r="J186" s="15"/>
    </row>
    <row r="187" spans="8:10" ht="14.25" customHeight="1" x14ac:dyDescent="0.3">
      <c r="H187" s="17"/>
      <c r="J187" s="15"/>
    </row>
    <row r="188" spans="8:10" ht="14.25" customHeight="1" x14ac:dyDescent="0.3">
      <c r="H188" s="17"/>
      <c r="J188" s="15"/>
    </row>
    <row r="189" spans="8:10" ht="14.25" customHeight="1" x14ac:dyDescent="0.3">
      <c r="H189" s="17"/>
      <c r="J189" s="15"/>
    </row>
    <row r="190" spans="8:10" ht="14.25" customHeight="1" x14ac:dyDescent="0.3">
      <c r="H190" s="17"/>
      <c r="J190" s="15"/>
    </row>
    <row r="191" spans="8:10" ht="14.25" customHeight="1" x14ac:dyDescent="0.3">
      <c r="H191" s="17"/>
      <c r="J191" s="15"/>
    </row>
    <row r="192" spans="8:10" ht="14.25" customHeight="1" x14ac:dyDescent="0.3">
      <c r="H192" s="17"/>
      <c r="J192" s="15"/>
    </row>
    <row r="193" spans="8:10" ht="14.25" customHeight="1" x14ac:dyDescent="0.3">
      <c r="H193" s="17"/>
      <c r="J193" s="15"/>
    </row>
    <row r="194" spans="8:10" ht="14.25" customHeight="1" x14ac:dyDescent="0.3">
      <c r="H194" s="17"/>
      <c r="J194" s="15"/>
    </row>
    <row r="195" spans="8:10" ht="14.25" customHeight="1" x14ac:dyDescent="0.3">
      <c r="H195" s="17"/>
      <c r="J195" s="15"/>
    </row>
    <row r="196" spans="8:10" ht="14.25" customHeight="1" x14ac:dyDescent="0.3">
      <c r="H196" s="17"/>
      <c r="J196" s="15"/>
    </row>
    <row r="197" spans="8:10" ht="14.25" customHeight="1" x14ac:dyDescent="0.3">
      <c r="H197" s="17"/>
      <c r="J197" s="15"/>
    </row>
    <row r="198" spans="8:10" ht="14.25" customHeight="1" x14ac:dyDescent="0.3">
      <c r="H198" s="17"/>
      <c r="J198" s="15"/>
    </row>
    <row r="199" spans="8:10" ht="14.25" customHeight="1" x14ac:dyDescent="0.3">
      <c r="H199" s="17"/>
      <c r="J199" s="15"/>
    </row>
    <row r="200" spans="8:10" ht="14.25" customHeight="1" x14ac:dyDescent="0.3">
      <c r="H200" s="17"/>
      <c r="J200" s="15"/>
    </row>
    <row r="201" spans="8:10" ht="14.25" customHeight="1" x14ac:dyDescent="0.3">
      <c r="H201" s="17"/>
      <c r="J201" s="15"/>
    </row>
    <row r="202" spans="8:10" ht="14.25" customHeight="1" x14ac:dyDescent="0.3">
      <c r="H202" s="17"/>
      <c r="J202" s="15"/>
    </row>
    <row r="203" spans="8:10" ht="14.25" customHeight="1" x14ac:dyDescent="0.3">
      <c r="H203" s="17"/>
      <c r="J203" s="15"/>
    </row>
    <row r="204" spans="8:10" ht="14.25" customHeight="1" x14ac:dyDescent="0.3">
      <c r="H204" s="17"/>
      <c r="J204" s="15"/>
    </row>
    <row r="205" spans="8:10" ht="14.25" customHeight="1" x14ac:dyDescent="0.3">
      <c r="H205" s="17"/>
      <c r="J205" s="15"/>
    </row>
    <row r="206" spans="8:10" ht="14.25" customHeight="1" x14ac:dyDescent="0.3">
      <c r="H206" s="17"/>
      <c r="J206" s="15"/>
    </row>
    <row r="207" spans="8:10" ht="14.25" customHeight="1" x14ac:dyDescent="0.3">
      <c r="H207" s="17"/>
      <c r="J207" s="15"/>
    </row>
    <row r="208" spans="8:10" ht="14.25" customHeight="1" x14ac:dyDescent="0.3">
      <c r="H208" s="17"/>
      <c r="J208" s="15"/>
    </row>
    <row r="209" spans="8:10" ht="14.25" customHeight="1" x14ac:dyDescent="0.3">
      <c r="H209" s="17"/>
      <c r="J209" s="15"/>
    </row>
    <row r="210" spans="8:10" ht="14.25" customHeight="1" x14ac:dyDescent="0.3">
      <c r="H210" s="17"/>
      <c r="J210" s="15"/>
    </row>
    <row r="211" spans="8:10" ht="14.25" customHeight="1" x14ac:dyDescent="0.3">
      <c r="H211" s="17"/>
      <c r="J211" s="15"/>
    </row>
    <row r="212" spans="8:10" ht="14.25" customHeight="1" x14ac:dyDescent="0.3">
      <c r="H212" s="17"/>
      <c r="J212" s="15"/>
    </row>
    <row r="213" spans="8:10" ht="14.25" customHeight="1" x14ac:dyDescent="0.3">
      <c r="H213" s="17"/>
      <c r="J213" s="15"/>
    </row>
    <row r="214" spans="8:10" ht="14.25" customHeight="1" x14ac:dyDescent="0.3">
      <c r="H214" s="17"/>
      <c r="J214" s="15"/>
    </row>
    <row r="215" spans="8:10" ht="14.25" customHeight="1" x14ac:dyDescent="0.3">
      <c r="H215" s="17"/>
      <c r="J215" s="15"/>
    </row>
    <row r="216" spans="8:10" ht="14.25" customHeight="1" x14ac:dyDescent="0.3">
      <c r="H216" s="17"/>
      <c r="J216" s="15"/>
    </row>
    <row r="217" spans="8:10" ht="14.25" customHeight="1" x14ac:dyDescent="0.3">
      <c r="H217" s="17"/>
      <c r="J217" s="15"/>
    </row>
    <row r="218" spans="8:10" ht="14.25" customHeight="1" x14ac:dyDescent="0.3">
      <c r="H218" s="17"/>
      <c r="J218" s="15"/>
    </row>
    <row r="219" spans="8:10" ht="14.25" customHeight="1" x14ac:dyDescent="0.3">
      <c r="H219" s="17"/>
      <c r="J219" s="15"/>
    </row>
    <row r="220" spans="8:10" ht="14.25" customHeight="1" x14ac:dyDescent="0.3">
      <c r="H220" s="17"/>
      <c r="J220" s="15"/>
    </row>
    <row r="221" spans="8:10" ht="14.25" customHeight="1" x14ac:dyDescent="0.3">
      <c r="H221" s="17"/>
      <c r="J221" s="15"/>
    </row>
    <row r="222" spans="8:10" ht="14.25" customHeight="1" x14ac:dyDescent="0.3">
      <c r="H222" s="17"/>
      <c r="J222" s="15"/>
    </row>
    <row r="223" spans="8:10" ht="14.25" customHeight="1" x14ac:dyDescent="0.3">
      <c r="H223" s="17"/>
      <c r="J223" s="15"/>
    </row>
    <row r="224" spans="8:10" ht="14.25" customHeight="1" x14ac:dyDescent="0.3">
      <c r="H224" s="17"/>
      <c r="J224" s="15"/>
    </row>
    <row r="225" spans="8:10" ht="14.25" customHeight="1" x14ac:dyDescent="0.3">
      <c r="H225" s="17"/>
      <c r="J225" s="15"/>
    </row>
    <row r="226" spans="8:10" ht="14.25" customHeight="1" x14ac:dyDescent="0.3">
      <c r="H226" s="17"/>
      <c r="J226" s="15"/>
    </row>
    <row r="227" spans="8:10" ht="14.25" customHeight="1" x14ac:dyDescent="0.3">
      <c r="H227" s="17"/>
      <c r="J227" s="15"/>
    </row>
    <row r="228" spans="8:10" ht="14.25" customHeight="1" x14ac:dyDescent="0.3">
      <c r="H228" s="17"/>
      <c r="J228" s="15"/>
    </row>
    <row r="229" spans="8:10" ht="14.25" customHeight="1" x14ac:dyDescent="0.3">
      <c r="H229" s="17"/>
      <c r="J229" s="15"/>
    </row>
    <row r="230" spans="8:10" ht="14.25" customHeight="1" x14ac:dyDescent="0.3">
      <c r="H230" s="17"/>
      <c r="J230" s="15"/>
    </row>
    <row r="231" spans="8:10" ht="14.25" customHeight="1" x14ac:dyDescent="0.3">
      <c r="H231" s="17"/>
      <c r="J231" s="15"/>
    </row>
    <row r="232" spans="8:10" ht="14.25" customHeight="1" x14ac:dyDescent="0.3">
      <c r="H232" s="17"/>
      <c r="J232" s="15"/>
    </row>
    <row r="233" spans="8:10" ht="14.25" customHeight="1" x14ac:dyDescent="0.3">
      <c r="H233" s="17"/>
      <c r="J233" s="15"/>
    </row>
    <row r="234" spans="8:10" ht="14.25" customHeight="1" x14ac:dyDescent="0.3">
      <c r="H234" s="17"/>
      <c r="J234" s="15"/>
    </row>
    <row r="235" spans="8:10" ht="14.25" customHeight="1" x14ac:dyDescent="0.3">
      <c r="H235" s="17"/>
      <c r="J235" s="15"/>
    </row>
    <row r="236" spans="8:10" ht="14.25" customHeight="1" x14ac:dyDescent="0.3">
      <c r="H236" s="17"/>
      <c r="J236" s="15"/>
    </row>
    <row r="237" spans="8:10" ht="14.25" customHeight="1" x14ac:dyDescent="0.3">
      <c r="H237" s="17"/>
      <c r="J237" s="15"/>
    </row>
    <row r="238" spans="8:10" ht="14.25" customHeight="1" x14ac:dyDescent="0.3">
      <c r="H238" s="17"/>
      <c r="J238" s="15"/>
    </row>
    <row r="239" spans="8:10" ht="14.25" customHeight="1" x14ac:dyDescent="0.3">
      <c r="H239" s="17"/>
      <c r="J239" s="15"/>
    </row>
    <row r="240" spans="8:10" ht="14.25" customHeight="1" x14ac:dyDescent="0.3">
      <c r="H240" s="17"/>
      <c r="J240" s="15"/>
    </row>
    <row r="241" spans="8:10" ht="14.25" customHeight="1" x14ac:dyDescent="0.3">
      <c r="H241" s="17"/>
      <c r="J241" s="15"/>
    </row>
    <row r="242" spans="8:10" ht="14.25" customHeight="1" x14ac:dyDescent="0.3">
      <c r="H242" s="17"/>
      <c r="J242" s="15"/>
    </row>
    <row r="243" spans="8:10" ht="14.25" customHeight="1" x14ac:dyDescent="0.3">
      <c r="H243" s="17"/>
      <c r="J243" s="15"/>
    </row>
    <row r="244" spans="8:10" ht="14.25" customHeight="1" x14ac:dyDescent="0.3">
      <c r="H244" s="17"/>
      <c r="J244" s="15"/>
    </row>
    <row r="245" spans="8:10" ht="14.25" customHeight="1" x14ac:dyDescent="0.3">
      <c r="H245" s="17"/>
      <c r="J245" s="15"/>
    </row>
    <row r="246" spans="8:10" ht="14.25" customHeight="1" x14ac:dyDescent="0.3">
      <c r="H246" s="17"/>
      <c r="J246" s="15"/>
    </row>
    <row r="247" spans="8:10" ht="14.25" customHeight="1" x14ac:dyDescent="0.3">
      <c r="H247" s="17"/>
      <c r="J247" s="15"/>
    </row>
    <row r="248" spans="8:10" ht="14.25" customHeight="1" x14ac:dyDescent="0.3">
      <c r="H248" s="17"/>
      <c r="J248" s="15"/>
    </row>
    <row r="249" spans="8:10" ht="14.25" customHeight="1" x14ac:dyDescent="0.3">
      <c r="H249" s="17"/>
      <c r="J249" s="15"/>
    </row>
    <row r="250" spans="8:10" ht="14.25" customHeight="1" x14ac:dyDescent="0.3">
      <c r="H250" s="17"/>
      <c r="J250" s="15"/>
    </row>
    <row r="251" spans="8:10" ht="14.25" customHeight="1" x14ac:dyDescent="0.3">
      <c r="H251" s="17"/>
      <c r="J251" s="15"/>
    </row>
    <row r="252" spans="8:10" ht="14.25" customHeight="1" x14ac:dyDescent="0.3">
      <c r="H252" s="17"/>
      <c r="J252" s="15"/>
    </row>
    <row r="253" spans="8:10" ht="14.25" customHeight="1" x14ac:dyDescent="0.3">
      <c r="H253" s="17"/>
      <c r="J253" s="15"/>
    </row>
    <row r="254" spans="8:10" ht="14.25" customHeight="1" x14ac:dyDescent="0.3">
      <c r="H254" s="17"/>
      <c r="J254" s="15"/>
    </row>
    <row r="255" spans="8:10" ht="14.25" customHeight="1" x14ac:dyDescent="0.3">
      <c r="H255" s="17"/>
      <c r="J255" s="15"/>
    </row>
    <row r="256" spans="8:10" ht="14.25" customHeight="1" x14ac:dyDescent="0.3">
      <c r="H256" s="17"/>
      <c r="J256" s="15"/>
    </row>
    <row r="257" spans="8:10" ht="14.25" customHeight="1" x14ac:dyDescent="0.3">
      <c r="H257" s="17"/>
      <c r="J257" s="15"/>
    </row>
    <row r="258" spans="8:10" ht="14.25" customHeight="1" x14ac:dyDescent="0.3">
      <c r="H258" s="17"/>
      <c r="J258" s="15"/>
    </row>
    <row r="259" spans="8:10" ht="14.25" customHeight="1" x14ac:dyDescent="0.3">
      <c r="H259" s="17"/>
      <c r="J259" s="15"/>
    </row>
    <row r="260" spans="8:10" ht="14.25" customHeight="1" x14ac:dyDescent="0.3">
      <c r="H260" s="17"/>
      <c r="J260" s="15"/>
    </row>
    <row r="261" spans="8:10" ht="14.25" customHeight="1" x14ac:dyDescent="0.3">
      <c r="H261" s="17"/>
      <c r="J261" s="15"/>
    </row>
    <row r="262" spans="8:10" ht="14.25" customHeight="1" x14ac:dyDescent="0.3">
      <c r="H262" s="17"/>
      <c r="J262" s="15"/>
    </row>
    <row r="263" spans="8:10" ht="14.25" customHeight="1" x14ac:dyDescent="0.3">
      <c r="H263" s="17"/>
      <c r="J263" s="15"/>
    </row>
    <row r="264" spans="8:10" ht="14.25" customHeight="1" x14ac:dyDescent="0.3">
      <c r="H264" s="17"/>
      <c r="J264" s="15"/>
    </row>
    <row r="265" spans="8:10" ht="14.25" customHeight="1" x14ac:dyDescent="0.3">
      <c r="H265" s="17"/>
      <c r="J265" s="15"/>
    </row>
    <row r="266" spans="8:10" ht="14.25" customHeight="1" x14ac:dyDescent="0.3">
      <c r="H266" s="17"/>
      <c r="J266" s="15"/>
    </row>
    <row r="267" spans="8:10" ht="14.25" customHeight="1" x14ac:dyDescent="0.3">
      <c r="H267" s="17"/>
      <c r="J267" s="15"/>
    </row>
    <row r="268" spans="8:10" ht="14.25" customHeight="1" x14ac:dyDescent="0.3">
      <c r="H268" s="17"/>
      <c r="J268" s="15"/>
    </row>
    <row r="269" spans="8:10" ht="14.25" customHeight="1" x14ac:dyDescent="0.3">
      <c r="H269" s="17"/>
      <c r="J269" s="15"/>
    </row>
    <row r="270" spans="8:10" ht="14.25" customHeight="1" x14ac:dyDescent="0.3">
      <c r="H270" s="17"/>
      <c r="J270" s="15"/>
    </row>
    <row r="271" spans="8:10" ht="14.25" customHeight="1" x14ac:dyDescent="0.3">
      <c r="H271" s="17"/>
      <c r="J271" s="15"/>
    </row>
    <row r="272" spans="8:10" ht="14.25" customHeight="1" x14ac:dyDescent="0.3">
      <c r="H272" s="17"/>
      <c r="J272" s="15"/>
    </row>
    <row r="273" spans="8:10" ht="14.25" customHeight="1" x14ac:dyDescent="0.3">
      <c r="H273" s="17"/>
      <c r="J273" s="15"/>
    </row>
    <row r="274" spans="8:10" ht="14.25" customHeight="1" x14ac:dyDescent="0.3">
      <c r="H274" s="17"/>
      <c r="J274" s="15"/>
    </row>
    <row r="275" spans="8:10" ht="14.25" customHeight="1" x14ac:dyDescent="0.3">
      <c r="H275" s="17"/>
      <c r="J275" s="15"/>
    </row>
    <row r="276" spans="8:10" ht="14.25" customHeight="1" x14ac:dyDescent="0.3">
      <c r="H276" s="17"/>
      <c r="J276" s="15"/>
    </row>
    <row r="277" spans="8:10" ht="14.25" customHeight="1" x14ac:dyDescent="0.3">
      <c r="H277" s="17"/>
      <c r="J277" s="15"/>
    </row>
    <row r="278" spans="8:10" ht="14.25" customHeight="1" x14ac:dyDescent="0.3">
      <c r="H278" s="17"/>
      <c r="J278" s="15"/>
    </row>
    <row r="279" spans="8:10" ht="14.25" customHeight="1" x14ac:dyDescent="0.3">
      <c r="H279" s="17"/>
      <c r="J279" s="15"/>
    </row>
    <row r="280" spans="8:10" ht="14.25" customHeight="1" x14ac:dyDescent="0.3">
      <c r="H280" s="17"/>
      <c r="J280" s="15"/>
    </row>
    <row r="281" spans="8:10" ht="14.25" customHeight="1" x14ac:dyDescent="0.3">
      <c r="H281" s="17"/>
      <c r="J281" s="15"/>
    </row>
    <row r="282" spans="8:10" ht="14.25" customHeight="1" x14ac:dyDescent="0.3">
      <c r="H282" s="17"/>
      <c r="J282" s="15"/>
    </row>
    <row r="283" spans="8:10" ht="14.25" customHeight="1" x14ac:dyDescent="0.3">
      <c r="H283" s="17"/>
      <c r="J283" s="15"/>
    </row>
    <row r="284" spans="8:10" ht="14.25" customHeight="1" x14ac:dyDescent="0.3">
      <c r="H284" s="17"/>
      <c r="J284" s="15"/>
    </row>
    <row r="285" spans="8:10" ht="14.25" customHeight="1" x14ac:dyDescent="0.3">
      <c r="H285" s="17"/>
      <c r="J285" s="15"/>
    </row>
    <row r="286" spans="8:10" ht="14.25" customHeight="1" x14ac:dyDescent="0.3">
      <c r="H286" s="17"/>
      <c r="J286" s="15"/>
    </row>
    <row r="287" spans="8:10" ht="14.25" customHeight="1" x14ac:dyDescent="0.3">
      <c r="H287" s="17"/>
      <c r="J287" s="15"/>
    </row>
    <row r="288" spans="8:10" ht="14.25" customHeight="1" x14ac:dyDescent="0.3">
      <c r="H288" s="17"/>
      <c r="J288" s="15"/>
    </row>
    <row r="289" spans="8:10" ht="14.25" customHeight="1" x14ac:dyDescent="0.3">
      <c r="H289" s="17"/>
      <c r="J289" s="15"/>
    </row>
    <row r="290" spans="8:10" ht="14.25" customHeight="1" x14ac:dyDescent="0.3">
      <c r="H290" s="17"/>
      <c r="J290" s="15"/>
    </row>
    <row r="291" spans="8:10" ht="14.25" customHeight="1" x14ac:dyDescent="0.3">
      <c r="H291" s="17"/>
      <c r="J291" s="15"/>
    </row>
    <row r="292" spans="8:10" ht="14.25" customHeight="1" x14ac:dyDescent="0.3">
      <c r="H292" s="17"/>
      <c r="J292" s="15"/>
    </row>
    <row r="293" spans="8:10" ht="14.25" customHeight="1" x14ac:dyDescent="0.3">
      <c r="H293" s="17"/>
      <c r="J293" s="15"/>
    </row>
    <row r="294" spans="8:10" ht="14.25" customHeight="1" x14ac:dyDescent="0.3">
      <c r="H294" s="17"/>
      <c r="J294" s="15"/>
    </row>
    <row r="295" spans="8:10" ht="14.25" customHeight="1" x14ac:dyDescent="0.3">
      <c r="H295" s="17"/>
      <c r="J295" s="15"/>
    </row>
    <row r="296" spans="8:10" ht="14.25" customHeight="1" x14ac:dyDescent="0.3">
      <c r="H296" s="17"/>
      <c r="J296" s="15"/>
    </row>
    <row r="297" spans="8:10" ht="14.25" customHeight="1" x14ac:dyDescent="0.3">
      <c r="H297" s="17"/>
      <c r="J297" s="15"/>
    </row>
    <row r="298" spans="8:10" ht="14.25" customHeight="1" x14ac:dyDescent="0.3">
      <c r="H298" s="17"/>
      <c r="J298" s="15"/>
    </row>
    <row r="299" spans="8:10" ht="14.25" customHeight="1" x14ac:dyDescent="0.3">
      <c r="H299" s="17"/>
      <c r="J299" s="15"/>
    </row>
    <row r="300" spans="8:10" ht="14.25" customHeight="1" x14ac:dyDescent="0.3">
      <c r="H300" s="17"/>
      <c r="J300" s="15"/>
    </row>
    <row r="301" spans="8:10" ht="14.25" customHeight="1" x14ac:dyDescent="0.3">
      <c r="H301" s="17"/>
      <c r="J301" s="15"/>
    </row>
    <row r="302" spans="8:10" ht="14.25" customHeight="1" x14ac:dyDescent="0.3">
      <c r="H302" s="17"/>
      <c r="J302" s="15"/>
    </row>
    <row r="303" spans="8:10" ht="15.75" customHeight="1" x14ac:dyDescent="0.3"/>
    <row r="304" spans="8:10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5">
    <mergeCell ref="A100:B100"/>
    <mergeCell ref="A101:B101"/>
    <mergeCell ref="A102:E102"/>
    <mergeCell ref="B4:J4"/>
    <mergeCell ref="B10:J11"/>
    <mergeCell ref="B24:J25"/>
    <mergeCell ref="B31:J31"/>
    <mergeCell ref="B37:J38"/>
    <mergeCell ref="B49:J49"/>
    <mergeCell ref="B55:J56"/>
    <mergeCell ref="B69:J70"/>
    <mergeCell ref="B75:J75"/>
    <mergeCell ref="B81:J82"/>
    <mergeCell ref="A97:B97"/>
    <mergeCell ref="A99:H99"/>
  </mergeCells>
  <conditionalFormatting sqref="C97">
    <cfRule type="cellIs" dxfId="1" priority="1" operator="between">
      <formula>30</formula>
      <formula>60</formula>
    </cfRule>
    <cfRule type="expression" dxfId="0" priority="2">
      <formula>"AND(c57&gt;=30;c57&lt;=60)"</formula>
    </cfRule>
  </conditionalFormatting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sqref="A1:F1"/>
    </sheetView>
  </sheetViews>
  <sheetFormatPr defaultColWidth="14.44140625" defaultRowHeight="15" customHeight="1" x14ac:dyDescent="0.3"/>
  <cols>
    <col min="1" max="26" width="8.6640625" customWidth="1"/>
  </cols>
  <sheetData>
    <row r="1" spans="1:10" ht="14.25" customHeight="1" x14ac:dyDescent="0.3">
      <c r="A1" s="213" t="s">
        <v>120</v>
      </c>
      <c r="B1" s="190"/>
      <c r="C1" s="190"/>
      <c r="D1" s="190"/>
      <c r="E1" s="190"/>
      <c r="F1" s="214"/>
      <c r="G1" s="21"/>
      <c r="H1" s="17"/>
      <c r="I1" s="22"/>
      <c r="J1" s="15"/>
    </row>
    <row r="2" spans="1:10" ht="14.25" customHeight="1" x14ac:dyDescent="0.3">
      <c r="A2" s="215" t="s">
        <v>121</v>
      </c>
      <c r="B2" s="216"/>
      <c r="C2" s="217" t="s">
        <v>122</v>
      </c>
      <c r="D2" s="156"/>
      <c r="E2" s="218" t="s">
        <v>123</v>
      </c>
      <c r="F2" s="156"/>
      <c r="G2" s="23"/>
      <c r="H2" s="17"/>
      <c r="I2" s="22"/>
      <c r="J2" s="15"/>
    </row>
    <row r="3" spans="1:10" ht="14.25" customHeight="1" x14ac:dyDescent="0.3">
      <c r="A3" s="219" t="s">
        <v>124</v>
      </c>
      <c r="B3" s="208"/>
      <c r="C3" s="219" t="s">
        <v>125</v>
      </c>
      <c r="D3" s="175"/>
      <c r="E3" s="220">
        <v>35</v>
      </c>
      <c r="F3" s="175"/>
      <c r="G3" s="23"/>
      <c r="H3" s="17"/>
      <c r="I3" s="22"/>
      <c r="J3" s="15"/>
    </row>
    <row r="4" spans="1:10" ht="14.25" customHeight="1" x14ac:dyDescent="0.3">
      <c r="A4" s="221" t="s">
        <v>126</v>
      </c>
      <c r="B4" s="202"/>
      <c r="C4" s="221" t="s">
        <v>127</v>
      </c>
      <c r="D4" s="160"/>
      <c r="E4" s="222">
        <v>85</v>
      </c>
      <c r="F4" s="160"/>
      <c r="G4" s="23"/>
      <c r="H4" s="17"/>
      <c r="I4" s="22"/>
      <c r="J4" s="15"/>
    </row>
    <row r="5" spans="1:10" ht="14.25" customHeight="1" x14ac:dyDescent="0.3">
      <c r="A5" s="221" t="s">
        <v>128</v>
      </c>
      <c r="B5" s="202"/>
      <c r="C5" s="221" t="s">
        <v>129</v>
      </c>
      <c r="D5" s="160"/>
      <c r="E5" s="222">
        <v>35</v>
      </c>
      <c r="F5" s="160"/>
      <c r="G5" s="23"/>
      <c r="H5" s="17"/>
      <c r="I5" s="22"/>
      <c r="J5" s="15"/>
    </row>
    <row r="6" spans="1:10" ht="14.25" customHeight="1" x14ac:dyDescent="0.3">
      <c r="A6" s="221" t="s">
        <v>130</v>
      </c>
      <c r="B6" s="160"/>
      <c r="C6" s="221" t="s">
        <v>131</v>
      </c>
      <c r="D6" s="160"/>
      <c r="E6" s="221">
        <v>85</v>
      </c>
      <c r="F6" s="160"/>
      <c r="G6" s="23"/>
      <c r="H6" s="17"/>
      <c r="I6" s="22"/>
      <c r="J6" s="15"/>
    </row>
    <row r="7" spans="1:10" ht="14.25" customHeight="1" x14ac:dyDescent="0.3">
      <c r="A7" s="221" t="s">
        <v>127</v>
      </c>
      <c r="B7" s="160"/>
      <c r="C7" s="221" t="s">
        <v>131</v>
      </c>
      <c r="D7" s="160"/>
      <c r="E7" s="221">
        <v>5</v>
      </c>
      <c r="F7" s="160"/>
      <c r="G7" s="23"/>
      <c r="H7" s="17"/>
      <c r="I7" s="22"/>
      <c r="J7" s="15"/>
    </row>
    <row r="8" spans="1:10" ht="14.25" customHeight="1" x14ac:dyDescent="0.3">
      <c r="A8" s="221" t="s">
        <v>129</v>
      </c>
      <c r="B8" s="160"/>
      <c r="C8" s="221" t="s">
        <v>125</v>
      </c>
      <c r="D8" s="160"/>
      <c r="E8" s="221">
        <v>5</v>
      </c>
      <c r="F8" s="160"/>
      <c r="G8" s="23"/>
      <c r="H8" s="17"/>
      <c r="I8" s="22"/>
      <c r="J8" s="15"/>
    </row>
    <row r="9" spans="1:10" ht="14.25" customHeight="1" x14ac:dyDescent="0.3">
      <c r="A9" s="221" t="s">
        <v>124</v>
      </c>
      <c r="B9" s="160"/>
      <c r="C9" s="221" t="s">
        <v>128</v>
      </c>
      <c r="D9" s="160"/>
      <c r="E9" s="221">
        <v>5</v>
      </c>
      <c r="F9" s="160"/>
      <c r="G9" s="23"/>
      <c r="H9" s="17"/>
      <c r="I9" s="22"/>
      <c r="J9" s="15"/>
    </row>
    <row r="10" spans="1:10" ht="14.25" customHeight="1" x14ac:dyDescent="0.3">
      <c r="A10" s="224" t="s">
        <v>130</v>
      </c>
      <c r="B10" s="225"/>
      <c r="C10" s="224" t="s">
        <v>126</v>
      </c>
      <c r="D10" s="164"/>
      <c r="E10" s="226">
        <v>5</v>
      </c>
      <c r="F10" s="164"/>
      <c r="G10" s="23"/>
      <c r="H10" s="17"/>
      <c r="I10" s="22"/>
      <c r="J10" s="15"/>
    </row>
    <row r="11" spans="1:10" ht="14.25" customHeight="1" x14ac:dyDescent="0.3">
      <c r="A11" s="22"/>
      <c r="B11" s="22"/>
      <c r="C11" s="22"/>
      <c r="D11" s="22"/>
      <c r="F11" s="22"/>
      <c r="G11" s="22"/>
      <c r="H11" s="17"/>
      <c r="I11" s="22"/>
      <c r="J11" s="15"/>
    </row>
    <row r="12" spans="1:10" ht="14.25" customHeight="1" x14ac:dyDescent="0.3">
      <c r="A12" s="223" t="s">
        <v>132</v>
      </c>
      <c r="B12" s="188"/>
      <c r="C12" s="188"/>
      <c r="D12" s="188"/>
      <c r="E12" s="211">
        <f>SUM(E3:F10)</f>
        <v>260</v>
      </c>
      <c r="F12" s="188"/>
      <c r="G12" s="22"/>
      <c r="H12" s="17"/>
      <c r="I12" s="22"/>
      <c r="J12" s="15"/>
    </row>
    <row r="13" spans="1:10" ht="14.25" customHeight="1" x14ac:dyDescent="0.3">
      <c r="A13" s="22"/>
      <c r="B13" s="22"/>
      <c r="C13" s="22"/>
      <c r="D13" s="22"/>
      <c r="E13" s="22"/>
      <c r="F13" s="22"/>
      <c r="G13" s="22"/>
      <c r="H13" s="17"/>
      <c r="I13" s="22"/>
      <c r="J13" s="15"/>
    </row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0">
    <mergeCell ref="A12:D12"/>
    <mergeCell ref="E12:F12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C6:D6"/>
    <mergeCell ref="E6:F6"/>
    <mergeCell ref="A4:B4"/>
    <mergeCell ref="C4:D4"/>
    <mergeCell ref="E4:F4"/>
    <mergeCell ref="A5:B5"/>
    <mergeCell ref="C5:D5"/>
    <mergeCell ref="E5:F5"/>
    <mergeCell ref="A6:B6"/>
    <mergeCell ref="A1:F1"/>
    <mergeCell ref="A2:B2"/>
    <mergeCell ref="C2:D2"/>
    <mergeCell ref="E2:F2"/>
    <mergeCell ref="A3:B3"/>
    <mergeCell ref="C3:D3"/>
    <mergeCell ref="E3:F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7"/>
  <sheetViews>
    <sheetView tabSelected="1" zoomScale="85" zoomScaleNormal="85" workbookViewId="0">
      <selection activeCell="E5" sqref="E5"/>
    </sheetView>
  </sheetViews>
  <sheetFormatPr defaultColWidth="14.44140625" defaultRowHeight="15" customHeight="1" x14ac:dyDescent="0.3"/>
  <cols>
    <col min="1" max="1" width="24.44140625" customWidth="1"/>
    <col min="2" max="2" width="29.33203125" customWidth="1"/>
    <col min="3" max="3" width="19.88671875" customWidth="1"/>
    <col min="4" max="5" width="26" customWidth="1"/>
    <col min="6" max="6" width="48.5546875" customWidth="1"/>
    <col min="7" max="7" width="45.88671875" customWidth="1"/>
    <col min="8" max="8" width="19.6640625" customWidth="1"/>
    <col min="9" max="9" width="22.44140625" customWidth="1"/>
    <col min="10" max="10" width="22.6640625" customWidth="1"/>
    <col min="11" max="26" width="8.88671875" customWidth="1"/>
  </cols>
  <sheetData>
    <row r="1" spans="1:26" ht="14.25" customHeight="1" x14ac:dyDescent="0.3">
      <c r="A1" s="24" t="s">
        <v>133</v>
      </c>
      <c r="B1" s="25" t="s">
        <v>134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4.25" customHeight="1" x14ac:dyDescent="0.3">
      <c r="A2" s="27" t="s">
        <v>135</v>
      </c>
      <c r="B2" s="28">
        <v>25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4.25" customHeight="1" x14ac:dyDescent="0.3">
      <c r="A3" s="29" t="s">
        <v>136</v>
      </c>
      <c r="B3" s="30">
        <v>0.1</v>
      </c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4.25" customHeight="1" x14ac:dyDescent="0.3">
      <c r="A4" s="31" t="s">
        <v>137</v>
      </c>
      <c r="B4" s="32">
        <v>300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4.25" customHeight="1" x14ac:dyDescent="0.3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4.25" customHeight="1" x14ac:dyDescent="0.3">
      <c r="A6" s="26" t="s">
        <v>138</v>
      </c>
      <c r="B6" s="26">
        <v>0.7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4.25" customHeight="1" x14ac:dyDescent="0.3">
      <c r="A7" s="26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4.25" customHeight="1" x14ac:dyDescent="0.3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4.25" customHeight="1" x14ac:dyDescent="0.3">
      <c r="A9" s="25" t="s">
        <v>139</v>
      </c>
      <c r="B9" s="155" t="s">
        <v>9</v>
      </c>
      <c r="C9" s="156"/>
      <c r="D9" s="33" t="s">
        <v>140</v>
      </c>
      <c r="E9" s="34" t="s">
        <v>141</v>
      </c>
      <c r="F9" s="34" t="s">
        <v>142</v>
      </c>
      <c r="G9" s="35" t="s">
        <v>143</v>
      </c>
      <c r="H9" s="34" t="s">
        <v>144</v>
      </c>
      <c r="I9" s="35" t="s">
        <v>145</v>
      </c>
      <c r="J9" s="25" t="s">
        <v>146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4.25" customHeight="1" x14ac:dyDescent="0.3">
      <c r="A10" s="180" t="s">
        <v>147</v>
      </c>
      <c r="B10" s="157" t="s">
        <v>12</v>
      </c>
      <c r="C10" s="158"/>
      <c r="D10" s="36">
        <v>1</v>
      </c>
      <c r="E10" s="36">
        <f t="shared" ref="E10:E33" si="0">F10*D10/1000</f>
        <v>0.38506999999999997</v>
      </c>
      <c r="F10" s="37">
        <f t="shared" ref="F10:F33" si="1">SUM($B$2*G10,$B$3*H10,$B$4*I10)*$B$6</f>
        <v>385.07</v>
      </c>
      <c r="G10" s="38">
        <v>10</v>
      </c>
      <c r="H10" s="37">
        <v>1</v>
      </c>
      <c r="I10" s="38">
        <v>1</v>
      </c>
      <c r="J10" s="30">
        <f t="shared" ref="J10:J33" si="2">SUM(G10:I10)*D10</f>
        <v>12</v>
      </c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4.25" customHeight="1" x14ac:dyDescent="0.3">
      <c r="A11" s="181"/>
      <c r="B11" s="159" t="s">
        <v>14</v>
      </c>
      <c r="C11" s="160"/>
      <c r="D11" s="29">
        <v>1</v>
      </c>
      <c r="E11" s="29">
        <f t="shared" si="0"/>
        <v>0.38506999999999997</v>
      </c>
      <c r="F11" s="30">
        <f t="shared" si="1"/>
        <v>385.07</v>
      </c>
      <c r="G11" s="39">
        <v>10</v>
      </c>
      <c r="H11" s="30">
        <v>1</v>
      </c>
      <c r="I11" s="39">
        <v>1</v>
      </c>
      <c r="J11" s="30">
        <f t="shared" si="2"/>
        <v>12</v>
      </c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4.25" customHeight="1" x14ac:dyDescent="0.3">
      <c r="A12" s="181"/>
      <c r="B12" s="159" t="s">
        <v>17</v>
      </c>
      <c r="C12" s="160"/>
      <c r="D12" s="29">
        <v>5</v>
      </c>
      <c r="E12" s="29">
        <f t="shared" si="0"/>
        <v>1.7503499999999999</v>
      </c>
      <c r="F12" s="30">
        <f t="shared" si="1"/>
        <v>350.07</v>
      </c>
      <c r="G12" s="39">
        <v>8</v>
      </c>
      <c r="H12" s="30">
        <v>1</v>
      </c>
      <c r="I12" s="39">
        <v>1</v>
      </c>
      <c r="J12" s="30">
        <f t="shared" si="2"/>
        <v>50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4.25" customHeight="1" x14ac:dyDescent="0.3">
      <c r="A13" s="181"/>
      <c r="B13" s="159" t="s">
        <v>26</v>
      </c>
      <c r="C13" s="160"/>
      <c r="D13" s="29">
        <v>1</v>
      </c>
      <c r="E13" s="29">
        <f t="shared" si="0"/>
        <v>0.70013999999999998</v>
      </c>
      <c r="F13" s="30">
        <f t="shared" si="1"/>
        <v>700.14</v>
      </c>
      <c r="G13" s="39">
        <v>16</v>
      </c>
      <c r="H13" s="30">
        <v>2</v>
      </c>
      <c r="I13" s="39">
        <v>2</v>
      </c>
      <c r="J13" s="30">
        <f t="shared" si="2"/>
        <v>20</v>
      </c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4.25" customHeight="1" x14ac:dyDescent="0.3">
      <c r="A14" s="181"/>
      <c r="B14" s="159" t="s">
        <v>30</v>
      </c>
      <c r="C14" s="160"/>
      <c r="D14" s="29">
        <v>7</v>
      </c>
      <c r="E14" s="29">
        <f t="shared" si="0"/>
        <v>3.1854899999999997</v>
      </c>
      <c r="F14" s="30">
        <f t="shared" si="1"/>
        <v>455.07</v>
      </c>
      <c r="G14" s="39">
        <v>14</v>
      </c>
      <c r="H14" s="30">
        <v>1</v>
      </c>
      <c r="I14" s="39">
        <v>1</v>
      </c>
      <c r="J14" s="30">
        <f t="shared" si="2"/>
        <v>112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4.25" customHeight="1" x14ac:dyDescent="0.3">
      <c r="A15" s="181"/>
      <c r="B15" s="159" t="s">
        <v>28</v>
      </c>
      <c r="C15" s="160"/>
      <c r="D15" s="29">
        <v>1</v>
      </c>
      <c r="E15" s="29">
        <f t="shared" si="0"/>
        <v>1.52257</v>
      </c>
      <c r="F15" s="30">
        <f t="shared" si="1"/>
        <v>1522.57</v>
      </c>
      <c r="G15" s="39">
        <v>63</v>
      </c>
      <c r="H15" s="30">
        <v>1</v>
      </c>
      <c r="I15" s="39">
        <v>2</v>
      </c>
      <c r="J15" s="30">
        <f t="shared" si="2"/>
        <v>66</v>
      </c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4.25" customHeight="1" x14ac:dyDescent="0.3">
      <c r="A16" s="181"/>
      <c r="B16" s="159" t="s">
        <v>36</v>
      </c>
      <c r="C16" s="160"/>
      <c r="D16" s="29">
        <v>2</v>
      </c>
      <c r="E16" s="29">
        <f t="shared" si="0"/>
        <v>2.1351399999999998</v>
      </c>
      <c r="F16" s="30">
        <f t="shared" si="1"/>
        <v>1067.57</v>
      </c>
      <c r="G16" s="39">
        <v>37</v>
      </c>
      <c r="H16" s="30">
        <v>1</v>
      </c>
      <c r="I16" s="39">
        <v>2</v>
      </c>
      <c r="J16" s="30">
        <f t="shared" si="2"/>
        <v>80</v>
      </c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4.25" customHeight="1" x14ac:dyDescent="0.3">
      <c r="A17" s="181"/>
      <c r="B17" s="159" t="s">
        <v>45</v>
      </c>
      <c r="C17" s="160"/>
      <c r="D17" s="29">
        <v>2</v>
      </c>
      <c r="E17" s="29">
        <f t="shared" si="0"/>
        <v>1.3651399999999998</v>
      </c>
      <c r="F17" s="30">
        <f t="shared" si="1"/>
        <v>682.56999999999994</v>
      </c>
      <c r="G17" s="39">
        <v>15</v>
      </c>
      <c r="H17" s="30">
        <v>1</v>
      </c>
      <c r="I17" s="39">
        <v>2</v>
      </c>
      <c r="J17" s="30">
        <f t="shared" si="2"/>
        <v>36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4.25" customHeight="1" x14ac:dyDescent="0.3">
      <c r="A18" s="181"/>
      <c r="B18" s="159" t="s">
        <v>48</v>
      </c>
      <c r="C18" s="160"/>
      <c r="D18" s="29">
        <v>2</v>
      </c>
      <c r="E18" s="29">
        <f t="shared" si="0"/>
        <v>0.77013999999999994</v>
      </c>
      <c r="F18" s="30">
        <f t="shared" si="1"/>
        <v>385.07</v>
      </c>
      <c r="G18" s="39">
        <v>10</v>
      </c>
      <c r="H18" s="30">
        <v>1</v>
      </c>
      <c r="I18" s="39">
        <v>1</v>
      </c>
      <c r="J18" s="30">
        <f t="shared" si="2"/>
        <v>24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4.25" customHeight="1" x14ac:dyDescent="0.3">
      <c r="A19" s="181"/>
      <c r="B19" s="159" t="s">
        <v>52</v>
      </c>
      <c r="C19" s="160"/>
      <c r="D19" s="29">
        <v>5</v>
      </c>
      <c r="E19" s="29">
        <f t="shared" si="0"/>
        <v>1.7503499999999999</v>
      </c>
      <c r="F19" s="30">
        <f t="shared" si="1"/>
        <v>350.07</v>
      </c>
      <c r="G19" s="39">
        <v>8</v>
      </c>
      <c r="H19" s="30">
        <v>1</v>
      </c>
      <c r="I19" s="39">
        <v>1</v>
      </c>
      <c r="J19" s="30">
        <f t="shared" si="2"/>
        <v>50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4.25" customHeight="1" x14ac:dyDescent="0.3">
      <c r="A20" s="181"/>
      <c r="B20" s="159" t="s">
        <v>60</v>
      </c>
      <c r="C20" s="160"/>
      <c r="D20" s="29">
        <v>6</v>
      </c>
      <c r="E20" s="29">
        <f t="shared" si="0"/>
        <v>2.5204200000000001</v>
      </c>
      <c r="F20" s="30">
        <f t="shared" si="1"/>
        <v>420.07</v>
      </c>
      <c r="G20" s="39">
        <v>12</v>
      </c>
      <c r="H20" s="30">
        <v>1</v>
      </c>
      <c r="I20" s="39">
        <v>1</v>
      </c>
      <c r="J20" s="30">
        <f t="shared" si="2"/>
        <v>84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4.25" customHeight="1" x14ac:dyDescent="0.3">
      <c r="A21" s="182"/>
      <c r="B21" s="163" t="s">
        <v>94</v>
      </c>
      <c r="C21" s="164"/>
      <c r="D21" s="31">
        <v>0</v>
      </c>
      <c r="E21" s="31">
        <f t="shared" si="0"/>
        <v>0</v>
      </c>
      <c r="F21" s="32">
        <f t="shared" si="1"/>
        <v>420.07</v>
      </c>
      <c r="G21" s="40">
        <v>12</v>
      </c>
      <c r="H21" s="32">
        <v>1</v>
      </c>
      <c r="I21" s="40">
        <v>1</v>
      </c>
      <c r="J21" s="41">
        <f t="shared" si="2"/>
        <v>0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4.25" customHeight="1" x14ac:dyDescent="0.3">
      <c r="A22" s="180" t="s">
        <v>148</v>
      </c>
      <c r="B22" s="157" t="s">
        <v>12</v>
      </c>
      <c r="C22" s="158"/>
      <c r="D22" s="36">
        <v>1</v>
      </c>
      <c r="E22" s="27">
        <f t="shared" si="0"/>
        <v>0.38506999999999997</v>
      </c>
      <c r="F22" s="37">
        <f t="shared" si="1"/>
        <v>385.07</v>
      </c>
      <c r="G22" s="38">
        <v>10</v>
      </c>
      <c r="H22" s="37">
        <v>1</v>
      </c>
      <c r="I22" s="38">
        <v>1</v>
      </c>
      <c r="J22" s="37">
        <f t="shared" si="2"/>
        <v>12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4.25" customHeight="1" x14ac:dyDescent="0.3">
      <c r="A23" s="181"/>
      <c r="B23" s="159" t="s">
        <v>14</v>
      </c>
      <c r="C23" s="160"/>
      <c r="D23" s="29">
        <v>1</v>
      </c>
      <c r="E23" s="29">
        <f t="shared" si="0"/>
        <v>0.38506999999999997</v>
      </c>
      <c r="F23" s="30">
        <f t="shared" si="1"/>
        <v>385.07</v>
      </c>
      <c r="G23" s="39">
        <v>10</v>
      </c>
      <c r="H23" s="30">
        <v>1</v>
      </c>
      <c r="I23" s="39">
        <v>1</v>
      </c>
      <c r="J23" s="30">
        <f t="shared" si="2"/>
        <v>12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4.25" customHeight="1" x14ac:dyDescent="0.3">
      <c r="A24" s="181"/>
      <c r="B24" s="159" t="s">
        <v>17</v>
      </c>
      <c r="C24" s="160"/>
      <c r="D24" s="29">
        <v>5</v>
      </c>
      <c r="E24" s="29">
        <f t="shared" si="0"/>
        <v>1.7503499999999999</v>
      </c>
      <c r="F24" s="30">
        <f t="shared" si="1"/>
        <v>350.07</v>
      </c>
      <c r="G24" s="39">
        <v>8</v>
      </c>
      <c r="H24" s="30">
        <v>1</v>
      </c>
      <c r="I24" s="39">
        <v>1</v>
      </c>
      <c r="J24" s="30">
        <f t="shared" si="2"/>
        <v>50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4.25" customHeight="1" x14ac:dyDescent="0.3">
      <c r="A25" s="181"/>
      <c r="B25" s="159" t="s">
        <v>26</v>
      </c>
      <c r="C25" s="160"/>
      <c r="D25" s="29">
        <v>1</v>
      </c>
      <c r="E25" s="29">
        <f t="shared" si="0"/>
        <v>0.70013999999999998</v>
      </c>
      <c r="F25" s="30">
        <f t="shared" si="1"/>
        <v>700.14</v>
      </c>
      <c r="G25" s="39">
        <v>16</v>
      </c>
      <c r="H25" s="30">
        <v>2</v>
      </c>
      <c r="I25" s="39">
        <v>2</v>
      </c>
      <c r="J25" s="30">
        <f t="shared" si="2"/>
        <v>20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4.25" customHeight="1" x14ac:dyDescent="0.3">
      <c r="A26" s="181"/>
      <c r="B26" s="159" t="s">
        <v>30</v>
      </c>
      <c r="C26" s="160"/>
      <c r="D26" s="29">
        <v>7</v>
      </c>
      <c r="E26" s="29">
        <f t="shared" si="0"/>
        <v>3.1854899999999997</v>
      </c>
      <c r="F26" s="30">
        <f t="shared" si="1"/>
        <v>455.07</v>
      </c>
      <c r="G26" s="39">
        <v>14</v>
      </c>
      <c r="H26" s="30">
        <v>1</v>
      </c>
      <c r="I26" s="39">
        <v>1</v>
      </c>
      <c r="J26" s="30">
        <f t="shared" si="2"/>
        <v>112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4.25" customHeight="1" x14ac:dyDescent="0.3">
      <c r="A27" s="181"/>
      <c r="B27" s="159" t="s">
        <v>28</v>
      </c>
      <c r="C27" s="160"/>
      <c r="D27" s="29">
        <v>1</v>
      </c>
      <c r="E27" s="29">
        <f t="shared" si="0"/>
        <v>1.52257</v>
      </c>
      <c r="F27" s="30">
        <f t="shared" si="1"/>
        <v>1522.57</v>
      </c>
      <c r="G27" s="39">
        <v>63</v>
      </c>
      <c r="H27" s="30">
        <v>1</v>
      </c>
      <c r="I27" s="39">
        <v>2</v>
      </c>
      <c r="J27" s="30">
        <f t="shared" si="2"/>
        <v>66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4.25" customHeight="1" x14ac:dyDescent="0.3">
      <c r="A28" s="181"/>
      <c r="B28" s="159" t="s">
        <v>36</v>
      </c>
      <c r="C28" s="160"/>
      <c r="D28" s="29">
        <v>2</v>
      </c>
      <c r="E28" s="29">
        <f t="shared" si="0"/>
        <v>2.1351399999999998</v>
      </c>
      <c r="F28" s="30">
        <f t="shared" si="1"/>
        <v>1067.57</v>
      </c>
      <c r="G28" s="39">
        <v>37</v>
      </c>
      <c r="H28" s="30">
        <v>1</v>
      </c>
      <c r="I28" s="39">
        <v>2</v>
      </c>
      <c r="J28" s="30">
        <f t="shared" si="2"/>
        <v>80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4.25" customHeight="1" x14ac:dyDescent="0.3">
      <c r="A29" s="181"/>
      <c r="B29" s="159" t="s">
        <v>45</v>
      </c>
      <c r="C29" s="160"/>
      <c r="D29" s="29">
        <v>0</v>
      </c>
      <c r="E29" s="29">
        <f t="shared" si="0"/>
        <v>0</v>
      </c>
      <c r="F29" s="30">
        <f t="shared" si="1"/>
        <v>682.56999999999994</v>
      </c>
      <c r="G29" s="39">
        <v>15</v>
      </c>
      <c r="H29" s="30">
        <v>1</v>
      </c>
      <c r="I29" s="39">
        <v>2</v>
      </c>
      <c r="J29" s="30">
        <f t="shared" si="2"/>
        <v>0</v>
      </c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4.25" customHeight="1" x14ac:dyDescent="0.3">
      <c r="A30" s="181"/>
      <c r="B30" s="159" t="s">
        <v>48</v>
      </c>
      <c r="C30" s="160"/>
      <c r="D30" s="29">
        <v>2</v>
      </c>
      <c r="E30" s="29">
        <f t="shared" si="0"/>
        <v>0.77013999999999994</v>
      </c>
      <c r="F30" s="30">
        <f t="shared" si="1"/>
        <v>385.07</v>
      </c>
      <c r="G30" s="39">
        <v>10</v>
      </c>
      <c r="H30" s="30">
        <v>1</v>
      </c>
      <c r="I30" s="39">
        <v>1</v>
      </c>
      <c r="J30" s="30">
        <f t="shared" si="2"/>
        <v>24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4.25" customHeight="1" x14ac:dyDescent="0.3">
      <c r="A31" s="181"/>
      <c r="B31" s="159" t="s">
        <v>52</v>
      </c>
      <c r="C31" s="160"/>
      <c r="D31" s="29">
        <v>5</v>
      </c>
      <c r="E31" s="29">
        <f t="shared" si="0"/>
        <v>1.7503499999999999</v>
      </c>
      <c r="F31" s="30">
        <f t="shared" si="1"/>
        <v>350.07</v>
      </c>
      <c r="G31" s="39">
        <v>8</v>
      </c>
      <c r="H31" s="30">
        <v>1</v>
      </c>
      <c r="I31" s="39">
        <v>1</v>
      </c>
      <c r="J31" s="30">
        <f t="shared" si="2"/>
        <v>50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4.25" customHeight="1" x14ac:dyDescent="0.3">
      <c r="A32" s="181"/>
      <c r="B32" s="159" t="s">
        <v>60</v>
      </c>
      <c r="C32" s="160"/>
      <c r="D32" s="29">
        <v>6</v>
      </c>
      <c r="E32" s="29">
        <f t="shared" si="0"/>
        <v>2.5204200000000001</v>
      </c>
      <c r="F32" s="30">
        <f t="shared" si="1"/>
        <v>420.07</v>
      </c>
      <c r="G32" s="39">
        <v>12</v>
      </c>
      <c r="H32" s="30">
        <v>1</v>
      </c>
      <c r="I32" s="39">
        <v>1</v>
      </c>
      <c r="J32" s="30">
        <f t="shared" si="2"/>
        <v>84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4.25" customHeight="1" x14ac:dyDescent="0.3">
      <c r="A33" s="182"/>
      <c r="B33" s="163" t="s">
        <v>94</v>
      </c>
      <c r="C33" s="164"/>
      <c r="D33" s="31">
        <v>1</v>
      </c>
      <c r="E33" s="31">
        <f t="shared" si="0"/>
        <v>0.42007</v>
      </c>
      <c r="F33" s="32">
        <f t="shared" si="1"/>
        <v>420.07</v>
      </c>
      <c r="G33" s="40">
        <v>12</v>
      </c>
      <c r="H33" s="32">
        <v>1</v>
      </c>
      <c r="I33" s="40">
        <v>1</v>
      </c>
      <c r="J33" s="32">
        <f t="shared" si="2"/>
        <v>14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4.25" customHeight="1" x14ac:dyDescent="0.3">
      <c r="A34" s="26"/>
      <c r="B34" s="189" t="s">
        <v>149</v>
      </c>
      <c r="C34" s="190"/>
      <c r="D34" s="190"/>
      <c r="E34" s="26">
        <f>_xlfn.CEILING.MATH(SUM(E10:E33))</f>
        <v>32</v>
      </c>
      <c r="F34" s="26"/>
      <c r="G34" s="26"/>
      <c r="H34" s="189" t="s">
        <v>150</v>
      </c>
      <c r="I34" s="190"/>
      <c r="J34" s="26">
        <f>SUM(J10:J33)</f>
        <v>1070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4.25" customHeight="1" x14ac:dyDescent="0.3">
      <c r="A35" s="26"/>
      <c r="B35" s="26"/>
      <c r="C35" s="26"/>
      <c r="D35" s="26"/>
      <c r="E35" s="26"/>
      <c r="F35" s="26"/>
      <c r="G35" s="26"/>
      <c r="H35" s="187" t="s">
        <v>151</v>
      </c>
      <c r="I35" s="188"/>
      <c r="J35" s="26">
        <f>SUMPRODUCT(H10:H33,D10:D33)</f>
        <v>67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4.25" customHeight="1" x14ac:dyDescent="0.3">
      <c r="A36" s="26"/>
      <c r="B36" s="26"/>
      <c r="C36" s="26"/>
      <c r="D36" s="26"/>
      <c r="E36" s="26"/>
      <c r="F36" s="26"/>
      <c r="G36" s="26"/>
      <c r="H36" s="187" t="s">
        <v>152</v>
      </c>
      <c r="I36" s="188"/>
      <c r="J36" s="26">
        <f>SUMPRODUCT(I10:I33,D10:D33)</f>
        <v>75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4.25" customHeight="1" x14ac:dyDescent="0.3">
      <c r="A37" s="26"/>
      <c r="B37" s="26"/>
      <c r="C37" s="26"/>
      <c r="D37" s="26"/>
      <c r="E37" s="26"/>
      <c r="F37" s="26"/>
      <c r="G37" s="26"/>
      <c r="H37" s="187" t="s">
        <v>153</v>
      </c>
      <c r="I37" s="188"/>
      <c r="J37" s="26">
        <f>SUMPRODUCT(G10:G33,D10:D33)</f>
        <v>928</v>
      </c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4.25" customHeight="1" x14ac:dyDescent="0.3">
      <c r="A38" s="183" t="s">
        <v>154</v>
      </c>
      <c r="B38" s="191" t="s">
        <v>155</v>
      </c>
      <c r="C38" s="192"/>
      <c r="D38" s="172" t="s">
        <v>156</v>
      </c>
      <c r="E38" s="172" t="s">
        <v>157</v>
      </c>
      <c r="F38" s="161" t="s">
        <v>158</v>
      </c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58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4.25" customHeight="1" x14ac:dyDescent="0.3">
      <c r="A39" s="184"/>
      <c r="B39" s="193"/>
      <c r="C39" s="194"/>
      <c r="D39" s="173"/>
      <c r="E39" s="173"/>
      <c r="F39" s="42" t="s">
        <v>12</v>
      </c>
      <c r="G39" s="42" t="s">
        <v>14</v>
      </c>
      <c r="H39" s="42" t="s">
        <v>17</v>
      </c>
      <c r="I39" s="42" t="s">
        <v>26</v>
      </c>
      <c r="J39" s="42" t="s">
        <v>30</v>
      </c>
      <c r="K39" s="42" t="s">
        <v>28</v>
      </c>
      <c r="L39" s="42" t="s">
        <v>36</v>
      </c>
      <c r="M39" s="42" t="s">
        <v>45</v>
      </c>
      <c r="N39" s="42" t="s">
        <v>48</v>
      </c>
      <c r="O39" s="42" t="s">
        <v>52</v>
      </c>
      <c r="P39" s="42" t="s">
        <v>60</v>
      </c>
      <c r="Q39" s="43" t="s">
        <v>94</v>
      </c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14.25" customHeight="1" x14ac:dyDescent="0.3">
      <c r="A40" s="27" t="s">
        <v>11</v>
      </c>
      <c r="B40" s="157">
        <f t="array" ref="B40">SUMPRODUCT(F40:Q40,TRANSPOSE($G$10:$G$21))</f>
        <v>246</v>
      </c>
      <c r="C40" s="158"/>
      <c r="D40" s="44">
        <f t="array" ref="D40">SUMPRODUCT(F40:Q40,TRANSPOSE($I$10:$I$21))</f>
        <v>18</v>
      </c>
      <c r="E40" s="34">
        <f t="array" ref="E40">SUMPRODUCT(F40:Q40,TRANSPOSE($H$10:$H$21))</f>
        <v>16</v>
      </c>
      <c r="F40" s="44">
        <v>1</v>
      </c>
      <c r="G40" s="37">
        <v>1</v>
      </c>
      <c r="H40" s="44">
        <v>5</v>
      </c>
      <c r="I40" s="37">
        <v>1</v>
      </c>
      <c r="J40" s="44">
        <v>5</v>
      </c>
      <c r="K40" s="37">
        <v>1</v>
      </c>
      <c r="L40" s="44">
        <v>1</v>
      </c>
      <c r="M40" s="37">
        <v>0</v>
      </c>
      <c r="N40" s="44">
        <v>0</v>
      </c>
      <c r="O40" s="37">
        <v>0</v>
      </c>
      <c r="P40" s="44">
        <v>0</v>
      </c>
      <c r="Q40" s="37">
        <v>0</v>
      </c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4.25" customHeight="1" x14ac:dyDescent="0.3">
      <c r="A41" s="29" t="s">
        <v>39</v>
      </c>
      <c r="B41" s="159">
        <f t="array" ref="B41">SUMPRODUCT(F41:Q41,TRANSPOSE($G$10:$G$21))</f>
        <v>227</v>
      </c>
      <c r="C41" s="160"/>
      <c r="D41" s="39">
        <f t="array" ref="D41">SUMPRODUCT(F41:Q41,TRANSPOSE($I$10:$I$21))</f>
        <v>21</v>
      </c>
      <c r="E41" s="30">
        <f t="array" ref="E41">SUMPRODUCT(F41:Q41,TRANSPOSE($H$10:$H$21))</f>
        <v>18</v>
      </c>
      <c r="F41" s="39">
        <v>0</v>
      </c>
      <c r="G41" s="30">
        <v>0</v>
      </c>
      <c r="H41" s="39">
        <v>0</v>
      </c>
      <c r="I41" s="30">
        <v>0</v>
      </c>
      <c r="J41" s="39">
        <v>2</v>
      </c>
      <c r="K41" s="30">
        <v>0</v>
      </c>
      <c r="L41" s="39">
        <v>1</v>
      </c>
      <c r="M41" s="30">
        <v>2</v>
      </c>
      <c r="N41" s="39">
        <v>2</v>
      </c>
      <c r="O41" s="30">
        <v>5</v>
      </c>
      <c r="P41" s="39">
        <v>6</v>
      </c>
      <c r="Q41" s="30">
        <v>0</v>
      </c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4.25" customHeight="1" x14ac:dyDescent="0.3">
      <c r="A42" s="29" t="s">
        <v>68</v>
      </c>
      <c r="B42" s="159">
        <f t="array" ref="B42">SUMPRODUCT(F42:Q42,TRANSPOSE($G$10:$G$21))</f>
        <v>246</v>
      </c>
      <c r="C42" s="160"/>
      <c r="D42" s="39">
        <f t="array" ref="D42">SUMPRODUCT(F42:Q42,TRANSPOSE($I$10:$I$21))</f>
        <v>18</v>
      </c>
      <c r="E42" s="28">
        <f t="array" ref="E42">SUMPRODUCT(F42:Q42,TRANSPOSE($H$10:$H$21))</f>
        <v>16</v>
      </c>
      <c r="F42" s="39">
        <v>1</v>
      </c>
      <c r="G42" s="30">
        <v>1</v>
      </c>
      <c r="H42" s="39">
        <v>5</v>
      </c>
      <c r="I42" s="30">
        <v>1</v>
      </c>
      <c r="J42" s="39">
        <v>5</v>
      </c>
      <c r="K42" s="30">
        <v>1</v>
      </c>
      <c r="L42" s="39">
        <v>1</v>
      </c>
      <c r="M42" s="30">
        <v>0</v>
      </c>
      <c r="N42" s="39">
        <v>0</v>
      </c>
      <c r="O42" s="30">
        <v>0</v>
      </c>
      <c r="P42" s="39">
        <v>0</v>
      </c>
      <c r="Q42" s="30">
        <v>0</v>
      </c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4.25" customHeight="1" x14ac:dyDescent="0.3">
      <c r="A43" s="31" t="s">
        <v>88</v>
      </c>
      <c r="B43" s="163">
        <f t="array" ref="B43">SUMPRODUCT(F43:Q43,TRANSPOSE($G$10:$G$21))</f>
        <v>209</v>
      </c>
      <c r="C43" s="164"/>
      <c r="D43" s="40">
        <f t="array" ref="D43">SUMPRODUCT(F43:Q43,TRANSPOSE($I$10:$I$21))</f>
        <v>18</v>
      </c>
      <c r="E43" s="32">
        <f t="array" ref="E43">SUMPRODUCT(F43:Q43,TRANSPOSE($H$10:$H$21))</f>
        <v>17</v>
      </c>
      <c r="F43" s="40">
        <v>0</v>
      </c>
      <c r="G43" s="32">
        <v>0</v>
      </c>
      <c r="H43" s="40">
        <v>0</v>
      </c>
      <c r="I43" s="32">
        <v>0</v>
      </c>
      <c r="J43" s="40">
        <v>2</v>
      </c>
      <c r="K43" s="32">
        <v>0</v>
      </c>
      <c r="L43" s="40">
        <v>1</v>
      </c>
      <c r="M43" s="32">
        <v>0</v>
      </c>
      <c r="N43" s="40">
        <v>2</v>
      </c>
      <c r="O43" s="32">
        <v>5</v>
      </c>
      <c r="P43" s="40">
        <v>6</v>
      </c>
      <c r="Q43" s="32">
        <v>1</v>
      </c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4.25" customHeight="1" x14ac:dyDescent="0.3">
      <c r="A44" s="26" t="s">
        <v>159</v>
      </c>
      <c r="B44" s="26">
        <f>SUM(B40:E43)</f>
        <v>1070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4.25" customHeight="1" x14ac:dyDescent="0.3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4.25" customHeight="1" x14ac:dyDescent="0.3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4.25" customHeight="1" x14ac:dyDescent="0.3">
      <c r="A47" s="157" t="s">
        <v>160</v>
      </c>
      <c r="B47" s="162"/>
      <c r="C47" s="162"/>
      <c r="D47" s="162"/>
      <c r="E47" s="162"/>
      <c r="F47" s="162"/>
      <c r="G47" s="162"/>
      <c r="H47" s="162"/>
      <c r="I47" s="162"/>
      <c r="J47" s="158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4.25" customHeight="1" x14ac:dyDescent="0.3">
      <c r="A48" s="185" t="s">
        <v>161</v>
      </c>
      <c r="B48" s="157" t="s">
        <v>162</v>
      </c>
      <c r="C48" s="162"/>
      <c r="D48" s="162"/>
      <c r="E48" s="158"/>
      <c r="F48" s="157" t="s">
        <v>163</v>
      </c>
      <c r="G48" s="162"/>
      <c r="H48" s="162"/>
      <c r="I48" s="158"/>
      <c r="J48" s="174" t="s">
        <v>154</v>
      </c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4.25" customHeight="1" x14ac:dyDescent="0.3">
      <c r="A49" s="186"/>
      <c r="B49" s="47" t="s">
        <v>164</v>
      </c>
      <c r="C49" s="48" t="s">
        <v>165</v>
      </c>
      <c r="D49" s="48" t="s">
        <v>166</v>
      </c>
      <c r="E49" s="49" t="s">
        <v>167</v>
      </c>
      <c r="F49" s="47" t="s">
        <v>164</v>
      </c>
      <c r="G49" s="48" t="s">
        <v>165</v>
      </c>
      <c r="H49" s="48" t="s">
        <v>166</v>
      </c>
      <c r="I49" s="49" t="s">
        <v>167</v>
      </c>
      <c r="J49" s="175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14.25" customHeight="1" x14ac:dyDescent="0.3">
      <c r="A50" s="45" t="s">
        <v>168</v>
      </c>
      <c r="B50" s="50" t="s">
        <v>169</v>
      </c>
      <c r="C50" s="51">
        <v>1</v>
      </c>
      <c r="D50" s="52">
        <v>3686.6</v>
      </c>
      <c r="E50" s="53" t="s">
        <v>170</v>
      </c>
      <c r="F50" s="50" t="s">
        <v>171</v>
      </c>
      <c r="G50" s="51">
        <v>1</v>
      </c>
      <c r="H50" s="54" t="s">
        <v>172</v>
      </c>
      <c r="I50" s="53" t="s">
        <v>170</v>
      </c>
      <c r="J50" s="4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4.25" customHeight="1" x14ac:dyDescent="0.3">
      <c r="A51" s="36" t="s">
        <v>173</v>
      </c>
      <c r="B51" s="55" t="s">
        <v>174</v>
      </c>
      <c r="C51" s="56">
        <v>1</v>
      </c>
      <c r="D51" s="57">
        <v>6100.82</v>
      </c>
      <c r="E51" s="58" t="s">
        <v>170</v>
      </c>
      <c r="F51" s="55" t="s">
        <v>175</v>
      </c>
      <c r="G51" s="56">
        <v>1</v>
      </c>
      <c r="H51" s="57">
        <v>26334.7</v>
      </c>
      <c r="I51" s="58" t="s">
        <v>170</v>
      </c>
      <c r="J51" s="176" t="s">
        <v>11</v>
      </c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4.25" customHeight="1" x14ac:dyDescent="0.3">
      <c r="A52" s="29" t="s">
        <v>176</v>
      </c>
      <c r="B52" s="47" t="s">
        <v>177</v>
      </c>
      <c r="C52" s="48">
        <v>1</v>
      </c>
      <c r="D52" s="60">
        <v>7123.14</v>
      </c>
      <c r="E52" s="61" t="s">
        <v>170</v>
      </c>
      <c r="F52" s="47" t="s">
        <v>178</v>
      </c>
      <c r="G52" s="48">
        <v>1</v>
      </c>
      <c r="H52" s="60">
        <v>14125.61</v>
      </c>
      <c r="I52" s="61" t="s">
        <v>170</v>
      </c>
      <c r="J52" s="177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4.25" customHeight="1" x14ac:dyDescent="0.3">
      <c r="A53" s="29" t="s">
        <v>179</v>
      </c>
      <c r="B53" s="165" t="s">
        <v>180</v>
      </c>
      <c r="C53" s="167">
        <f>_xlfn.CEILING.MATH(SUM(B40,E40)/48)</f>
        <v>6</v>
      </c>
      <c r="D53" s="169">
        <v>4959.83</v>
      </c>
      <c r="E53" s="170" t="s">
        <v>170</v>
      </c>
      <c r="F53" s="165" t="s">
        <v>181</v>
      </c>
      <c r="G53" s="167">
        <f>_xlfn.CEILING.MATH(SUM(B40,E40)/48)</f>
        <v>6</v>
      </c>
      <c r="H53" s="169">
        <v>5350</v>
      </c>
      <c r="I53" s="170" t="s">
        <v>170</v>
      </c>
      <c r="J53" s="177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4.25" customHeight="1" x14ac:dyDescent="0.3">
      <c r="A54" s="29" t="s">
        <v>182</v>
      </c>
      <c r="B54" s="166"/>
      <c r="C54" s="168"/>
      <c r="D54" s="168"/>
      <c r="E54" s="171"/>
      <c r="F54" s="166"/>
      <c r="G54" s="168"/>
      <c r="H54" s="168"/>
      <c r="I54" s="171"/>
      <c r="J54" s="177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4.25" customHeight="1" x14ac:dyDescent="0.3">
      <c r="A55" s="29" t="s">
        <v>183</v>
      </c>
      <c r="B55" s="47" t="s">
        <v>184</v>
      </c>
      <c r="C55" s="48">
        <f>(12+2)</f>
        <v>14</v>
      </c>
      <c r="D55" s="60">
        <v>343.64</v>
      </c>
      <c r="E55" s="61" t="s">
        <v>170</v>
      </c>
      <c r="F55" s="47" t="s">
        <v>185</v>
      </c>
      <c r="G55" s="48">
        <v>12</v>
      </c>
      <c r="H55" s="60">
        <v>1295</v>
      </c>
      <c r="I55" s="61" t="s">
        <v>170</v>
      </c>
      <c r="J55" s="177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4.25" customHeight="1" x14ac:dyDescent="0.3">
      <c r="A56" s="29" t="s">
        <v>186</v>
      </c>
      <c r="B56" s="47" t="s">
        <v>187</v>
      </c>
      <c r="C56" s="48">
        <v>1</v>
      </c>
      <c r="D56" s="60">
        <v>17336.86</v>
      </c>
      <c r="E56" s="61" t="s">
        <v>170</v>
      </c>
      <c r="F56" s="47" t="s">
        <v>188</v>
      </c>
      <c r="G56" s="48">
        <v>1</v>
      </c>
      <c r="H56" s="60">
        <v>47650</v>
      </c>
      <c r="I56" s="61" t="s">
        <v>170</v>
      </c>
      <c r="J56" s="177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4.25" customHeight="1" x14ac:dyDescent="0.3">
      <c r="A57" s="29" t="s">
        <v>189</v>
      </c>
      <c r="B57" s="47" t="s">
        <v>190</v>
      </c>
      <c r="C57" s="48">
        <f>_xlfn.CEILING.MATH(D40/48)</f>
        <v>1</v>
      </c>
      <c r="D57" s="60">
        <v>5015.78</v>
      </c>
      <c r="E57" s="61" t="s">
        <v>170</v>
      </c>
      <c r="F57" s="47" t="s">
        <v>191</v>
      </c>
      <c r="G57" s="48">
        <f>_xlfn.CEILING.MATH(D40/24)</f>
        <v>1</v>
      </c>
      <c r="H57" s="60">
        <v>15545</v>
      </c>
      <c r="I57" s="61" t="s">
        <v>170</v>
      </c>
      <c r="J57" s="177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4.25" customHeight="1" x14ac:dyDescent="0.3">
      <c r="A58" s="29" t="s">
        <v>192</v>
      </c>
      <c r="B58" s="47" t="s">
        <v>193</v>
      </c>
      <c r="C58" s="48">
        <f>D40</f>
        <v>18</v>
      </c>
      <c r="D58" s="60">
        <v>5455.89</v>
      </c>
      <c r="E58" s="61" t="s">
        <v>170</v>
      </c>
      <c r="F58" s="47" t="s">
        <v>194</v>
      </c>
      <c r="G58" s="48">
        <f>D40</f>
        <v>18</v>
      </c>
      <c r="H58" s="60">
        <v>1475.37</v>
      </c>
      <c r="I58" s="61" t="s">
        <v>170</v>
      </c>
      <c r="J58" s="177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4.25" customHeight="1" x14ac:dyDescent="0.3">
      <c r="A59" s="29" t="s">
        <v>195</v>
      </c>
      <c r="B59" s="47" t="s">
        <v>196</v>
      </c>
      <c r="C59" s="48">
        <v>1</v>
      </c>
      <c r="D59" s="60" t="s">
        <v>197</v>
      </c>
      <c r="E59" s="61" t="s">
        <v>170</v>
      </c>
      <c r="F59" s="47" t="s">
        <v>198</v>
      </c>
      <c r="G59" s="48">
        <v>1</v>
      </c>
      <c r="H59" s="60">
        <v>68179.320000000007</v>
      </c>
      <c r="I59" s="61" t="s">
        <v>170</v>
      </c>
      <c r="J59" s="177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4.25" customHeight="1" x14ac:dyDescent="0.3">
      <c r="A60" s="31" t="s">
        <v>199</v>
      </c>
      <c r="B60" s="62" t="s">
        <v>200</v>
      </c>
      <c r="C60" s="42">
        <f>E40</f>
        <v>16</v>
      </c>
      <c r="D60" s="63">
        <v>366.2</v>
      </c>
      <c r="E60" s="64" t="s">
        <v>170</v>
      </c>
      <c r="F60" s="62" t="s">
        <v>201</v>
      </c>
      <c r="G60" s="42">
        <f>E40</f>
        <v>16</v>
      </c>
      <c r="H60" s="63">
        <v>194.99</v>
      </c>
      <c r="I60" s="64" t="s">
        <v>170</v>
      </c>
      <c r="J60" s="178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4.25" customHeight="1" x14ac:dyDescent="0.3">
      <c r="A61" s="36" t="s">
        <v>173</v>
      </c>
      <c r="B61" s="55" t="s">
        <v>174</v>
      </c>
      <c r="C61" s="56">
        <v>1</v>
      </c>
      <c r="D61" s="57">
        <v>6100.82</v>
      </c>
      <c r="E61" s="58" t="s">
        <v>170</v>
      </c>
      <c r="F61" s="55" t="s">
        <v>175</v>
      </c>
      <c r="G61" s="56">
        <v>1</v>
      </c>
      <c r="H61" s="57">
        <v>26334.7</v>
      </c>
      <c r="I61" s="58" t="s">
        <v>170</v>
      </c>
      <c r="J61" s="176" t="s">
        <v>39</v>
      </c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4.25" customHeight="1" x14ac:dyDescent="0.3">
      <c r="A62" s="29" t="s">
        <v>176</v>
      </c>
      <c r="B62" s="47" t="s">
        <v>177</v>
      </c>
      <c r="C62" s="48">
        <v>1</v>
      </c>
      <c r="D62" s="60">
        <v>7123.14</v>
      </c>
      <c r="E62" s="61" t="s">
        <v>170</v>
      </c>
      <c r="F62" s="47" t="s">
        <v>178</v>
      </c>
      <c r="G62" s="48">
        <v>1</v>
      </c>
      <c r="H62" s="60">
        <v>14125.61</v>
      </c>
      <c r="I62" s="61" t="s">
        <v>170</v>
      </c>
      <c r="J62" s="177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4.25" customHeight="1" x14ac:dyDescent="0.3">
      <c r="A63" s="29" t="s">
        <v>179</v>
      </c>
      <c r="B63" s="165" t="s">
        <v>180</v>
      </c>
      <c r="C63" s="167">
        <f>_xlfn.CEILING.MATH(SUM($B$41,$E$41)/48)</f>
        <v>6</v>
      </c>
      <c r="D63" s="169">
        <v>4959.83</v>
      </c>
      <c r="E63" s="170" t="s">
        <v>170</v>
      </c>
      <c r="F63" s="165" t="s">
        <v>181</v>
      </c>
      <c r="G63" s="167">
        <f>_xlfn.CEILING.MATH(SUM($B$41,$E$41)/48)</f>
        <v>6</v>
      </c>
      <c r="H63" s="169">
        <v>5350</v>
      </c>
      <c r="I63" s="170" t="s">
        <v>170</v>
      </c>
      <c r="J63" s="177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4.25" customHeight="1" x14ac:dyDescent="0.3">
      <c r="A64" s="29" t="s">
        <v>182</v>
      </c>
      <c r="B64" s="166"/>
      <c r="C64" s="168"/>
      <c r="D64" s="168"/>
      <c r="E64" s="171"/>
      <c r="F64" s="166"/>
      <c r="G64" s="168"/>
      <c r="H64" s="168"/>
      <c r="I64" s="171"/>
      <c r="J64" s="177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4.25" customHeight="1" x14ac:dyDescent="0.3">
      <c r="A65" s="29" t="s">
        <v>186</v>
      </c>
      <c r="B65" s="47" t="s">
        <v>202</v>
      </c>
      <c r="C65" s="48">
        <v>1</v>
      </c>
      <c r="D65" s="60">
        <v>17336.86</v>
      </c>
      <c r="E65" s="61" t="s">
        <v>170</v>
      </c>
      <c r="F65" s="47" t="s">
        <v>188</v>
      </c>
      <c r="G65" s="48">
        <v>1</v>
      </c>
      <c r="H65" s="60">
        <v>47650</v>
      </c>
      <c r="I65" s="61" t="s">
        <v>170</v>
      </c>
      <c r="J65" s="177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4.25" customHeight="1" x14ac:dyDescent="0.3">
      <c r="A66" s="29" t="s">
        <v>183</v>
      </c>
      <c r="B66" s="47" t="s">
        <v>184</v>
      </c>
      <c r="C66" s="48">
        <v>12</v>
      </c>
      <c r="D66" s="60">
        <v>343.64</v>
      </c>
      <c r="E66" s="61" t="s">
        <v>170</v>
      </c>
      <c r="F66" s="47" t="s">
        <v>185</v>
      </c>
      <c r="G66" s="48">
        <v>12</v>
      </c>
      <c r="H66" s="60">
        <v>1295</v>
      </c>
      <c r="I66" s="61" t="s">
        <v>170</v>
      </c>
      <c r="J66" s="177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4.25" customHeight="1" x14ac:dyDescent="0.3">
      <c r="A67" s="29" t="s">
        <v>189</v>
      </c>
      <c r="B67" s="47" t="s">
        <v>190</v>
      </c>
      <c r="C67" s="48">
        <f>_xlfn.CEILING.MATH($D$41/48)</f>
        <v>1</v>
      </c>
      <c r="D67" s="60">
        <v>5015.78</v>
      </c>
      <c r="E67" s="61" t="s">
        <v>170</v>
      </c>
      <c r="F67" s="47" t="s">
        <v>191</v>
      </c>
      <c r="G67" s="48">
        <f>_xlfn.CEILING.MATH($D$41/24)</f>
        <v>1</v>
      </c>
      <c r="H67" s="60">
        <v>15545</v>
      </c>
      <c r="I67" s="61" t="s">
        <v>170</v>
      </c>
      <c r="J67" s="177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4.25" customHeight="1" x14ac:dyDescent="0.3">
      <c r="A68" s="29" t="s">
        <v>192</v>
      </c>
      <c r="B68" s="47" t="s">
        <v>203</v>
      </c>
      <c r="C68" s="48">
        <f>$D$41</f>
        <v>21</v>
      </c>
      <c r="D68" s="60">
        <v>5455.89</v>
      </c>
      <c r="E68" s="61" t="s">
        <v>170</v>
      </c>
      <c r="F68" s="47" t="s">
        <v>194</v>
      </c>
      <c r="G68" s="48">
        <f>$D$41</f>
        <v>21</v>
      </c>
      <c r="H68" s="60">
        <v>1475.37</v>
      </c>
      <c r="I68" s="61" t="s">
        <v>170</v>
      </c>
      <c r="J68" s="177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4.25" customHeight="1" x14ac:dyDescent="0.3">
      <c r="A69" s="31" t="s">
        <v>199</v>
      </c>
      <c r="B69" s="62" t="s">
        <v>200</v>
      </c>
      <c r="C69" s="42">
        <f>$E$41</f>
        <v>18</v>
      </c>
      <c r="D69" s="63">
        <v>366.2</v>
      </c>
      <c r="E69" s="64" t="s">
        <v>170</v>
      </c>
      <c r="F69" s="62" t="s">
        <v>201</v>
      </c>
      <c r="G69" s="42">
        <f>$E$41</f>
        <v>18</v>
      </c>
      <c r="H69" s="63">
        <v>194.99</v>
      </c>
      <c r="I69" s="64" t="s">
        <v>170</v>
      </c>
      <c r="J69" s="178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4.25" customHeight="1" x14ac:dyDescent="0.3">
      <c r="A70" s="36" t="s">
        <v>173</v>
      </c>
      <c r="B70" s="55" t="s">
        <v>174</v>
      </c>
      <c r="C70" s="56">
        <v>1</v>
      </c>
      <c r="D70" s="57">
        <v>6100.82</v>
      </c>
      <c r="E70" s="58" t="s">
        <v>170</v>
      </c>
      <c r="F70" s="55" t="s">
        <v>175</v>
      </c>
      <c r="G70" s="56">
        <v>1</v>
      </c>
      <c r="H70" s="57">
        <v>26334.7</v>
      </c>
      <c r="I70" s="58" t="s">
        <v>170</v>
      </c>
      <c r="J70" s="176" t="s">
        <v>68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4.25" customHeight="1" x14ac:dyDescent="0.3">
      <c r="A71" s="29" t="s">
        <v>176</v>
      </c>
      <c r="B71" s="47" t="s">
        <v>177</v>
      </c>
      <c r="C71" s="48">
        <v>1</v>
      </c>
      <c r="D71" s="60">
        <v>7123.14</v>
      </c>
      <c r="E71" s="61" t="s">
        <v>170</v>
      </c>
      <c r="F71" s="47" t="s">
        <v>178</v>
      </c>
      <c r="G71" s="48">
        <v>1</v>
      </c>
      <c r="H71" s="60">
        <v>14125.61</v>
      </c>
      <c r="I71" s="61" t="s">
        <v>170</v>
      </c>
      <c r="J71" s="177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4.25" customHeight="1" x14ac:dyDescent="0.3">
      <c r="A72" s="29" t="s">
        <v>179</v>
      </c>
      <c r="B72" s="165" t="s">
        <v>180</v>
      </c>
      <c r="C72" s="167">
        <f>_xlfn.CEILING.MATH(SUM($B$42,$E$42)/48)</f>
        <v>6</v>
      </c>
      <c r="D72" s="169">
        <v>4959.83</v>
      </c>
      <c r="E72" s="170" t="s">
        <v>170</v>
      </c>
      <c r="F72" s="165" t="s">
        <v>181</v>
      </c>
      <c r="G72" s="167">
        <f>_xlfn.CEILING.MATH(SUM($B$42,$E$42)/48)</f>
        <v>6</v>
      </c>
      <c r="H72" s="169">
        <v>5350</v>
      </c>
      <c r="I72" s="170" t="s">
        <v>170</v>
      </c>
      <c r="J72" s="177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4.25" customHeight="1" x14ac:dyDescent="0.3">
      <c r="A73" s="29" t="s">
        <v>182</v>
      </c>
      <c r="B73" s="166"/>
      <c r="C73" s="168"/>
      <c r="D73" s="168"/>
      <c r="E73" s="171"/>
      <c r="F73" s="166"/>
      <c r="G73" s="168"/>
      <c r="H73" s="168"/>
      <c r="I73" s="171"/>
      <c r="J73" s="177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4.25" customHeight="1" x14ac:dyDescent="0.3">
      <c r="A74" s="29" t="s">
        <v>186</v>
      </c>
      <c r="B74" s="47" t="s">
        <v>202</v>
      </c>
      <c r="C74" s="48">
        <v>1</v>
      </c>
      <c r="D74" s="60">
        <v>17336.86</v>
      </c>
      <c r="E74" s="61" t="s">
        <v>170</v>
      </c>
      <c r="F74" s="47" t="s">
        <v>188</v>
      </c>
      <c r="G74" s="48">
        <v>1</v>
      </c>
      <c r="H74" s="60">
        <v>47650</v>
      </c>
      <c r="I74" s="61" t="s">
        <v>170</v>
      </c>
      <c r="J74" s="177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4.25" customHeight="1" x14ac:dyDescent="0.3">
      <c r="A75" s="29" t="s">
        <v>183</v>
      </c>
      <c r="B75" s="47" t="s">
        <v>184</v>
      </c>
      <c r="C75" s="48">
        <v>12</v>
      </c>
      <c r="D75" s="60">
        <v>343.64</v>
      </c>
      <c r="E75" s="61" t="s">
        <v>170</v>
      </c>
      <c r="F75" s="47" t="s">
        <v>185</v>
      </c>
      <c r="G75" s="48">
        <v>12</v>
      </c>
      <c r="H75" s="60">
        <v>1295</v>
      </c>
      <c r="I75" s="61" t="s">
        <v>170</v>
      </c>
      <c r="J75" s="177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4.25" customHeight="1" x14ac:dyDescent="0.3">
      <c r="A76" s="29" t="s">
        <v>189</v>
      </c>
      <c r="B76" s="47" t="s">
        <v>190</v>
      </c>
      <c r="C76" s="48">
        <f>_xlfn.CEILING.MATH($D$42/48)</f>
        <v>1</v>
      </c>
      <c r="D76" s="60">
        <v>5015.78</v>
      </c>
      <c r="E76" s="61" t="s">
        <v>170</v>
      </c>
      <c r="F76" s="47" t="s">
        <v>191</v>
      </c>
      <c r="G76" s="48">
        <f>_xlfn.CEILING.MATH($D$42/24)</f>
        <v>1</v>
      </c>
      <c r="H76" s="60">
        <v>15545</v>
      </c>
      <c r="I76" s="61" t="s">
        <v>170</v>
      </c>
      <c r="J76" s="177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4.25" customHeight="1" x14ac:dyDescent="0.3">
      <c r="A77" s="29" t="s">
        <v>192</v>
      </c>
      <c r="B77" s="47" t="s">
        <v>203</v>
      </c>
      <c r="C77" s="48">
        <f>$D$42</f>
        <v>18</v>
      </c>
      <c r="D77" s="60">
        <v>5455.89</v>
      </c>
      <c r="E77" s="61" t="s">
        <v>170</v>
      </c>
      <c r="F77" s="47" t="s">
        <v>194</v>
      </c>
      <c r="G77" s="48">
        <f>$D$42</f>
        <v>18</v>
      </c>
      <c r="H77" s="60">
        <v>1475.37</v>
      </c>
      <c r="I77" s="61" t="s">
        <v>170</v>
      </c>
      <c r="J77" s="177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4.25" customHeight="1" x14ac:dyDescent="0.3">
      <c r="A78" s="31" t="s">
        <v>199</v>
      </c>
      <c r="B78" s="62" t="s">
        <v>200</v>
      </c>
      <c r="C78" s="42">
        <f>$E$42</f>
        <v>16</v>
      </c>
      <c r="D78" s="63">
        <v>366.2</v>
      </c>
      <c r="E78" s="64" t="s">
        <v>170</v>
      </c>
      <c r="F78" s="62" t="s">
        <v>201</v>
      </c>
      <c r="G78" s="42">
        <f>$E$42</f>
        <v>16</v>
      </c>
      <c r="H78" s="63">
        <v>194.99</v>
      </c>
      <c r="I78" s="64" t="s">
        <v>170</v>
      </c>
      <c r="J78" s="178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4.25" customHeight="1" x14ac:dyDescent="0.3">
      <c r="A79" s="27" t="s">
        <v>173</v>
      </c>
      <c r="B79" s="65" t="s">
        <v>174</v>
      </c>
      <c r="C79" s="66">
        <v>1</v>
      </c>
      <c r="D79" s="67">
        <v>6100.82</v>
      </c>
      <c r="E79" s="68" t="s">
        <v>170</v>
      </c>
      <c r="F79" s="65" t="s">
        <v>175</v>
      </c>
      <c r="G79" s="66">
        <v>1</v>
      </c>
      <c r="H79" s="67">
        <v>26334.7</v>
      </c>
      <c r="I79" s="68" t="s">
        <v>170</v>
      </c>
      <c r="J79" s="179" t="s">
        <v>88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4.25" customHeight="1" x14ac:dyDescent="0.3">
      <c r="A80" s="29" t="s">
        <v>176</v>
      </c>
      <c r="B80" s="47" t="s">
        <v>177</v>
      </c>
      <c r="C80" s="48">
        <v>1</v>
      </c>
      <c r="D80" s="60">
        <v>7123.14</v>
      </c>
      <c r="E80" s="61" t="s">
        <v>170</v>
      </c>
      <c r="F80" s="47" t="s">
        <v>178</v>
      </c>
      <c r="G80" s="48">
        <v>1</v>
      </c>
      <c r="H80" s="60">
        <v>14125.61</v>
      </c>
      <c r="I80" s="61" t="s">
        <v>170</v>
      </c>
      <c r="J80" s="177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4.25" customHeight="1" x14ac:dyDescent="0.3">
      <c r="A81" s="29" t="s">
        <v>179</v>
      </c>
      <c r="B81" s="165" t="s">
        <v>180</v>
      </c>
      <c r="C81" s="167">
        <f>_xlfn.CEILING.MATH(SUM($B$43,$E$43)/48)</f>
        <v>5</v>
      </c>
      <c r="D81" s="169">
        <v>4959.83</v>
      </c>
      <c r="E81" s="170" t="s">
        <v>170</v>
      </c>
      <c r="F81" s="165" t="s">
        <v>181</v>
      </c>
      <c r="G81" s="167">
        <f>_xlfn.CEILING.MATH(SUM($B$43,$E$43)/48)</f>
        <v>5</v>
      </c>
      <c r="H81" s="169">
        <v>5350</v>
      </c>
      <c r="I81" s="170" t="s">
        <v>170</v>
      </c>
      <c r="J81" s="177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4.25" customHeight="1" x14ac:dyDescent="0.3">
      <c r="A82" s="29" t="s">
        <v>182</v>
      </c>
      <c r="B82" s="166"/>
      <c r="C82" s="168"/>
      <c r="D82" s="168"/>
      <c r="E82" s="171"/>
      <c r="F82" s="166"/>
      <c r="G82" s="168"/>
      <c r="H82" s="168"/>
      <c r="I82" s="171"/>
      <c r="J82" s="177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4.25" customHeight="1" x14ac:dyDescent="0.3">
      <c r="A83" s="29" t="s">
        <v>186</v>
      </c>
      <c r="B83" s="47" t="s">
        <v>202</v>
      </c>
      <c r="C83" s="48">
        <v>1</v>
      </c>
      <c r="D83" s="60">
        <v>17336.86</v>
      </c>
      <c r="E83" s="61" t="s">
        <v>170</v>
      </c>
      <c r="F83" s="47" t="s">
        <v>188</v>
      </c>
      <c r="G83" s="48">
        <v>1</v>
      </c>
      <c r="H83" s="60">
        <v>47650</v>
      </c>
      <c r="I83" s="61" t="s">
        <v>170</v>
      </c>
      <c r="J83" s="177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4.25" customHeight="1" x14ac:dyDescent="0.3">
      <c r="A84" s="29" t="s">
        <v>183</v>
      </c>
      <c r="B84" s="47" t="s">
        <v>184</v>
      </c>
      <c r="C84" s="48">
        <v>12</v>
      </c>
      <c r="D84" s="60">
        <v>343.64</v>
      </c>
      <c r="E84" s="61" t="s">
        <v>170</v>
      </c>
      <c r="F84" s="47" t="s">
        <v>185</v>
      </c>
      <c r="G84" s="48">
        <v>12</v>
      </c>
      <c r="H84" s="60">
        <v>1295</v>
      </c>
      <c r="I84" s="61" t="s">
        <v>170</v>
      </c>
      <c r="J84" s="177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4.25" customHeight="1" x14ac:dyDescent="0.3">
      <c r="A85" s="29" t="s">
        <v>189</v>
      </c>
      <c r="B85" s="47" t="s">
        <v>190</v>
      </c>
      <c r="C85" s="48">
        <f>_xlfn.CEILING.MATH($D$43/48)</f>
        <v>1</v>
      </c>
      <c r="D85" s="60">
        <v>5015.78</v>
      </c>
      <c r="E85" s="61" t="s">
        <v>170</v>
      </c>
      <c r="F85" s="47" t="s">
        <v>191</v>
      </c>
      <c r="G85" s="48">
        <f>_xlfn.CEILING.MATH($D$43/24)</f>
        <v>1</v>
      </c>
      <c r="H85" s="60">
        <v>15545</v>
      </c>
      <c r="I85" s="61" t="s">
        <v>170</v>
      </c>
      <c r="J85" s="177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4.25" customHeight="1" x14ac:dyDescent="0.3">
      <c r="A86" s="29" t="s">
        <v>192</v>
      </c>
      <c r="B86" s="47" t="s">
        <v>203</v>
      </c>
      <c r="C86" s="48">
        <f>$D$43</f>
        <v>18</v>
      </c>
      <c r="D86" s="60">
        <v>5455.89</v>
      </c>
      <c r="E86" s="61" t="s">
        <v>170</v>
      </c>
      <c r="F86" s="47" t="s">
        <v>194</v>
      </c>
      <c r="G86" s="48">
        <f>$D$43</f>
        <v>18</v>
      </c>
      <c r="H86" s="60">
        <v>1475.37</v>
      </c>
      <c r="I86" s="61" t="s">
        <v>170</v>
      </c>
      <c r="J86" s="177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4.25" customHeight="1" x14ac:dyDescent="0.3">
      <c r="A87" s="31" t="s">
        <v>199</v>
      </c>
      <c r="B87" s="62" t="s">
        <v>200</v>
      </c>
      <c r="C87" s="42">
        <f>$E$43</f>
        <v>17</v>
      </c>
      <c r="D87" s="63">
        <v>366.2</v>
      </c>
      <c r="E87" s="64" t="s">
        <v>170</v>
      </c>
      <c r="F87" s="62" t="s">
        <v>201</v>
      </c>
      <c r="G87" s="42">
        <f>$E$43</f>
        <v>17</v>
      </c>
      <c r="H87" s="63">
        <v>194.99</v>
      </c>
      <c r="I87" s="64" t="s">
        <v>170</v>
      </c>
      <c r="J87" s="178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4.25" customHeight="1" x14ac:dyDescent="0.3">
      <c r="A88" s="26"/>
      <c r="B88" s="26"/>
      <c r="C88" s="26"/>
      <c r="D88" s="69">
        <f>SUMPRODUCT(C50:C87,D50:D87)</f>
        <v>710978.24000000011</v>
      </c>
      <c r="E88" s="26"/>
      <c r="F88" s="26"/>
      <c r="G88" s="26"/>
      <c r="H88" s="69">
        <f>SUMPRODUCT(G50:G87,H50:H87)</f>
        <v>791727.64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4.25" customHeight="1" thickBot="1" x14ac:dyDescent="0.3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4.25" customHeight="1" thickBot="1" x14ac:dyDescent="0.35">
      <c r="A90" s="139" t="s">
        <v>204</v>
      </c>
      <c r="B90" s="140" t="s">
        <v>205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4.25" customHeight="1" thickBot="1" x14ac:dyDescent="0.35">
      <c r="A91" s="153" t="s">
        <v>407</v>
      </c>
      <c r="B91" s="154" t="s">
        <v>408</v>
      </c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4.25" customHeight="1" x14ac:dyDescent="0.3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4.25" customHeight="1" x14ac:dyDescent="0.3">
      <c r="A93" s="22"/>
      <c r="B93" s="22"/>
      <c r="C93" s="22"/>
      <c r="D93" s="22"/>
      <c r="E93" s="22"/>
      <c r="F93" s="22"/>
      <c r="G93" s="22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4.25" customHeight="1" x14ac:dyDescent="0.3">
      <c r="A94" s="143" t="s">
        <v>206</v>
      </c>
      <c r="B94" s="143" t="s">
        <v>207</v>
      </c>
      <c r="C94" s="143" t="s">
        <v>208</v>
      </c>
      <c r="D94" s="143" t="s">
        <v>209</v>
      </c>
      <c r="E94" s="143" t="s">
        <v>210</v>
      </c>
      <c r="F94" s="143" t="s">
        <v>211</v>
      </c>
      <c r="G94" s="143" t="s">
        <v>212</v>
      </c>
      <c r="H94" s="143" t="s">
        <v>213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4.25" customHeight="1" x14ac:dyDescent="0.3">
      <c r="A95" s="144" t="s">
        <v>214</v>
      </c>
      <c r="B95" s="145" t="s">
        <v>299</v>
      </c>
      <c r="C95" s="145" t="s">
        <v>300</v>
      </c>
      <c r="D95" s="145" t="s">
        <v>301</v>
      </c>
      <c r="E95" s="145" t="s">
        <v>302</v>
      </c>
      <c r="F95" s="145" t="s">
        <v>215</v>
      </c>
      <c r="G95" s="145">
        <v>254</v>
      </c>
      <c r="H95" s="145">
        <v>254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4.25" customHeight="1" x14ac:dyDescent="0.3">
      <c r="A96" s="146" t="s">
        <v>286</v>
      </c>
      <c r="B96" s="147" t="s">
        <v>303</v>
      </c>
      <c r="C96" s="147" t="s">
        <v>304</v>
      </c>
      <c r="D96" s="147" t="s">
        <v>305</v>
      </c>
      <c r="E96" s="147" t="s">
        <v>306</v>
      </c>
      <c r="F96" s="147" t="s">
        <v>215</v>
      </c>
      <c r="G96" s="147">
        <v>254</v>
      </c>
      <c r="H96" s="147">
        <v>254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4.25" customHeight="1" x14ac:dyDescent="0.3">
      <c r="A97" s="146" t="s">
        <v>287</v>
      </c>
      <c r="B97" s="147" t="s">
        <v>307</v>
      </c>
      <c r="C97" s="147" t="s">
        <v>308</v>
      </c>
      <c r="D97" s="147" t="s">
        <v>309</v>
      </c>
      <c r="E97" s="147" t="s">
        <v>310</v>
      </c>
      <c r="F97" s="147" t="s">
        <v>215</v>
      </c>
      <c r="G97" s="147">
        <v>254</v>
      </c>
      <c r="H97" s="147">
        <v>254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4.25" customHeight="1" x14ac:dyDescent="0.3">
      <c r="A98" s="146" t="s">
        <v>288</v>
      </c>
      <c r="B98" s="147" t="s">
        <v>311</v>
      </c>
      <c r="C98" s="147" t="s">
        <v>312</v>
      </c>
      <c r="D98" s="147" t="s">
        <v>313</v>
      </c>
      <c r="E98" s="147" t="s">
        <v>314</v>
      </c>
      <c r="F98" s="147" t="s">
        <v>216</v>
      </c>
      <c r="G98" s="147">
        <v>1000</v>
      </c>
      <c r="H98" s="147">
        <v>1022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4.25" customHeight="1" x14ac:dyDescent="0.3">
      <c r="A99" s="146" t="s">
        <v>289</v>
      </c>
      <c r="B99" s="147" t="s">
        <v>315</v>
      </c>
      <c r="C99" s="147" t="s">
        <v>316</v>
      </c>
      <c r="D99" s="147" t="s">
        <v>317</v>
      </c>
      <c r="E99" s="147" t="s">
        <v>318</v>
      </c>
      <c r="F99" s="147" t="s">
        <v>215</v>
      </c>
      <c r="G99" s="147">
        <v>254</v>
      </c>
      <c r="H99" s="147">
        <v>254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4.25" customHeight="1" x14ac:dyDescent="0.3">
      <c r="A100" s="146" t="s">
        <v>290</v>
      </c>
      <c r="B100" s="147" t="s">
        <v>319</v>
      </c>
      <c r="C100" s="147" t="s">
        <v>320</v>
      </c>
      <c r="D100" s="147" t="s">
        <v>321</v>
      </c>
      <c r="E100" s="147" t="s">
        <v>322</v>
      </c>
      <c r="F100" s="147" t="s">
        <v>215</v>
      </c>
      <c r="G100" s="147">
        <v>254</v>
      </c>
      <c r="H100" s="147">
        <v>254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4.25" customHeight="1" x14ac:dyDescent="0.3">
      <c r="A101" s="146" t="s">
        <v>217</v>
      </c>
      <c r="B101" s="147" t="s">
        <v>323</v>
      </c>
      <c r="C101" s="147" t="s">
        <v>324</v>
      </c>
      <c r="D101" s="147" t="s">
        <v>325</v>
      </c>
      <c r="E101" s="147" t="s">
        <v>326</v>
      </c>
      <c r="F101" s="147" t="s">
        <v>218</v>
      </c>
      <c r="G101" s="147">
        <v>48</v>
      </c>
      <c r="H101" s="147">
        <v>62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4.25" customHeight="1" x14ac:dyDescent="0.3">
      <c r="A102" s="146" t="s">
        <v>219</v>
      </c>
      <c r="B102" s="147" t="s">
        <v>327</v>
      </c>
      <c r="C102" s="147" t="s">
        <v>328</v>
      </c>
      <c r="D102" s="147" t="s">
        <v>329</v>
      </c>
      <c r="E102" s="147" t="s">
        <v>330</v>
      </c>
      <c r="F102" s="147" t="s">
        <v>218</v>
      </c>
      <c r="G102" s="147">
        <v>48</v>
      </c>
      <c r="H102" s="147">
        <v>62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4.25" customHeight="1" x14ac:dyDescent="0.3">
      <c r="A103" s="146" t="s">
        <v>220</v>
      </c>
      <c r="B103" s="147" t="s">
        <v>331</v>
      </c>
      <c r="C103" s="147" t="s">
        <v>332</v>
      </c>
      <c r="D103" s="147" t="s">
        <v>333</v>
      </c>
      <c r="E103" s="147" t="s">
        <v>334</v>
      </c>
      <c r="F103" s="147" t="s">
        <v>218</v>
      </c>
      <c r="G103" s="147">
        <v>48</v>
      </c>
      <c r="H103" s="147">
        <v>62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4.25" customHeight="1" x14ac:dyDescent="0.3">
      <c r="A104" s="146" t="s">
        <v>221</v>
      </c>
      <c r="B104" s="147" t="s">
        <v>335</v>
      </c>
      <c r="C104" s="147" t="s">
        <v>336</v>
      </c>
      <c r="D104" s="147" t="s">
        <v>337</v>
      </c>
      <c r="E104" s="147" t="s">
        <v>338</v>
      </c>
      <c r="F104" s="147" t="s">
        <v>218</v>
      </c>
      <c r="G104" s="147">
        <v>48</v>
      </c>
      <c r="H104" s="147">
        <v>62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4.25" customHeight="1" x14ac:dyDescent="0.3">
      <c r="A105" s="146" t="s">
        <v>291</v>
      </c>
      <c r="B105" s="147" t="s">
        <v>339</v>
      </c>
      <c r="C105" s="147" t="s">
        <v>340</v>
      </c>
      <c r="D105" s="147" t="s">
        <v>341</v>
      </c>
      <c r="E105" s="147" t="s">
        <v>342</v>
      </c>
      <c r="F105" s="147" t="s">
        <v>218</v>
      </c>
      <c r="G105" s="147">
        <v>48</v>
      </c>
      <c r="H105" s="147">
        <v>62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4.25" customHeight="1" x14ac:dyDescent="0.3">
      <c r="A106" s="146" t="s">
        <v>292</v>
      </c>
      <c r="B106" s="147" t="s">
        <v>343</v>
      </c>
      <c r="C106" s="147" t="s">
        <v>344</v>
      </c>
      <c r="D106" s="147" t="s">
        <v>345</v>
      </c>
      <c r="E106" s="147" t="s">
        <v>346</v>
      </c>
      <c r="F106" s="147" t="s">
        <v>218</v>
      </c>
      <c r="G106" s="147">
        <v>48</v>
      </c>
      <c r="H106" s="147">
        <v>62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4.25" customHeight="1" x14ac:dyDescent="0.3">
      <c r="A107" s="146" t="s">
        <v>293</v>
      </c>
      <c r="B107" s="147" t="s">
        <v>347</v>
      </c>
      <c r="C107" s="147" t="s">
        <v>348</v>
      </c>
      <c r="D107" s="147" t="s">
        <v>349</v>
      </c>
      <c r="E107" s="147" t="s">
        <v>350</v>
      </c>
      <c r="F107" s="147" t="s">
        <v>218</v>
      </c>
      <c r="G107" s="147">
        <v>48</v>
      </c>
      <c r="H107" s="147">
        <v>62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4.25" customHeight="1" x14ac:dyDescent="0.3">
      <c r="A108" s="146" t="s">
        <v>294</v>
      </c>
      <c r="B108" s="147" t="s">
        <v>351</v>
      </c>
      <c r="C108" s="147" t="s">
        <v>352</v>
      </c>
      <c r="D108" s="147" t="s">
        <v>353</v>
      </c>
      <c r="E108" s="147" t="s">
        <v>354</v>
      </c>
      <c r="F108" s="147" t="s">
        <v>218</v>
      </c>
      <c r="G108" s="147">
        <v>48</v>
      </c>
      <c r="H108" s="147">
        <v>62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4.25" customHeight="1" x14ac:dyDescent="0.3">
      <c r="A109" s="146" t="s">
        <v>295</v>
      </c>
      <c r="B109" s="147" t="s">
        <v>355</v>
      </c>
      <c r="C109" s="147" t="s">
        <v>356</v>
      </c>
      <c r="D109" s="147" t="s">
        <v>357</v>
      </c>
      <c r="E109" s="147" t="s">
        <v>358</v>
      </c>
      <c r="F109" s="147" t="s">
        <v>218</v>
      </c>
      <c r="G109" s="147">
        <v>48</v>
      </c>
      <c r="H109" s="147">
        <v>62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4.25" customHeight="1" x14ac:dyDescent="0.3">
      <c r="A110" s="146" t="s">
        <v>296</v>
      </c>
      <c r="B110" s="147" t="s">
        <v>359</v>
      </c>
      <c r="C110" s="147" t="s">
        <v>360</v>
      </c>
      <c r="D110" s="147" t="s">
        <v>361</v>
      </c>
      <c r="E110" s="147" t="s">
        <v>362</v>
      </c>
      <c r="F110" s="147" t="s">
        <v>218</v>
      </c>
      <c r="G110" s="147">
        <v>48</v>
      </c>
      <c r="H110" s="147">
        <v>62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4.25" customHeight="1" x14ac:dyDescent="0.3">
      <c r="A111" s="146" t="s">
        <v>222</v>
      </c>
      <c r="B111" s="147" t="s">
        <v>363</v>
      </c>
      <c r="C111" s="147" t="s">
        <v>364</v>
      </c>
      <c r="D111" s="147" t="s">
        <v>365</v>
      </c>
      <c r="E111" s="147" t="s">
        <v>366</v>
      </c>
      <c r="F111" s="147" t="s">
        <v>218</v>
      </c>
      <c r="G111" s="147">
        <v>48</v>
      </c>
      <c r="H111" s="147">
        <v>62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4.25" customHeight="1" x14ac:dyDescent="0.3">
      <c r="A112" s="146" t="s">
        <v>223</v>
      </c>
      <c r="B112" s="147" t="s">
        <v>367</v>
      </c>
      <c r="C112" s="147" t="s">
        <v>368</v>
      </c>
      <c r="D112" s="147" t="s">
        <v>369</v>
      </c>
      <c r="E112" s="147" t="s">
        <v>370</v>
      </c>
      <c r="F112" s="147" t="s">
        <v>218</v>
      </c>
      <c r="G112" s="147">
        <v>48</v>
      </c>
      <c r="H112" s="147">
        <v>62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4.25" customHeight="1" x14ac:dyDescent="0.3">
      <c r="A113" s="146" t="s">
        <v>224</v>
      </c>
      <c r="B113" s="147" t="s">
        <v>371</v>
      </c>
      <c r="C113" s="147" t="s">
        <v>372</v>
      </c>
      <c r="D113" s="147" t="s">
        <v>373</v>
      </c>
      <c r="E113" s="147" t="s">
        <v>374</v>
      </c>
      <c r="F113" s="147" t="s">
        <v>218</v>
      </c>
      <c r="G113" s="147">
        <v>48</v>
      </c>
      <c r="H113" s="147">
        <v>62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4.25" customHeight="1" x14ac:dyDescent="0.3">
      <c r="A114" s="146" t="s">
        <v>225</v>
      </c>
      <c r="B114" s="147" t="s">
        <v>375</v>
      </c>
      <c r="C114" s="147" t="s">
        <v>376</v>
      </c>
      <c r="D114" s="147" t="s">
        <v>377</v>
      </c>
      <c r="E114" s="147" t="s">
        <v>378</v>
      </c>
      <c r="F114" s="147" t="s">
        <v>218</v>
      </c>
      <c r="G114" s="147">
        <v>48</v>
      </c>
      <c r="H114" s="147">
        <v>62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4.25" customHeight="1" x14ac:dyDescent="0.3">
      <c r="A115" s="146" t="s">
        <v>226</v>
      </c>
      <c r="B115" s="147" t="s">
        <v>379</v>
      </c>
      <c r="C115" s="147" t="s">
        <v>380</v>
      </c>
      <c r="D115" s="147" t="s">
        <v>381</v>
      </c>
      <c r="E115" s="147" t="s">
        <v>382</v>
      </c>
      <c r="F115" s="147" t="s">
        <v>218</v>
      </c>
      <c r="G115" s="147">
        <v>48</v>
      </c>
      <c r="H115" s="147">
        <v>62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4.25" customHeight="1" x14ac:dyDescent="0.3">
      <c r="A116" s="146" t="s">
        <v>227</v>
      </c>
      <c r="B116" s="147" t="s">
        <v>383</v>
      </c>
      <c r="C116" s="147" t="s">
        <v>384</v>
      </c>
      <c r="D116" s="147" t="s">
        <v>385</v>
      </c>
      <c r="E116" s="147" t="s">
        <v>386</v>
      </c>
      <c r="F116" s="147" t="s">
        <v>218</v>
      </c>
      <c r="G116" s="147">
        <v>48</v>
      </c>
      <c r="H116" s="147">
        <v>62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4.25" customHeight="1" x14ac:dyDescent="0.3">
      <c r="A117" s="146" t="s">
        <v>297</v>
      </c>
      <c r="B117" s="147" t="s">
        <v>387</v>
      </c>
      <c r="C117" s="147" t="s">
        <v>388</v>
      </c>
      <c r="D117" s="147" t="s">
        <v>389</v>
      </c>
      <c r="E117" s="147" t="s">
        <v>390</v>
      </c>
      <c r="F117" s="147" t="s">
        <v>218</v>
      </c>
      <c r="G117" s="147">
        <v>48</v>
      </c>
      <c r="H117" s="147">
        <v>62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4.25" customHeight="1" x14ac:dyDescent="0.3">
      <c r="A118" s="148" t="s">
        <v>298</v>
      </c>
      <c r="B118" s="149" t="s">
        <v>391</v>
      </c>
      <c r="C118" s="149" t="s">
        <v>392</v>
      </c>
      <c r="D118" s="149" t="s">
        <v>393</v>
      </c>
      <c r="E118" s="149" t="s">
        <v>394</v>
      </c>
      <c r="F118" s="149" t="s">
        <v>218</v>
      </c>
      <c r="G118" s="149">
        <v>48</v>
      </c>
      <c r="H118" s="149">
        <v>62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4.25" customHeight="1" x14ac:dyDescent="0.3">
      <c r="A119" s="150" t="s">
        <v>228</v>
      </c>
      <c r="B119" s="151" t="s">
        <v>395</v>
      </c>
      <c r="C119" s="151" t="s">
        <v>396</v>
      </c>
      <c r="D119" s="151" t="s">
        <v>397</v>
      </c>
      <c r="E119" s="151" t="s">
        <v>398</v>
      </c>
      <c r="F119" s="151" t="s">
        <v>218</v>
      </c>
      <c r="G119" s="151">
        <v>48</v>
      </c>
      <c r="H119" s="152">
        <v>62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4.25" customHeight="1" x14ac:dyDescent="0.3">
      <c r="A120" s="150" t="s">
        <v>229</v>
      </c>
      <c r="B120" s="151" t="s">
        <v>399</v>
      </c>
      <c r="C120" s="151" t="s">
        <v>400</v>
      </c>
      <c r="D120" s="151" t="s">
        <v>401</v>
      </c>
      <c r="E120" s="151" t="s">
        <v>402</v>
      </c>
      <c r="F120" s="151" t="s">
        <v>218</v>
      </c>
      <c r="G120" s="151">
        <v>48</v>
      </c>
      <c r="H120" s="151">
        <v>62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4.25" customHeight="1" x14ac:dyDescent="0.3">
      <c r="A121" s="150" t="s">
        <v>230</v>
      </c>
      <c r="B121" s="151" t="s">
        <v>403</v>
      </c>
      <c r="C121" s="151" t="s">
        <v>404</v>
      </c>
      <c r="D121" s="151" t="s">
        <v>405</v>
      </c>
      <c r="E121" s="151" t="s">
        <v>406</v>
      </c>
      <c r="F121" s="151" t="s">
        <v>218</v>
      </c>
      <c r="G121" s="151">
        <v>48</v>
      </c>
      <c r="H121" s="151">
        <v>62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4.25" customHeight="1" x14ac:dyDescent="0.3">
      <c r="A122" s="22"/>
      <c r="B122" s="20"/>
      <c r="C122" s="22"/>
      <c r="D122" s="20"/>
      <c r="E122" s="22"/>
      <c r="F122" s="22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4.25" customHeight="1" x14ac:dyDescent="0.3">
      <c r="A123" s="22"/>
      <c r="B123" s="22"/>
      <c r="C123" s="22"/>
      <c r="D123" s="22"/>
      <c r="E123" s="22"/>
      <c r="F123" s="22"/>
      <c r="G123" s="22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4.25" customHeight="1" x14ac:dyDescent="0.3">
      <c r="A124" s="22"/>
      <c r="B124" s="22"/>
      <c r="C124" s="22"/>
      <c r="D124" s="22"/>
      <c r="E124" s="22"/>
      <c r="F124" s="22"/>
      <c r="G124" s="20" t="s">
        <v>231</v>
      </c>
      <c r="H124" s="26" t="s">
        <v>232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4.25" customHeight="1" x14ac:dyDescent="0.3">
      <c r="A125" s="22"/>
      <c r="B125" s="22"/>
      <c r="C125" s="22"/>
      <c r="D125" s="22"/>
      <c r="E125" s="22"/>
      <c r="F125" s="22"/>
      <c r="G125" s="20">
        <f>SUM(G95:G118)</f>
        <v>3134</v>
      </c>
      <c r="H125" s="26">
        <f>SUM(H95:H118)</f>
        <v>3408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4.25" customHeight="1" x14ac:dyDescent="0.3">
      <c r="A126" s="22"/>
      <c r="B126" s="22"/>
      <c r="C126" s="22"/>
      <c r="D126" s="22"/>
      <c r="E126" s="22"/>
      <c r="F126" s="22"/>
      <c r="G126" s="22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4.25" customHeight="1" x14ac:dyDescent="0.3">
      <c r="A127" s="22"/>
      <c r="B127" s="22"/>
      <c r="C127" s="22"/>
      <c r="D127" s="22"/>
      <c r="E127" s="22"/>
      <c r="F127" s="22"/>
      <c r="G127" s="22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4.25" customHeight="1" x14ac:dyDescent="0.3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4.25" customHeight="1" x14ac:dyDescent="0.3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4.25" customHeight="1" x14ac:dyDescent="0.3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4.25" customHeight="1" x14ac:dyDescent="0.3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4.25" customHeight="1" x14ac:dyDescent="0.3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4.25" customHeight="1" x14ac:dyDescent="0.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4.25" customHeight="1" x14ac:dyDescent="0.3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4.25" customHeight="1" x14ac:dyDescent="0.3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4.25" customHeight="1" x14ac:dyDescent="0.3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4.25" customHeight="1" x14ac:dyDescent="0.3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4.25" customHeight="1" x14ac:dyDescent="0.3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4.25" customHeight="1" x14ac:dyDescent="0.3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4.25" customHeight="1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4.25" customHeight="1" x14ac:dyDescent="0.3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4.25" customHeight="1" x14ac:dyDescent="0.3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4.25" customHeight="1" x14ac:dyDescent="0.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4.25" customHeight="1" x14ac:dyDescent="0.3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4.25" customHeight="1" x14ac:dyDescent="0.3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4.25" customHeight="1" x14ac:dyDescent="0.3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4.25" customHeight="1" x14ac:dyDescent="0.3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4.25" customHeight="1" x14ac:dyDescent="0.3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4.25" customHeight="1" x14ac:dyDescent="0.3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4.25" customHeight="1" x14ac:dyDescent="0.3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4.25" customHeight="1" x14ac:dyDescent="0.3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4.25" customHeight="1" x14ac:dyDescent="0.3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4.25" customHeight="1" x14ac:dyDescent="0.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4.25" customHeight="1" x14ac:dyDescent="0.3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4.25" customHeight="1" x14ac:dyDescent="0.3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4.25" customHeight="1" x14ac:dyDescent="0.3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4.25" customHeight="1" x14ac:dyDescent="0.3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4.25" customHeight="1" x14ac:dyDescent="0.3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4.25" customHeight="1" x14ac:dyDescent="0.3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4.25" customHeight="1" x14ac:dyDescent="0.3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4.25" customHeight="1" x14ac:dyDescent="0.3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4.25" customHeight="1" x14ac:dyDescent="0.3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4.25" customHeight="1" x14ac:dyDescent="0.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4.25" customHeight="1" x14ac:dyDescent="0.3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4.25" customHeight="1" x14ac:dyDescent="0.3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4.25" customHeight="1" x14ac:dyDescent="0.3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4.25" customHeight="1" x14ac:dyDescent="0.3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4.25" customHeight="1" x14ac:dyDescent="0.3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4.25" customHeight="1" x14ac:dyDescent="0.3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4.25" customHeight="1" x14ac:dyDescent="0.3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4.25" customHeight="1" x14ac:dyDescent="0.3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4.25" customHeight="1" x14ac:dyDescent="0.3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4.25" customHeight="1" x14ac:dyDescent="0.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4.25" customHeight="1" x14ac:dyDescent="0.3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4.25" customHeight="1" x14ac:dyDescent="0.3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4.25" customHeight="1" x14ac:dyDescent="0.3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4.25" customHeight="1" x14ac:dyDescent="0.3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4.25" customHeight="1" x14ac:dyDescent="0.3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4.25" customHeight="1" x14ac:dyDescent="0.3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4.25" customHeight="1" x14ac:dyDescent="0.3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4.25" customHeight="1" x14ac:dyDescent="0.3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4.25" customHeight="1" x14ac:dyDescent="0.3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4.25" customHeight="1" x14ac:dyDescent="0.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4.25" customHeight="1" x14ac:dyDescent="0.3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4.25" customHeight="1" x14ac:dyDescent="0.3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4.25" customHeight="1" x14ac:dyDescent="0.3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4.25" customHeight="1" x14ac:dyDescent="0.3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4.25" customHeight="1" x14ac:dyDescent="0.3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4.25" customHeight="1" x14ac:dyDescent="0.3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4.25" customHeight="1" x14ac:dyDescent="0.3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4.25" customHeight="1" x14ac:dyDescent="0.3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4.25" customHeight="1" x14ac:dyDescent="0.3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4.25" customHeight="1" x14ac:dyDescent="0.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4.25" customHeight="1" x14ac:dyDescent="0.3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4.25" customHeight="1" x14ac:dyDescent="0.3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4.25" customHeight="1" x14ac:dyDescent="0.3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4.25" customHeight="1" x14ac:dyDescent="0.3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4.25" customHeight="1" x14ac:dyDescent="0.3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4.25" customHeight="1" x14ac:dyDescent="0.3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4.25" customHeight="1" x14ac:dyDescent="0.3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4.25" customHeight="1" x14ac:dyDescent="0.3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4.25" customHeight="1" x14ac:dyDescent="0.3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4.25" customHeight="1" x14ac:dyDescent="0.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4.25" customHeight="1" x14ac:dyDescent="0.3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4.25" customHeight="1" x14ac:dyDescent="0.3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4.25" customHeight="1" x14ac:dyDescent="0.3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4.25" customHeight="1" x14ac:dyDescent="0.3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4.25" customHeight="1" x14ac:dyDescent="0.3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4.25" customHeight="1" x14ac:dyDescent="0.3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4.25" customHeight="1" x14ac:dyDescent="0.3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4.25" customHeight="1" x14ac:dyDescent="0.3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4.25" customHeight="1" x14ac:dyDescent="0.3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4.25" customHeight="1" x14ac:dyDescent="0.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4.25" customHeight="1" x14ac:dyDescent="0.3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4.25" customHeight="1" x14ac:dyDescent="0.3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4.25" customHeight="1" x14ac:dyDescent="0.3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4.25" customHeight="1" x14ac:dyDescent="0.3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4.25" customHeight="1" x14ac:dyDescent="0.3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4.25" customHeight="1" x14ac:dyDescent="0.3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4.25" customHeight="1" x14ac:dyDescent="0.3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4.25" customHeight="1" x14ac:dyDescent="0.3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4.25" customHeight="1" x14ac:dyDescent="0.3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4.25" customHeight="1" x14ac:dyDescent="0.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4.25" customHeight="1" x14ac:dyDescent="0.3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4.25" customHeight="1" x14ac:dyDescent="0.3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4.25" customHeight="1" x14ac:dyDescent="0.3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4.25" customHeight="1" x14ac:dyDescent="0.3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4.25" customHeight="1" x14ac:dyDescent="0.3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4.25" customHeight="1" x14ac:dyDescent="0.3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4.25" customHeight="1" x14ac:dyDescent="0.3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4.25" customHeight="1" x14ac:dyDescent="0.3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4.25" customHeight="1" x14ac:dyDescent="0.3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4.25" customHeight="1" x14ac:dyDescent="0.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4.25" customHeight="1" x14ac:dyDescent="0.3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4.25" customHeight="1" x14ac:dyDescent="0.3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4.25" customHeight="1" x14ac:dyDescent="0.3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4.25" customHeight="1" x14ac:dyDescent="0.3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4.25" customHeight="1" x14ac:dyDescent="0.3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4.25" customHeight="1" x14ac:dyDescent="0.3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4.25" customHeight="1" x14ac:dyDescent="0.3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4.25" customHeight="1" x14ac:dyDescent="0.3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4.25" customHeight="1" x14ac:dyDescent="0.3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4.25" customHeight="1" x14ac:dyDescent="0.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4.25" customHeight="1" x14ac:dyDescent="0.3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4.25" customHeight="1" x14ac:dyDescent="0.3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4.25" customHeight="1" x14ac:dyDescent="0.3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4.25" customHeight="1" x14ac:dyDescent="0.3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4.25" customHeight="1" x14ac:dyDescent="0.3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4.25" customHeight="1" x14ac:dyDescent="0.3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4.25" customHeight="1" x14ac:dyDescent="0.3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4.25" customHeight="1" x14ac:dyDescent="0.3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4.25" customHeight="1" x14ac:dyDescent="0.3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4.25" customHeight="1" x14ac:dyDescent="0.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4.25" customHeight="1" x14ac:dyDescent="0.3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4.25" customHeight="1" x14ac:dyDescent="0.3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4.25" customHeight="1" x14ac:dyDescent="0.3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4.25" customHeight="1" x14ac:dyDescent="0.3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4.25" customHeight="1" x14ac:dyDescent="0.3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4.25" customHeight="1" x14ac:dyDescent="0.3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4.25" customHeight="1" x14ac:dyDescent="0.3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4.25" customHeight="1" x14ac:dyDescent="0.3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4.25" customHeight="1" x14ac:dyDescent="0.3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4.25" customHeight="1" x14ac:dyDescent="0.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4.25" customHeight="1" x14ac:dyDescent="0.3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4.25" customHeight="1" x14ac:dyDescent="0.3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4.25" customHeight="1" x14ac:dyDescent="0.3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4.25" customHeight="1" x14ac:dyDescent="0.3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4.25" customHeight="1" x14ac:dyDescent="0.3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4.25" customHeight="1" x14ac:dyDescent="0.3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4.25" customHeight="1" x14ac:dyDescent="0.3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4.25" customHeight="1" x14ac:dyDescent="0.3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4.25" customHeight="1" x14ac:dyDescent="0.3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4.25" customHeight="1" x14ac:dyDescent="0.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4.25" customHeight="1" x14ac:dyDescent="0.3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4.25" customHeight="1" x14ac:dyDescent="0.3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4.25" customHeight="1" x14ac:dyDescent="0.3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4.25" customHeight="1" x14ac:dyDescent="0.3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4.25" customHeight="1" x14ac:dyDescent="0.3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4.25" customHeight="1" x14ac:dyDescent="0.3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4.25" customHeight="1" x14ac:dyDescent="0.3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4.25" customHeight="1" x14ac:dyDescent="0.3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4.25" customHeight="1" x14ac:dyDescent="0.3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4.25" customHeight="1" x14ac:dyDescent="0.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4.25" customHeight="1" x14ac:dyDescent="0.3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4.25" customHeight="1" x14ac:dyDescent="0.3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4.25" customHeight="1" x14ac:dyDescent="0.3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4.25" customHeight="1" x14ac:dyDescent="0.3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4.25" customHeight="1" x14ac:dyDescent="0.3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4.25" customHeight="1" x14ac:dyDescent="0.3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4.25" customHeight="1" x14ac:dyDescent="0.3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4.25" customHeight="1" x14ac:dyDescent="0.3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4.25" customHeight="1" x14ac:dyDescent="0.3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4.25" customHeight="1" x14ac:dyDescent="0.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4.25" customHeight="1" x14ac:dyDescent="0.3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4.25" customHeight="1" x14ac:dyDescent="0.3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4.25" customHeight="1" x14ac:dyDescent="0.3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4.25" customHeight="1" x14ac:dyDescent="0.3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4.25" customHeight="1" x14ac:dyDescent="0.3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4.25" customHeight="1" x14ac:dyDescent="0.3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4.25" customHeight="1" x14ac:dyDescent="0.3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4.25" customHeight="1" x14ac:dyDescent="0.3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4.25" customHeight="1" x14ac:dyDescent="0.3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4.25" customHeight="1" x14ac:dyDescent="0.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4.25" customHeight="1" x14ac:dyDescent="0.3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4.25" customHeight="1" x14ac:dyDescent="0.3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4.25" customHeight="1" x14ac:dyDescent="0.3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4.25" customHeight="1" x14ac:dyDescent="0.3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4.25" customHeight="1" x14ac:dyDescent="0.3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4.25" customHeight="1" x14ac:dyDescent="0.3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4.25" customHeight="1" x14ac:dyDescent="0.3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4.25" customHeight="1" x14ac:dyDescent="0.3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4.25" customHeight="1" x14ac:dyDescent="0.3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4.25" customHeight="1" x14ac:dyDescent="0.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4.25" customHeight="1" x14ac:dyDescent="0.3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4.25" customHeight="1" x14ac:dyDescent="0.3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4.25" customHeight="1" x14ac:dyDescent="0.3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4.25" customHeight="1" x14ac:dyDescent="0.3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4.25" customHeight="1" x14ac:dyDescent="0.3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4.25" customHeight="1" x14ac:dyDescent="0.3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4.25" customHeight="1" x14ac:dyDescent="0.3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4.25" customHeight="1" x14ac:dyDescent="0.3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4.25" customHeight="1" x14ac:dyDescent="0.3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4.25" customHeight="1" x14ac:dyDescent="0.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4.25" customHeight="1" x14ac:dyDescent="0.3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4.25" customHeight="1" x14ac:dyDescent="0.3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4.25" customHeight="1" x14ac:dyDescent="0.3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4.25" customHeight="1" x14ac:dyDescent="0.3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4.25" customHeight="1" x14ac:dyDescent="0.3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4.25" customHeight="1" x14ac:dyDescent="0.3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4.25" customHeight="1" x14ac:dyDescent="0.3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4.25" customHeight="1" x14ac:dyDescent="0.3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4.25" customHeight="1" x14ac:dyDescent="0.3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4.25" customHeight="1" x14ac:dyDescent="0.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4.25" customHeight="1" x14ac:dyDescent="0.3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4.25" customHeight="1" x14ac:dyDescent="0.3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4.25" customHeight="1" x14ac:dyDescent="0.3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4.25" customHeight="1" x14ac:dyDescent="0.3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4.25" customHeight="1" x14ac:dyDescent="0.3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4.25" customHeight="1" x14ac:dyDescent="0.3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4.25" customHeight="1" x14ac:dyDescent="0.3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4.25" customHeight="1" x14ac:dyDescent="0.3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4.25" customHeight="1" x14ac:dyDescent="0.3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4.25" customHeight="1" x14ac:dyDescent="0.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4.25" customHeight="1" x14ac:dyDescent="0.3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4.25" customHeight="1" x14ac:dyDescent="0.3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4.25" customHeight="1" x14ac:dyDescent="0.3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4.25" customHeight="1" x14ac:dyDescent="0.3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4.25" customHeight="1" x14ac:dyDescent="0.3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4.25" customHeight="1" x14ac:dyDescent="0.3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4.25" customHeight="1" x14ac:dyDescent="0.3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4.25" customHeight="1" x14ac:dyDescent="0.3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4.25" customHeight="1" x14ac:dyDescent="0.3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4.25" customHeight="1" x14ac:dyDescent="0.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4.25" customHeight="1" x14ac:dyDescent="0.3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4.25" customHeight="1" x14ac:dyDescent="0.3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4.25" customHeight="1" x14ac:dyDescent="0.3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4.25" customHeight="1" x14ac:dyDescent="0.3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4.25" customHeight="1" x14ac:dyDescent="0.3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4.25" customHeight="1" x14ac:dyDescent="0.3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4.25" customHeight="1" x14ac:dyDescent="0.3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4.25" customHeight="1" x14ac:dyDescent="0.3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4.25" customHeight="1" x14ac:dyDescent="0.3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4.25" customHeight="1" x14ac:dyDescent="0.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4.25" customHeight="1" x14ac:dyDescent="0.3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4.25" customHeight="1" x14ac:dyDescent="0.3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4.25" customHeight="1" x14ac:dyDescent="0.3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4.25" customHeight="1" x14ac:dyDescent="0.3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4.25" customHeight="1" x14ac:dyDescent="0.3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4.25" customHeight="1" x14ac:dyDescent="0.3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4.25" customHeight="1" x14ac:dyDescent="0.3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4.25" customHeight="1" x14ac:dyDescent="0.3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4.25" customHeight="1" x14ac:dyDescent="0.3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4.25" customHeight="1" x14ac:dyDescent="0.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4.25" customHeight="1" x14ac:dyDescent="0.3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4.25" customHeight="1" x14ac:dyDescent="0.3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4.25" customHeight="1" x14ac:dyDescent="0.3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4.25" customHeight="1" x14ac:dyDescent="0.3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4.25" customHeight="1" x14ac:dyDescent="0.3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4.25" customHeight="1" x14ac:dyDescent="0.3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4.25" customHeight="1" x14ac:dyDescent="0.3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4.25" customHeight="1" x14ac:dyDescent="0.3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4.25" customHeight="1" x14ac:dyDescent="0.3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4.25" customHeight="1" x14ac:dyDescent="0.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4.25" customHeight="1" x14ac:dyDescent="0.3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4.25" customHeight="1" x14ac:dyDescent="0.3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4.25" customHeight="1" x14ac:dyDescent="0.3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4.25" customHeight="1" x14ac:dyDescent="0.3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4.25" customHeight="1" x14ac:dyDescent="0.3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4.25" customHeight="1" x14ac:dyDescent="0.3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4.25" customHeight="1" x14ac:dyDescent="0.3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4.25" customHeight="1" x14ac:dyDescent="0.3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4.25" customHeight="1" x14ac:dyDescent="0.3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4.25" customHeight="1" x14ac:dyDescent="0.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4.25" customHeight="1" x14ac:dyDescent="0.3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4.25" customHeight="1" x14ac:dyDescent="0.3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4.25" customHeight="1" x14ac:dyDescent="0.3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4.25" customHeight="1" x14ac:dyDescent="0.3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4.25" customHeight="1" x14ac:dyDescent="0.3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4.25" customHeight="1" x14ac:dyDescent="0.3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4.25" customHeight="1" x14ac:dyDescent="0.3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4.25" customHeight="1" x14ac:dyDescent="0.3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4.25" customHeight="1" x14ac:dyDescent="0.3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4.25" customHeight="1" x14ac:dyDescent="0.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4.25" customHeight="1" x14ac:dyDescent="0.3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4.25" customHeight="1" x14ac:dyDescent="0.3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4.25" customHeight="1" x14ac:dyDescent="0.3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4.25" customHeight="1" x14ac:dyDescent="0.3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4.25" customHeight="1" x14ac:dyDescent="0.3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4.25" customHeight="1" x14ac:dyDescent="0.3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4.25" customHeight="1" x14ac:dyDescent="0.3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4.25" customHeight="1" x14ac:dyDescent="0.3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4.25" customHeight="1" x14ac:dyDescent="0.3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4.25" customHeight="1" x14ac:dyDescent="0.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4.25" customHeight="1" x14ac:dyDescent="0.3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4.25" customHeight="1" x14ac:dyDescent="0.3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4.25" customHeight="1" x14ac:dyDescent="0.3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4.25" customHeight="1" x14ac:dyDescent="0.3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4.25" customHeight="1" x14ac:dyDescent="0.3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4.25" customHeight="1" x14ac:dyDescent="0.3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4.25" customHeight="1" x14ac:dyDescent="0.3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4.25" customHeight="1" x14ac:dyDescent="0.3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4.25" customHeight="1" x14ac:dyDescent="0.3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4.25" customHeight="1" x14ac:dyDescent="0.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4.25" customHeight="1" x14ac:dyDescent="0.3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4.25" customHeight="1" x14ac:dyDescent="0.3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4.25" customHeight="1" x14ac:dyDescent="0.3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4.25" customHeight="1" x14ac:dyDescent="0.3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4.25" customHeight="1" x14ac:dyDescent="0.3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4.25" customHeight="1" x14ac:dyDescent="0.3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4.25" customHeight="1" x14ac:dyDescent="0.3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4.25" customHeight="1" x14ac:dyDescent="0.3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4.25" customHeight="1" x14ac:dyDescent="0.3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4.25" customHeight="1" x14ac:dyDescent="0.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4.25" customHeight="1" x14ac:dyDescent="0.3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4.25" customHeight="1" x14ac:dyDescent="0.3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4.25" customHeight="1" x14ac:dyDescent="0.3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4.25" customHeight="1" x14ac:dyDescent="0.3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4.25" customHeight="1" x14ac:dyDescent="0.3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4.25" customHeight="1" x14ac:dyDescent="0.3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4.25" customHeight="1" x14ac:dyDescent="0.3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4.25" customHeight="1" x14ac:dyDescent="0.3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4.25" customHeight="1" x14ac:dyDescent="0.3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4.25" customHeight="1" x14ac:dyDescent="0.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4.25" customHeight="1" x14ac:dyDescent="0.3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4.25" customHeight="1" x14ac:dyDescent="0.3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4.25" customHeight="1" x14ac:dyDescent="0.3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4.25" customHeight="1" x14ac:dyDescent="0.3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4.25" customHeight="1" x14ac:dyDescent="0.3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4.25" customHeight="1" x14ac:dyDescent="0.3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4.25" customHeight="1" x14ac:dyDescent="0.3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4.25" customHeight="1" x14ac:dyDescent="0.3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4.25" customHeight="1" x14ac:dyDescent="0.3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4.25" customHeight="1" x14ac:dyDescent="0.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4.25" customHeight="1" x14ac:dyDescent="0.3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4.25" customHeight="1" x14ac:dyDescent="0.3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4.25" customHeight="1" x14ac:dyDescent="0.3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4.25" customHeight="1" x14ac:dyDescent="0.3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4.25" customHeight="1" x14ac:dyDescent="0.3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4.25" customHeight="1" x14ac:dyDescent="0.3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4.25" customHeight="1" x14ac:dyDescent="0.3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4.25" customHeight="1" x14ac:dyDescent="0.3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4.25" customHeight="1" x14ac:dyDescent="0.3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4.25" customHeight="1" x14ac:dyDescent="0.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4.25" customHeight="1" x14ac:dyDescent="0.3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4.25" customHeight="1" x14ac:dyDescent="0.3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4.25" customHeight="1" x14ac:dyDescent="0.3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4.25" customHeight="1" x14ac:dyDescent="0.3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4.25" customHeight="1" x14ac:dyDescent="0.3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4.25" customHeight="1" x14ac:dyDescent="0.3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4.25" customHeight="1" x14ac:dyDescent="0.3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4.25" customHeight="1" x14ac:dyDescent="0.3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4.25" customHeight="1" x14ac:dyDescent="0.3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4.25" customHeight="1" x14ac:dyDescent="0.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4.25" customHeight="1" x14ac:dyDescent="0.3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4.25" customHeight="1" x14ac:dyDescent="0.3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4.25" customHeight="1" x14ac:dyDescent="0.3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4.25" customHeight="1" x14ac:dyDescent="0.3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4.25" customHeight="1" x14ac:dyDescent="0.3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4.25" customHeight="1" x14ac:dyDescent="0.3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4.25" customHeight="1" x14ac:dyDescent="0.3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4.25" customHeight="1" x14ac:dyDescent="0.3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4.25" customHeight="1" x14ac:dyDescent="0.3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4.25" customHeight="1" x14ac:dyDescent="0.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4.25" customHeight="1" x14ac:dyDescent="0.3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4.25" customHeight="1" x14ac:dyDescent="0.3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4.25" customHeight="1" x14ac:dyDescent="0.3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4.25" customHeight="1" x14ac:dyDescent="0.3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4.25" customHeight="1" x14ac:dyDescent="0.3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4.25" customHeight="1" x14ac:dyDescent="0.3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4.25" customHeight="1" x14ac:dyDescent="0.3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4.25" customHeight="1" x14ac:dyDescent="0.3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4.25" customHeight="1" x14ac:dyDescent="0.3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4.25" customHeight="1" x14ac:dyDescent="0.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4.25" customHeight="1" x14ac:dyDescent="0.3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4.25" customHeight="1" x14ac:dyDescent="0.3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4.25" customHeight="1" x14ac:dyDescent="0.3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4.25" customHeight="1" x14ac:dyDescent="0.3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4.25" customHeight="1" x14ac:dyDescent="0.3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4.25" customHeight="1" x14ac:dyDescent="0.3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4.25" customHeight="1" x14ac:dyDescent="0.3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4.25" customHeight="1" x14ac:dyDescent="0.3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4.25" customHeight="1" x14ac:dyDescent="0.3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4.25" customHeight="1" x14ac:dyDescent="0.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4.25" customHeight="1" x14ac:dyDescent="0.3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4.25" customHeight="1" x14ac:dyDescent="0.3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4.25" customHeight="1" x14ac:dyDescent="0.3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4.25" customHeight="1" x14ac:dyDescent="0.3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4.25" customHeight="1" x14ac:dyDescent="0.3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4.25" customHeight="1" x14ac:dyDescent="0.3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4.25" customHeight="1" x14ac:dyDescent="0.3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4.25" customHeight="1" x14ac:dyDescent="0.3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4.25" customHeight="1" x14ac:dyDescent="0.3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4.25" customHeight="1" x14ac:dyDescent="0.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4.25" customHeight="1" x14ac:dyDescent="0.3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4.25" customHeight="1" x14ac:dyDescent="0.3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4.25" customHeight="1" x14ac:dyDescent="0.3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4.25" customHeight="1" x14ac:dyDescent="0.3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4.25" customHeight="1" x14ac:dyDescent="0.3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4.25" customHeight="1" x14ac:dyDescent="0.3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4.25" customHeight="1" x14ac:dyDescent="0.3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4.25" customHeight="1" x14ac:dyDescent="0.3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4.25" customHeight="1" x14ac:dyDescent="0.3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4.25" customHeight="1" x14ac:dyDescent="0.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4.25" customHeight="1" x14ac:dyDescent="0.3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4.25" customHeight="1" x14ac:dyDescent="0.3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4.25" customHeight="1" x14ac:dyDescent="0.3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4.25" customHeight="1" x14ac:dyDescent="0.3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4.25" customHeight="1" x14ac:dyDescent="0.3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4.25" customHeight="1" x14ac:dyDescent="0.3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4.25" customHeight="1" x14ac:dyDescent="0.3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4.25" customHeight="1" x14ac:dyDescent="0.3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4.25" customHeight="1" x14ac:dyDescent="0.3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4.25" customHeight="1" x14ac:dyDescent="0.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4.25" customHeight="1" x14ac:dyDescent="0.3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4.25" customHeight="1" x14ac:dyDescent="0.3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4.25" customHeight="1" x14ac:dyDescent="0.3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4.25" customHeight="1" x14ac:dyDescent="0.3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4.25" customHeight="1" x14ac:dyDescent="0.3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4.25" customHeight="1" x14ac:dyDescent="0.3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4.25" customHeight="1" x14ac:dyDescent="0.3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4.25" customHeight="1" x14ac:dyDescent="0.3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4.25" customHeight="1" x14ac:dyDescent="0.3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4.25" customHeight="1" x14ac:dyDescent="0.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4.25" customHeight="1" x14ac:dyDescent="0.3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4.25" customHeight="1" x14ac:dyDescent="0.3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4.25" customHeight="1" x14ac:dyDescent="0.3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4.25" customHeight="1" x14ac:dyDescent="0.3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4.25" customHeight="1" x14ac:dyDescent="0.3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4.25" customHeight="1" x14ac:dyDescent="0.3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4.25" customHeight="1" x14ac:dyDescent="0.3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4.25" customHeight="1" x14ac:dyDescent="0.3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4.25" customHeight="1" x14ac:dyDescent="0.3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4.25" customHeight="1" x14ac:dyDescent="0.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4.25" customHeight="1" x14ac:dyDescent="0.3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4.25" customHeight="1" x14ac:dyDescent="0.3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4.25" customHeight="1" x14ac:dyDescent="0.3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4.25" customHeight="1" x14ac:dyDescent="0.3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4.25" customHeight="1" x14ac:dyDescent="0.3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4.25" customHeight="1" x14ac:dyDescent="0.3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4.25" customHeight="1" x14ac:dyDescent="0.3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4.25" customHeight="1" x14ac:dyDescent="0.3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4.25" customHeight="1" x14ac:dyDescent="0.3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4.25" customHeight="1" x14ac:dyDescent="0.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4.25" customHeight="1" x14ac:dyDescent="0.3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4.25" customHeight="1" x14ac:dyDescent="0.3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4.25" customHeight="1" x14ac:dyDescent="0.3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4.25" customHeight="1" x14ac:dyDescent="0.3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4.25" customHeight="1" x14ac:dyDescent="0.3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4.25" customHeight="1" x14ac:dyDescent="0.3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4.25" customHeight="1" x14ac:dyDescent="0.3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4.25" customHeight="1" x14ac:dyDescent="0.3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4.25" customHeight="1" x14ac:dyDescent="0.3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4.25" customHeight="1" x14ac:dyDescent="0.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4.25" customHeight="1" x14ac:dyDescent="0.3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4.25" customHeight="1" x14ac:dyDescent="0.3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4.25" customHeight="1" x14ac:dyDescent="0.3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4.25" customHeight="1" x14ac:dyDescent="0.3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4.25" customHeight="1" x14ac:dyDescent="0.3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4.25" customHeight="1" x14ac:dyDescent="0.3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4.25" customHeight="1" x14ac:dyDescent="0.3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4.25" customHeight="1" x14ac:dyDescent="0.3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4.25" customHeight="1" x14ac:dyDescent="0.3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4.25" customHeight="1" x14ac:dyDescent="0.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4.25" customHeight="1" x14ac:dyDescent="0.3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4.25" customHeight="1" x14ac:dyDescent="0.3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4.25" customHeight="1" x14ac:dyDescent="0.3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4.25" customHeight="1" x14ac:dyDescent="0.3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4.25" customHeight="1" x14ac:dyDescent="0.3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4.25" customHeight="1" x14ac:dyDescent="0.3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4.25" customHeight="1" x14ac:dyDescent="0.3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4.25" customHeight="1" x14ac:dyDescent="0.3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4.25" customHeight="1" x14ac:dyDescent="0.3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4.25" customHeight="1" x14ac:dyDescent="0.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4.25" customHeight="1" x14ac:dyDescent="0.3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4.25" customHeight="1" x14ac:dyDescent="0.3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4.25" customHeight="1" x14ac:dyDescent="0.3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4.25" customHeight="1" x14ac:dyDescent="0.3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4.25" customHeight="1" x14ac:dyDescent="0.3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4.25" customHeight="1" x14ac:dyDescent="0.3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4.25" customHeight="1" x14ac:dyDescent="0.3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4.25" customHeight="1" x14ac:dyDescent="0.3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4.25" customHeight="1" x14ac:dyDescent="0.3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4.25" customHeight="1" x14ac:dyDescent="0.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4.25" customHeight="1" x14ac:dyDescent="0.3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4.25" customHeight="1" x14ac:dyDescent="0.3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4.25" customHeight="1" x14ac:dyDescent="0.3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4.25" customHeight="1" x14ac:dyDescent="0.3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4.25" customHeight="1" x14ac:dyDescent="0.3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4.25" customHeight="1" x14ac:dyDescent="0.3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4.25" customHeight="1" x14ac:dyDescent="0.3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4.25" customHeight="1" x14ac:dyDescent="0.3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4.25" customHeight="1" x14ac:dyDescent="0.3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4.25" customHeight="1" x14ac:dyDescent="0.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4.25" customHeight="1" x14ac:dyDescent="0.3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4.25" customHeight="1" x14ac:dyDescent="0.3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4.25" customHeight="1" x14ac:dyDescent="0.3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4.25" customHeight="1" x14ac:dyDescent="0.3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4.25" customHeight="1" x14ac:dyDescent="0.3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4.25" customHeight="1" x14ac:dyDescent="0.3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4.25" customHeight="1" x14ac:dyDescent="0.3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4.25" customHeight="1" x14ac:dyDescent="0.3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4.25" customHeight="1" x14ac:dyDescent="0.3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4.25" customHeight="1" x14ac:dyDescent="0.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4.25" customHeight="1" x14ac:dyDescent="0.3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4.25" customHeight="1" x14ac:dyDescent="0.3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4.25" customHeight="1" x14ac:dyDescent="0.3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4.25" customHeight="1" x14ac:dyDescent="0.3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4.25" customHeight="1" x14ac:dyDescent="0.3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4.25" customHeight="1" x14ac:dyDescent="0.3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4.25" customHeight="1" x14ac:dyDescent="0.3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4.25" customHeight="1" x14ac:dyDescent="0.3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4.25" customHeight="1" x14ac:dyDescent="0.3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4.25" customHeight="1" x14ac:dyDescent="0.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4.25" customHeight="1" x14ac:dyDescent="0.3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4.25" customHeight="1" x14ac:dyDescent="0.3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4.25" customHeight="1" x14ac:dyDescent="0.3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4.25" customHeight="1" x14ac:dyDescent="0.3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4.25" customHeight="1" x14ac:dyDescent="0.3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4.25" customHeight="1" x14ac:dyDescent="0.3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4.25" customHeight="1" x14ac:dyDescent="0.3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4.25" customHeight="1" x14ac:dyDescent="0.3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4.25" customHeight="1" x14ac:dyDescent="0.3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4.25" customHeight="1" x14ac:dyDescent="0.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4.25" customHeight="1" x14ac:dyDescent="0.3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4.25" customHeight="1" x14ac:dyDescent="0.3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4.25" customHeight="1" x14ac:dyDescent="0.3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4.25" customHeight="1" x14ac:dyDescent="0.3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4.25" customHeight="1" x14ac:dyDescent="0.3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4.25" customHeight="1" x14ac:dyDescent="0.3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4.25" customHeight="1" x14ac:dyDescent="0.3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4.25" customHeight="1" x14ac:dyDescent="0.3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4.25" customHeight="1" x14ac:dyDescent="0.3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4.25" customHeight="1" x14ac:dyDescent="0.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4.25" customHeight="1" x14ac:dyDescent="0.3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4.25" customHeight="1" x14ac:dyDescent="0.3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4.25" customHeight="1" x14ac:dyDescent="0.3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4.25" customHeight="1" x14ac:dyDescent="0.3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4.25" customHeight="1" x14ac:dyDescent="0.3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4.25" customHeight="1" x14ac:dyDescent="0.3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4.25" customHeight="1" x14ac:dyDescent="0.3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4.25" customHeight="1" x14ac:dyDescent="0.3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4.25" customHeight="1" x14ac:dyDescent="0.3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4.25" customHeight="1" x14ac:dyDescent="0.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4.25" customHeight="1" x14ac:dyDescent="0.3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4.25" customHeight="1" x14ac:dyDescent="0.3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4.25" customHeight="1" x14ac:dyDescent="0.3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4.25" customHeight="1" x14ac:dyDescent="0.3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4.25" customHeight="1" x14ac:dyDescent="0.3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4.25" customHeight="1" x14ac:dyDescent="0.3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4.25" customHeight="1" x14ac:dyDescent="0.3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4.25" customHeight="1" x14ac:dyDescent="0.3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4.25" customHeight="1" x14ac:dyDescent="0.3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4.25" customHeight="1" x14ac:dyDescent="0.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4.25" customHeight="1" x14ac:dyDescent="0.3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4.25" customHeight="1" x14ac:dyDescent="0.3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4.25" customHeight="1" x14ac:dyDescent="0.3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4.25" customHeight="1" x14ac:dyDescent="0.3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4.25" customHeight="1" x14ac:dyDescent="0.3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4.25" customHeight="1" x14ac:dyDescent="0.3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4.25" customHeight="1" x14ac:dyDescent="0.3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4.25" customHeight="1" x14ac:dyDescent="0.3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4.25" customHeight="1" x14ac:dyDescent="0.3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4.25" customHeight="1" x14ac:dyDescent="0.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4.25" customHeight="1" x14ac:dyDescent="0.3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4.25" customHeight="1" x14ac:dyDescent="0.3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4.25" customHeight="1" x14ac:dyDescent="0.3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4.25" customHeight="1" x14ac:dyDescent="0.3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4.25" customHeight="1" x14ac:dyDescent="0.3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4.25" customHeight="1" x14ac:dyDescent="0.3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4.25" customHeight="1" x14ac:dyDescent="0.3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4.25" customHeight="1" x14ac:dyDescent="0.3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4.25" customHeight="1" x14ac:dyDescent="0.3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4.25" customHeight="1" x14ac:dyDescent="0.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4.25" customHeight="1" x14ac:dyDescent="0.3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4.25" customHeight="1" x14ac:dyDescent="0.3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4.25" customHeight="1" x14ac:dyDescent="0.3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4.25" customHeight="1" x14ac:dyDescent="0.3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4.25" customHeight="1" x14ac:dyDescent="0.3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4.25" customHeight="1" x14ac:dyDescent="0.3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4.25" customHeight="1" x14ac:dyDescent="0.3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4.25" customHeight="1" x14ac:dyDescent="0.3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4.25" customHeight="1" x14ac:dyDescent="0.3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4.25" customHeight="1" x14ac:dyDescent="0.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4.25" customHeight="1" x14ac:dyDescent="0.3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4.25" customHeight="1" x14ac:dyDescent="0.3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4.25" customHeight="1" x14ac:dyDescent="0.3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4.25" customHeight="1" x14ac:dyDescent="0.3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4.25" customHeight="1" x14ac:dyDescent="0.3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4.25" customHeight="1" x14ac:dyDescent="0.3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4.25" customHeight="1" x14ac:dyDescent="0.3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4.25" customHeight="1" x14ac:dyDescent="0.3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4.25" customHeight="1" x14ac:dyDescent="0.3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4.25" customHeight="1" x14ac:dyDescent="0.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4.25" customHeight="1" x14ac:dyDescent="0.3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4.25" customHeight="1" x14ac:dyDescent="0.3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4.25" customHeight="1" x14ac:dyDescent="0.3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4.25" customHeight="1" x14ac:dyDescent="0.3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4.25" customHeight="1" x14ac:dyDescent="0.3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4.25" customHeight="1" x14ac:dyDescent="0.3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4.25" customHeight="1" x14ac:dyDescent="0.3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4.25" customHeight="1" x14ac:dyDescent="0.3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4.25" customHeight="1" x14ac:dyDescent="0.3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4.25" customHeight="1" x14ac:dyDescent="0.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4.25" customHeight="1" x14ac:dyDescent="0.3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4.25" customHeight="1" x14ac:dyDescent="0.3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4.25" customHeight="1" x14ac:dyDescent="0.3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4.25" customHeight="1" x14ac:dyDescent="0.3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4.25" customHeight="1" x14ac:dyDescent="0.3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4.25" customHeight="1" x14ac:dyDescent="0.3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4.25" customHeight="1" x14ac:dyDescent="0.3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4.25" customHeight="1" x14ac:dyDescent="0.3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4.25" customHeight="1" x14ac:dyDescent="0.3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4.25" customHeight="1" x14ac:dyDescent="0.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4.25" customHeight="1" x14ac:dyDescent="0.3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4.25" customHeight="1" x14ac:dyDescent="0.3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4.25" customHeight="1" x14ac:dyDescent="0.3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4.25" customHeight="1" x14ac:dyDescent="0.3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4.25" customHeight="1" x14ac:dyDescent="0.3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4.25" customHeight="1" x14ac:dyDescent="0.3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4.25" customHeight="1" x14ac:dyDescent="0.3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4.25" customHeight="1" x14ac:dyDescent="0.3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4.25" customHeight="1" x14ac:dyDescent="0.3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4.25" customHeight="1" x14ac:dyDescent="0.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4.25" customHeight="1" x14ac:dyDescent="0.3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4.25" customHeight="1" x14ac:dyDescent="0.3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4.25" customHeight="1" x14ac:dyDescent="0.3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4.25" customHeight="1" x14ac:dyDescent="0.3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4.25" customHeight="1" x14ac:dyDescent="0.3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4.25" customHeight="1" x14ac:dyDescent="0.3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4.25" customHeight="1" x14ac:dyDescent="0.3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4.25" customHeight="1" x14ac:dyDescent="0.3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4.25" customHeight="1" x14ac:dyDescent="0.3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4.25" customHeight="1" x14ac:dyDescent="0.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4.25" customHeight="1" x14ac:dyDescent="0.3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4.25" customHeight="1" x14ac:dyDescent="0.3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4.25" customHeight="1" x14ac:dyDescent="0.3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4.25" customHeight="1" x14ac:dyDescent="0.3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4.25" customHeight="1" x14ac:dyDescent="0.3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4.25" customHeight="1" x14ac:dyDescent="0.3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4.25" customHeight="1" x14ac:dyDescent="0.3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4.25" customHeight="1" x14ac:dyDescent="0.3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4.25" customHeight="1" x14ac:dyDescent="0.3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4.25" customHeight="1" x14ac:dyDescent="0.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4.25" customHeight="1" x14ac:dyDescent="0.3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4.25" customHeight="1" x14ac:dyDescent="0.3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4.25" customHeight="1" x14ac:dyDescent="0.3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4.25" customHeight="1" x14ac:dyDescent="0.3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4.25" customHeight="1" x14ac:dyDescent="0.3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4.25" customHeight="1" x14ac:dyDescent="0.3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4.25" customHeight="1" x14ac:dyDescent="0.3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4.25" customHeight="1" x14ac:dyDescent="0.3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4.25" customHeight="1" x14ac:dyDescent="0.3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4.25" customHeight="1" x14ac:dyDescent="0.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4.25" customHeight="1" x14ac:dyDescent="0.3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4.25" customHeight="1" x14ac:dyDescent="0.3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4.25" customHeight="1" x14ac:dyDescent="0.3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4.25" customHeight="1" x14ac:dyDescent="0.3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4.25" customHeight="1" x14ac:dyDescent="0.3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4.25" customHeight="1" x14ac:dyDescent="0.3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4.25" customHeight="1" x14ac:dyDescent="0.3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4.25" customHeight="1" x14ac:dyDescent="0.3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4.25" customHeight="1" x14ac:dyDescent="0.3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4.25" customHeight="1" x14ac:dyDescent="0.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4.25" customHeight="1" x14ac:dyDescent="0.3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4.25" customHeight="1" x14ac:dyDescent="0.3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4.25" customHeight="1" x14ac:dyDescent="0.3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4.25" customHeight="1" x14ac:dyDescent="0.3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4.25" customHeight="1" x14ac:dyDescent="0.3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4.25" customHeight="1" x14ac:dyDescent="0.3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4.25" customHeight="1" x14ac:dyDescent="0.3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4.25" customHeight="1" x14ac:dyDescent="0.3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4.25" customHeight="1" x14ac:dyDescent="0.3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4.25" customHeight="1" x14ac:dyDescent="0.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4.25" customHeight="1" x14ac:dyDescent="0.3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4.25" customHeight="1" x14ac:dyDescent="0.3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4.25" customHeight="1" x14ac:dyDescent="0.3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4.25" customHeight="1" x14ac:dyDescent="0.3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4.25" customHeight="1" x14ac:dyDescent="0.3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4.25" customHeight="1" x14ac:dyDescent="0.3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4.25" customHeight="1" x14ac:dyDescent="0.3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4.25" customHeight="1" x14ac:dyDescent="0.3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4.25" customHeight="1" x14ac:dyDescent="0.3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4.25" customHeight="1" x14ac:dyDescent="0.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4.25" customHeight="1" x14ac:dyDescent="0.3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4.25" customHeight="1" x14ac:dyDescent="0.3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4.25" customHeight="1" x14ac:dyDescent="0.3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4.25" customHeight="1" x14ac:dyDescent="0.3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4.25" customHeight="1" x14ac:dyDescent="0.3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4.25" customHeight="1" x14ac:dyDescent="0.3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4.25" customHeight="1" x14ac:dyDescent="0.3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4.25" customHeight="1" x14ac:dyDescent="0.3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4.25" customHeight="1" x14ac:dyDescent="0.3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4.25" customHeight="1" x14ac:dyDescent="0.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4.25" customHeight="1" x14ac:dyDescent="0.3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4.25" customHeight="1" x14ac:dyDescent="0.3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4.25" customHeight="1" x14ac:dyDescent="0.3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4.25" customHeight="1" x14ac:dyDescent="0.3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4.25" customHeight="1" x14ac:dyDescent="0.3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4.25" customHeight="1" x14ac:dyDescent="0.3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4.25" customHeight="1" x14ac:dyDescent="0.3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4.25" customHeight="1" x14ac:dyDescent="0.3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4.25" customHeight="1" x14ac:dyDescent="0.3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4.25" customHeight="1" x14ac:dyDescent="0.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4.25" customHeight="1" x14ac:dyDescent="0.3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4.25" customHeight="1" x14ac:dyDescent="0.3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4.25" customHeight="1" x14ac:dyDescent="0.3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4.25" customHeight="1" x14ac:dyDescent="0.3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4.25" customHeight="1" x14ac:dyDescent="0.3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4.25" customHeight="1" x14ac:dyDescent="0.3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4.25" customHeight="1" x14ac:dyDescent="0.3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4.25" customHeight="1" x14ac:dyDescent="0.3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4.25" customHeight="1" x14ac:dyDescent="0.3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4.25" customHeight="1" x14ac:dyDescent="0.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4.25" customHeight="1" x14ac:dyDescent="0.3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4.25" customHeight="1" x14ac:dyDescent="0.3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4.25" customHeight="1" x14ac:dyDescent="0.3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4.25" customHeight="1" x14ac:dyDescent="0.3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4.25" customHeight="1" x14ac:dyDescent="0.3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4.25" customHeight="1" x14ac:dyDescent="0.3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4.25" customHeight="1" x14ac:dyDescent="0.3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4.25" customHeight="1" x14ac:dyDescent="0.3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4.25" customHeight="1" x14ac:dyDescent="0.3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4.25" customHeight="1" x14ac:dyDescent="0.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4.25" customHeight="1" x14ac:dyDescent="0.3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4.25" customHeight="1" x14ac:dyDescent="0.3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4.25" customHeight="1" x14ac:dyDescent="0.3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4.25" customHeight="1" x14ac:dyDescent="0.3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4.25" customHeight="1" x14ac:dyDescent="0.3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4.25" customHeight="1" x14ac:dyDescent="0.3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4.25" customHeight="1" x14ac:dyDescent="0.3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4.25" customHeight="1" x14ac:dyDescent="0.3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4.25" customHeight="1" x14ac:dyDescent="0.3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4.25" customHeight="1" x14ac:dyDescent="0.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4.25" customHeight="1" x14ac:dyDescent="0.3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4.25" customHeight="1" x14ac:dyDescent="0.3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4.25" customHeight="1" x14ac:dyDescent="0.3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4.25" customHeight="1" x14ac:dyDescent="0.3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4.25" customHeight="1" x14ac:dyDescent="0.3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4.25" customHeight="1" x14ac:dyDescent="0.3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4.25" customHeight="1" x14ac:dyDescent="0.3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4.25" customHeight="1" x14ac:dyDescent="0.3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4.25" customHeight="1" x14ac:dyDescent="0.3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4.25" customHeight="1" x14ac:dyDescent="0.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4.25" customHeight="1" x14ac:dyDescent="0.3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4.25" customHeight="1" x14ac:dyDescent="0.3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4.25" customHeight="1" x14ac:dyDescent="0.3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4.25" customHeight="1" x14ac:dyDescent="0.3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4.25" customHeight="1" x14ac:dyDescent="0.3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4.25" customHeight="1" x14ac:dyDescent="0.3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4.25" customHeight="1" x14ac:dyDescent="0.3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4.25" customHeight="1" x14ac:dyDescent="0.3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4.25" customHeight="1" x14ac:dyDescent="0.3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4.25" customHeight="1" x14ac:dyDescent="0.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4.25" customHeight="1" x14ac:dyDescent="0.3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4.25" customHeight="1" x14ac:dyDescent="0.3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4.25" customHeight="1" x14ac:dyDescent="0.3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4.25" customHeight="1" x14ac:dyDescent="0.3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4.25" customHeight="1" x14ac:dyDescent="0.3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4.25" customHeight="1" x14ac:dyDescent="0.3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4.25" customHeight="1" x14ac:dyDescent="0.3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4.25" customHeight="1" x14ac:dyDescent="0.3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4.25" customHeight="1" x14ac:dyDescent="0.3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4.25" customHeight="1" x14ac:dyDescent="0.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4.25" customHeight="1" x14ac:dyDescent="0.3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4.25" customHeight="1" x14ac:dyDescent="0.3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4.25" customHeight="1" x14ac:dyDescent="0.3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4.25" customHeight="1" x14ac:dyDescent="0.3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4.25" customHeight="1" x14ac:dyDescent="0.3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4.25" customHeight="1" x14ac:dyDescent="0.3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4.25" customHeight="1" x14ac:dyDescent="0.3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4.25" customHeight="1" x14ac:dyDescent="0.3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4.25" customHeight="1" x14ac:dyDescent="0.3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4.25" customHeight="1" x14ac:dyDescent="0.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4.25" customHeight="1" x14ac:dyDescent="0.3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4.25" customHeight="1" x14ac:dyDescent="0.3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4.25" customHeight="1" x14ac:dyDescent="0.3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4.25" customHeight="1" x14ac:dyDescent="0.3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4.25" customHeight="1" x14ac:dyDescent="0.3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4.25" customHeight="1" x14ac:dyDescent="0.3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4.25" customHeight="1" x14ac:dyDescent="0.3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4.25" customHeight="1" x14ac:dyDescent="0.3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4.25" customHeight="1" x14ac:dyDescent="0.3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4.25" customHeight="1" x14ac:dyDescent="0.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4.25" customHeight="1" x14ac:dyDescent="0.3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4.25" customHeight="1" x14ac:dyDescent="0.3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4.25" customHeight="1" x14ac:dyDescent="0.3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4.25" customHeight="1" x14ac:dyDescent="0.3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4.25" customHeight="1" x14ac:dyDescent="0.3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4.25" customHeight="1" x14ac:dyDescent="0.3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4.25" customHeight="1" x14ac:dyDescent="0.3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4.25" customHeight="1" x14ac:dyDescent="0.3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4.25" customHeight="1" x14ac:dyDescent="0.3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4.25" customHeight="1" x14ac:dyDescent="0.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4.25" customHeight="1" x14ac:dyDescent="0.3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4.25" customHeight="1" x14ac:dyDescent="0.3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4.25" customHeight="1" x14ac:dyDescent="0.3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4.25" customHeight="1" x14ac:dyDescent="0.3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4.25" customHeight="1" x14ac:dyDescent="0.3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4.25" customHeight="1" x14ac:dyDescent="0.3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4.25" customHeight="1" x14ac:dyDescent="0.3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4.25" customHeight="1" x14ac:dyDescent="0.3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4.25" customHeight="1" x14ac:dyDescent="0.3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4.25" customHeight="1" x14ac:dyDescent="0.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4.25" customHeight="1" x14ac:dyDescent="0.3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4.25" customHeight="1" x14ac:dyDescent="0.3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4.25" customHeight="1" x14ac:dyDescent="0.3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4.25" customHeight="1" x14ac:dyDescent="0.3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4.25" customHeight="1" x14ac:dyDescent="0.3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4.25" customHeight="1" x14ac:dyDescent="0.3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4.25" customHeight="1" x14ac:dyDescent="0.3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4.25" customHeight="1" x14ac:dyDescent="0.3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4.25" customHeight="1" x14ac:dyDescent="0.3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4.25" customHeight="1" x14ac:dyDescent="0.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4.25" customHeight="1" x14ac:dyDescent="0.3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4.25" customHeight="1" x14ac:dyDescent="0.3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4.25" customHeight="1" x14ac:dyDescent="0.3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4.25" customHeight="1" x14ac:dyDescent="0.3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4.25" customHeight="1" x14ac:dyDescent="0.3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4.25" customHeight="1" x14ac:dyDescent="0.3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4.25" customHeight="1" x14ac:dyDescent="0.3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4.25" customHeight="1" x14ac:dyDescent="0.3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4.25" customHeight="1" x14ac:dyDescent="0.3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4.25" customHeight="1" x14ac:dyDescent="0.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4.25" customHeight="1" x14ac:dyDescent="0.3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4.25" customHeight="1" x14ac:dyDescent="0.3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4.25" customHeight="1" x14ac:dyDescent="0.3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4.25" customHeight="1" x14ac:dyDescent="0.3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4.25" customHeight="1" x14ac:dyDescent="0.3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4.25" customHeight="1" x14ac:dyDescent="0.3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4.25" customHeight="1" x14ac:dyDescent="0.3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4.25" customHeight="1" x14ac:dyDescent="0.3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4.25" customHeight="1" x14ac:dyDescent="0.3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4.25" customHeight="1" x14ac:dyDescent="0.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4.25" customHeight="1" x14ac:dyDescent="0.3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4.25" customHeight="1" x14ac:dyDescent="0.3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4.25" customHeight="1" x14ac:dyDescent="0.3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4.25" customHeight="1" x14ac:dyDescent="0.3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4.25" customHeight="1" x14ac:dyDescent="0.3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4.25" customHeight="1" x14ac:dyDescent="0.3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4.25" customHeight="1" x14ac:dyDescent="0.3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4.25" customHeight="1" x14ac:dyDescent="0.3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4.25" customHeight="1" x14ac:dyDescent="0.3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4.25" customHeight="1" x14ac:dyDescent="0.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4.25" customHeight="1" x14ac:dyDescent="0.3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4.25" customHeight="1" x14ac:dyDescent="0.3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4.25" customHeight="1" x14ac:dyDescent="0.3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4.25" customHeight="1" x14ac:dyDescent="0.3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4.25" customHeight="1" x14ac:dyDescent="0.3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4.25" customHeight="1" x14ac:dyDescent="0.3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4.25" customHeight="1" x14ac:dyDescent="0.3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4.25" customHeight="1" x14ac:dyDescent="0.3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4.25" customHeight="1" x14ac:dyDescent="0.3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4.25" customHeight="1" x14ac:dyDescent="0.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4.25" customHeight="1" x14ac:dyDescent="0.3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4.25" customHeight="1" x14ac:dyDescent="0.3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4.25" customHeight="1" x14ac:dyDescent="0.3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4.25" customHeight="1" x14ac:dyDescent="0.3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4.25" customHeight="1" x14ac:dyDescent="0.3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4.25" customHeight="1" x14ac:dyDescent="0.3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4.25" customHeight="1" x14ac:dyDescent="0.3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4.25" customHeight="1" x14ac:dyDescent="0.3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4.25" customHeight="1" x14ac:dyDescent="0.3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4.25" customHeight="1" x14ac:dyDescent="0.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4.25" customHeight="1" x14ac:dyDescent="0.3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4.25" customHeight="1" x14ac:dyDescent="0.3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4.25" customHeight="1" x14ac:dyDescent="0.3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4.25" customHeight="1" x14ac:dyDescent="0.3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4.25" customHeight="1" x14ac:dyDescent="0.3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4.25" customHeight="1" x14ac:dyDescent="0.3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4.25" customHeight="1" x14ac:dyDescent="0.3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4.25" customHeight="1" x14ac:dyDescent="0.3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4.25" customHeight="1" x14ac:dyDescent="0.3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4.25" customHeight="1" x14ac:dyDescent="0.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4.25" customHeight="1" x14ac:dyDescent="0.3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4.25" customHeight="1" x14ac:dyDescent="0.3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4.25" customHeight="1" x14ac:dyDescent="0.3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4.25" customHeight="1" x14ac:dyDescent="0.3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</sheetData>
  <mergeCells count="82">
    <mergeCell ref="A10:A21"/>
    <mergeCell ref="A22:A33"/>
    <mergeCell ref="A38:A39"/>
    <mergeCell ref="A48:A49"/>
    <mergeCell ref="H35:I35"/>
    <mergeCell ref="H36:I36"/>
    <mergeCell ref="H37:I37"/>
    <mergeCell ref="B29:C29"/>
    <mergeCell ref="B30:C30"/>
    <mergeCell ref="B31:C31"/>
    <mergeCell ref="B32:C32"/>
    <mergeCell ref="B33:C33"/>
    <mergeCell ref="B34:D34"/>
    <mergeCell ref="H34:I34"/>
    <mergeCell ref="B38:C39"/>
    <mergeCell ref="D38:D39"/>
    <mergeCell ref="G81:G82"/>
    <mergeCell ref="H81:H82"/>
    <mergeCell ref="I81:I82"/>
    <mergeCell ref="B63:B64"/>
    <mergeCell ref="B72:B73"/>
    <mergeCell ref="C72:C73"/>
    <mergeCell ref="D72:D73"/>
    <mergeCell ref="E72:E73"/>
    <mergeCell ref="F72:F73"/>
    <mergeCell ref="G72:G73"/>
    <mergeCell ref="B81:B82"/>
    <mergeCell ref="C81:C82"/>
    <mergeCell ref="D81:D82"/>
    <mergeCell ref="E81:E82"/>
    <mergeCell ref="F81:F82"/>
    <mergeCell ref="C63:C64"/>
    <mergeCell ref="J70:J78"/>
    <mergeCell ref="J79:J87"/>
    <mergeCell ref="H53:H54"/>
    <mergeCell ref="I53:I54"/>
    <mergeCell ref="J61:J69"/>
    <mergeCell ref="H63:H64"/>
    <mergeCell ref="I63:I64"/>
    <mergeCell ref="H72:H73"/>
    <mergeCell ref="I72:I73"/>
    <mergeCell ref="J51:J60"/>
    <mergeCell ref="D63:D64"/>
    <mergeCell ref="E63:E64"/>
    <mergeCell ref="F63:F64"/>
    <mergeCell ref="G63:G64"/>
    <mergeCell ref="G53:G54"/>
    <mergeCell ref="F53:F54"/>
    <mergeCell ref="B53:B54"/>
    <mergeCell ref="C53:C54"/>
    <mergeCell ref="D53:D54"/>
    <mergeCell ref="E53:E54"/>
    <mergeCell ref="B25:C25"/>
    <mergeCell ref="B26:C26"/>
    <mergeCell ref="B27:C27"/>
    <mergeCell ref="B28:C28"/>
    <mergeCell ref="E38:E39"/>
    <mergeCell ref="B43:C43"/>
    <mergeCell ref="A47:J47"/>
    <mergeCell ref="B48:E48"/>
    <mergeCell ref="F48:I48"/>
    <mergeCell ref="J48:J49"/>
    <mergeCell ref="F38:Q38"/>
    <mergeCell ref="B40:C40"/>
    <mergeCell ref="B41:C41"/>
    <mergeCell ref="B42:C42"/>
    <mergeCell ref="B14:C14"/>
    <mergeCell ref="B21:C21"/>
    <mergeCell ref="B22:C22"/>
    <mergeCell ref="B23:C23"/>
    <mergeCell ref="B24:C24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</mergeCells>
  <hyperlinks>
    <hyperlink ref="D50" r:id="rId1" display="https://www.router-switch.com/c9800-l-c-k9.html" xr:uid="{00000000-0004-0000-0200-000000000000}"/>
    <hyperlink ref="E50" r:id="rId2" xr:uid="{00000000-0004-0000-0200-000001000000}"/>
    <hyperlink ref="I50" r:id="rId3" xr:uid="{00000000-0004-0000-0200-000002000000}"/>
    <hyperlink ref="D51" r:id="rId4" display="https://www.router-switch.com/c9410r.html" xr:uid="{00000000-0004-0000-0200-000003000000}"/>
    <hyperlink ref="E51" r:id="rId5" xr:uid="{00000000-0004-0000-0200-000004000000}"/>
    <hyperlink ref="H51" r:id="rId6" display="https://www.bechtle.com/de-en/shop/hpe-aruba-6410-v2-switch--4660077--p" xr:uid="{00000000-0004-0000-0200-000005000000}"/>
    <hyperlink ref="I51" r:id="rId7" xr:uid="{00000000-0004-0000-0200-000006000000}"/>
    <hyperlink ref="D52" r:id="rId8" display="https://www.router-switch.com/c9400-sup-1xl.html" xr:uid="{00000000-0004-0000-0200-000007000000}"/>
    <hyperlink ref="E52" r:id="rId9" xr:uid="{00000000-0004-0000-0200-000008000000}"/>
    <hyperlink ref="H52" r:id="rId10" display="https://edshop.edsystem.eu/hpe-aruba-networking-cx-6400-management-module/product-1686459" xr:uid="{00000000-0004-0000-0200-000009000000}"/>
    <hyperlink ref="I52" r:id="rId11" xr:uid="{00000000-0004-0000-0200-00000A000000}"/>
    <hyperlink ref="E53" r:id="rId12" xr:uid="{00000000-0004-0000-0200-00000B000000}"/>
    <hyperlink ref="D55" r:id="rId13" display="https://www.fs.com/eu-en/products/36171.html?gad_source=1&amp;gad_campaignid=17958704370&amp;gbraid=0AAAAAoz-wfT_xbplSsDF5wnLt8v2Wzp2D&amp;gclid=CjwKCAjwtIfPBhAzEiwAv9RTJlKrkQBS8dOUVwOEDG8QDB1y0gEgpD_K3Km2f0GLubKbb3vLE1K1vxoCmsAQAvD_BwE" xr:uid="{00000000-0004-0000-0200-00000C000000}"/>
    <hyperlink ref="E55" r:id="rId14" xr:uid="{00000000-0004-0000-0200-00000D000000}"/>
    <hyperlink ref="H55" r:id="rId15" display="https://it-planet.com/en/p/hp-jl310a-381910.html?gad_source=1&amp;gad_campaignid=10637715501&amp;gbraid=0AAAAAC89HVSD4xsDqcS8K4yLzu4h2wxNL&amp;gclid=CjwKCAjwtIfPBhAzEiwAv9RTJmdJifTA0IO4YuKONqlSu9-0-NhG4gtUCkVckG220w8O7P4FV80FIxoCLaUQAvD_BwE" xr:uid="{00000000-0004-0000-0200-00000E000000}"/>
    <hyperlink ref="I55" r:id="rId16" xr:uid="{00000000-0004-0000-0200-00000F000000}"/>
    <hyperlink ref="D56" r:id="rId17" display="https://www.router-switch.com/c9400-lc-12qc.html" xr:uid="{00000000-0004-0000-0200-000010000000}"/>
    <hyperlink ref="E56" r:id="rId18" xr:uid="{00000000-0004-0000-0200-000011000000}"/>
    <hyperlink ref="H56" r:id="rId19" display="https://it-planet.com/en/p/hpearuba-r0x45c-462673.html" xr:uid="{00000000-0004-0000-0200-000012000000}"/>
    <hyperlink ref="I56" r:id="rId20" xr:uid="{00000000-0004-0000-0200-000013000000}"/>
    <hyperlink ref="D57" r:id="rId21" display="https://www.router-switch.com/c9400-lc-48ux.html" xr:uid="{00000000-0004-0000-0200-000014000000}"/>
    <hyperlink ref="E57" r:id="rId22" xr:uid="{00000000-0004-0000-0200-000015000000}"/>
    <hyperlink ref="H57" r:id="rId23" display="https://it-planet.com/en/p/hpearuba-s1t83a-462820.html" xr:uid="{00000000-0004-0000-0200-000016000000}"/>
    <hyperlink ref="I57" r:id="rId24" xr:uid="{00000000-0004-0000-0200-000017000000}"/>
    <hyperlink ref="D58" r:id="rId25" display="https://www.rhinonetworks.com/product/device/cisco-cw9179f" xr:uid="{00000000-0004-0000-0200-000018000000}"/>
    <hyperlink ref="E58" r:id="rId26" xr:uid="{00000000-0004-0000-0200-000019000000}"/>
    <hyperlink ref="H58" r:id="rId27" display="https://www.cdw.com/product/hpe-aruba-networking-ap-765-us-flex-wireless-access-point-built-in-dy/8538207" xr:uid="{00000000-0004-0000-0200-00001A000000}"/>
    <hyperlink ref="I58" r:id="rId28" xr:uid="{00000000-0004-0000-0200-00001B000000}"/>
    <hyperlink ref="D59" r:id="rId29" xr:uid="{00000000-0004-0000-0200-00001C000000}"/>
    <hyperlink ref="E59" r:id="rId30" location="Detailedperformancespecificationsandfeaturehighlights" xr:uid="{00000000-0004-0000-0200-00001D000000}"/>
    <hyperlink ref="H59" r:id="rId31" display="https://it-planet.com/en/p/paloaltonetworks-pan-pa-3440-493898.html" xr:uid="{00000000-0004-0000-0200-00001E000000}"/>
    <hyperlink ref="I59" r:id="rId32" xr:uid="{00000000-0004-0000-0200-00001F000000}"/>
    <hyperlink ref="D60" r:id="rId33" display="https://www.router-switch.com/cp-8861-k9-p-21580.html" xr:uid="{00000000-0004-0000-0200-000020000000}"/>
    <hyperlink ref="E60" r:id="rId34" xr:uid="{00000000-0004-0000-0200-000021000000}"/>
    <hyperlink ref="H60" r:id="rId35" display="https://www.cdw.com/product/poly-edge-ip-phone-corded-corded-desktop/7597468" xr:uid="{00000000-0004-0000-0200-000022000000}"/>
    <hyperlink ref="I60" r:id="rId36" xr:uid="{00000000-0004-0000-0200-000023000000}"/>
    <hyperlink ref="D61" r:id="rId37" display="https://www.router-switch.com/c9410r.html" xr:uid="{00000000-0004-0000-0200-000024000000}"/>
    <hyperlink ref="E61" r:id="rId38" xr:uid="{00000000-0004-0000-0200-000025000000}"/>
    <hyperlink ref="H61" r:id="rId39" display="https://www.bechtle.com/de-en/shop/hpe-aruba-6410-v2-switch--4660077--p" xr:uid="{00000000-0004-0000-0200-000026000000}"/>
    <hyperlink ref="I61" r:id="rId40" xr:uid="{00000000-0004-0000-0200-000027000000}"/>
    <hyperlink ref="D62" r:id="rId41" display="https://www.router-switch.com/c9400-sup-1xl.html" xr:uid="{00000000-0004-0000-0200-000028000000}"/>
    <hyperlink ref="E62" r:id="rId42" xr:uid="{00000000-0004-0000-0200-000029000000}"/>
    <hyperlink ref="H62" r:id="rId43" display="https://edshop.edsystem.eu/hpe-aruba-networking-cx-6400-management-module/product-1686459" xr:uid="{00000000-0004-0000-0200-00002A000000}"/>
    <hyperlink ref="I62" r:id="rId44" xr:uid="{00000000-0004-0000-0200-00002B000000}"/>
    <hyperlink ref="E63" r:id="rId45" xr:uid="{00000000-0004-0000-0200-00002C000000}"/>
    <hyperlink ref="D65" r:id="rId46" display="https://www.router-switch.com/c9400-lc-12qc.html" xr:uid="{00000000-0004-0000-0200-00002D000000}"/>
    <hyperlink ref="E65" r:id="rId47" xr:uid="{00000000-0004-0000-0200-00002E000000}"/>
    <hyperlink ref="H65" r:id="rId48" display="https://it-planet.com/en/p/hpearuba-r0x45c-462673.html" xr:uid="{00000000-0004-0000-0200-00002F000000}"/>
    <hyperlink ref="I65" r:id="rId49" xr:uid="{00000000-0004-0000-0200-000030000000}"/>
    <hyperlink ref="D66" r:id="rId50" display="https://www.fs.com/eu-en/products/36171.html?gad_source=1&amp;gad_campaignid=17958704370&amp;gbraid=0AAAAAoz-wfT_xbplSsDF5wnLt8v2Wzp2D&amp;gclid=CjwKCAjwtIfPBhAzEiwAv9RTJlKrkQBS8dOUVwOEDG8QDB1y0gEgpD_K3Km2f0GLubKbb3vLE1K1vxoCmsAQAvD_BwE" xr:uid="{00000000-0004-0000-0200-000031000000}"/>
    <hyperlink ref="E66" r:id="rId51" xr:uid="{00000000-0004-0000-0200-000032000000}"/>
    <hyperlink ref="H66" r:id="rId52" display="https://it-planet.com/en/p/hp-jl310a-381910.html?gad_source=1&amp;gad_campaignid=10637715501&amp;gbraid=0AAAAAC89HVSD4xsDqcS8K4yLzu4h2wxNL&amp;gclid=CjwKCAjwtIfPBhAzEiwAv9RTJmdJifTA0IO4YuKONqlSu9-0-NhG4gtUCkVckG220w8O7P4FV80FIxoCLaUQAvD_BwE" xr:uid="{00000000-0004-0000-0200-000033000000}"/>
    <hyperlink ref="I66" r:id="rId53" xr:uid="{00000000-0004-0000-0200-000034000000}"/>
    <hyperlink ref="D67" r:id="rId54" display="https://www.router-switch.com/c9400-lc-48ux.html" xr:uid="{00000000-0004-0000-0200-000035000000}"/>
    <hyperlink ref="E67" r:id="rId55" xr:uid="{00000000-0004-0000-0200-000036000000}"/>
    <hyperlink ref="H67" r:id="rId56" display="https://it-planet.com/en/p/hpearuba-s1t83a-462820.html" xr:uid="{00000000-0004-0000-0200-000037000000}"/>
    <hyperlink ref="I67" r:id="rId57" xr:uid="{00000000-0004-0000-0200-000038000000}"/>
    <hyperlink ref="D68" r:id="rId58" display="https://www.rhinonetworks.com/product/device/cisco-cw9179f" xr:uid="{00000000-0004-0000-0200-000039000000}"/>
    <hyperlink ref="E68" r:id="rId59" xr:uid="{00000000-0004-0000-0200-00003A000000}"/>
    <hyperlink ref="H68" r:id="rId60" display="https://www.cdw.com/product/hpe-aruba-networking-ap-765-us-flex-wireless-access-point-built-in-dy/8538207" xr:uid="{00000000-0004-0000-0200-00003B000000}"/>
    <hyperlink ref="I68" r:id="rId61" xr:uid="{00000000-0004-0000-0200-00003C000000}"/>
    <hyperlink ref="D69" r:id="rId62" display="https://www.router-switch.com/cp-8861-k9-p-21580.html" xr:uid="{00000000-0004-0000-0200-00003D000000}"/>
    <hyperlink ref="E69" r:id="rId63" xr:uid="{00000000-0004-0000-0200-00003E000000}"/>
    <hyperlink ref="H69" r:id="rId64" display="https://www.cdw.com/product/poly-edge-ip-phone-corded-corded-desktop/7597468" xr:uid="{00000000-0004-0000-0200-00003F000000}"/>
    <hyperlink ref="I69" r:id="rId65" xr:uid="{00000000-0004-0000-0200-000040000000}"/>
    <hyperlink ref="D70" r:id="rId66" display="https://www.router-switch.com/c9410r.html" xr:uid="{00000000-0004-0000-0200-000041000000}"/>
    <hyperlink ref="E70" r:id="rId67" xr:uid="{00000000-0004-0000-0200-000042000000}"/>
    <hyperlink ref="H70" r:id="rId68" display="https://www.bechtle.com/de-en/shop/hpe-aruba-6410-v2-switch--4660077--p" xr:uid="{00000000-0004-0000-0200-000043000000}"/>
    <hyperlink ref="I70" r:id="rId69" xr:uid="{00000000-0004-0000-0200-000044000000}"/>
    <hyperlink ref="D71" r:id="rId70" display="https://www.router-switch.com/c9400-sup-1xl.html" xr:uid="{00000000-0004-0000-0200-000045000000}"/>
    <hyperlink ref="E71" r:id="rId71" xr:uid="{00000000-0004-0000-0200-000046000000}"/>
    <hyperlink ref="H71" r:id="rId72" display="https://edshop.edsystem.eu/hpe-aruba-networking-cx-6400-management-module/product-1686459" xr:uid="{00000000-0004-0000-0200-000047000000}"/>
    <hyperlink ref="I71" r:id="rId73" xr:uid="{00000000-0004-0000-0200-000048000000}"/>
    <hyperlink ref="E72" r:id="rId74" xr:uid="{00000000-0004-0000-0200-000049000000}"/>
    <hyperlink ref="D74" r:id="rId75" display="https://www.router-switch.com/c9400-lc-12qc.html" xr:uid="{00000000-0004-0000-0200-00004A000000}"/>
    <hyperlink ref="E74" r:id="rId76" xr:uid="{00000000-0004-0000-0200-00004B000000}"/>
    <hyperlink ref="H74" r:id="rId77" display="https://it-planet.com/en/p/hpearuba-r0x45c-462673.html" xr:uid="{00000000-0004-0000-0200-00004C000000}"/>
    <hyperlink ref="I74" r:id="rId78" xr:uid="{00000000-0004-0000-0200-00004D000000}"/>
    <hyperlink ref="D75" r:id="rId79" display="https://www.fs.com/eu-en/products/36171.html?gad_source=1&amp;gad_campaignid=17958704370&amp;gbraid=0AAAAAoz-wfT_xbplSsDF5wnLt8v2Wzp2D&amp;gclid=CjwKCAjwtIfPBhAzEiwAv9RTJlKrkQBS8dOUVwOEDG8QDB1y0gEgpD_K3Km2f0GLubKbb3vLE1K1vxoCmsAQAvD_BwE" xr:uid="{00000000-0004-0000-0200-00004E000000}"/>
    <hyperlink ref="E75" r:id="rId80" xr:uid="{00000000-0004-0000-0200-00004F000000}"/>
    <hyperlink ref="H75" r:id="rId81" display="https://it-planet.com/en/p/hp-jl310a-381910.html?gad_source=1&amp;gad_campaignid=10637715501&amp;gbraid=0AAAAAC89HVSD4xsDqcS8K4yLzu4h2wxNL&amp;gclid=CjwKCAjwtIfPBhAzEiwAv9RTJmdJifTA0IO4YuKONqlSu9-0-NhG4gtUCkVckG220w8O7P4FV80FIxoCLaUQAvD_BwE" xr:uid="{00000000-0004-0000-0200-000050000000}"/>
    <hyperlink ref="I75" r:id="rId82" xr:uid="{00000000-0004-0000-0200-000051000000}"/>
    <hyperlink ref="D76" r:id="rId83" display="https://www.router-switch.com/c9400-lc-48ux.html" xr:uid="{00000000-0004-0000-0200-000052000000}"/>
    <hyperlink ref="E76" r:id="rId84" xr:uid="{00000000-0004-0000-0200-000053000000}"/>
    <hyperlink ref="H76" r:id="rId85" display="https://it-planet.com/en/p/hpearuba-s1t83a-462820.html" xr:uid="{00000000-0004-0000-0200-000054000000}"/>
    <hyperlink ref="I76" r:id="rId86" xr:uid="{00000000-0004-0000-0200-000055000000}"/>
    <hyperlink ref="D77" r:id="rId87" display="https://www.rhinonetworks.com/product/device/cisco-cw9179f" xr:uid="{00000000-0004-0000-0200-000056000000}"/>
    <hyperlink ref="E77" r:id="rId88" xr:uid="{00000000-0004-0000-0200-000057000000}"/>
    <hyperlink ref="H77" r:id="rId89" display="https://www.cdw.com/product/hpe-aruba-networking-ap-765-us-flex-wireless-access-point-built-in-dy/8538207" xr:uid="{00000000-0004-0000-0200-000058000000}"/>
    <hyperlink ref="I77" r:id="rId90" xr:uid="{00000000-0004-0000-0200-000059000000}"/>
    <hyperlink ref="D78" r:id="rId91" display="https://www.router-switch.com/cp-8861-k9-p-21580.html" xr:uid="{00000000-0004-0000-0200-00005A000000}"/>
    <hyperlink ref="E78" r:id="rId92" xr:uid="{00000000-0004-0000-0200-00005B000000}"/>
    <hyperlink ref="H78" r:id="rId93" display="https://www.cdw.com/product/poly-edge-ip-phone-corded-corded-desktop/7597468" xr:uid="{00000000-0004-0000-0200-00005C000000}"/>
    <hyperlink ref="I78" r:id="rId94" xr:uid="{00000000-0004-0000-0200-00005D000000}"/>
    <hyperlink ref="D79" r:id="rId95" display="https://www.router-switch.com/c9410r.html" xr:uid="{00000000-0004-0000-0200-00005E000000}"/>
    <hyperlink ref="E79" r:id="rId96" xr:uid="{00000000-0004-0000-0200-00005F000000}"/>
    <hyperlink ref="H79" r:id="rId97" display="https://www.bechtle.com/de-en/shop/hpe-aruba-6410-v2-switch--4660077--p" xr:uid="{00000000-0004-0000-0200-000060000000}"/>
    <hyperlink ref="I79" r:id="rId98" xr:uid="{00000000-0004-0000-0200-000061000000}"/>
    <hyperlink ref="D80" r:id="rId99" display="https://www.router-switch.com/c9400-sup-1xl.html" xr:uid="{00000000-0004-0000-0200-000062000000}"/>
    <hyperlink ref="E80" r:id="rId100" xr:uid="{00000000-0004-0000-0200-000063000000}"/>
    <hyperlink ref="H80" r:id="rId101" display="https://edshop.edsystem.eu/hpe-aruba-networking-cx-6400-management-module/product-1686459" xr:uid="{00000000-0004-0000-0200-000064000000}"/>
    <hyperlink ref="I80" r:id="rId102" xr:uid="{00000000-0004-0000-0200-000065000000}"/>
    <hyperlink ref="E81" r:id="rId103" xr:uid="{00000000-0004-0000-0200-000066000000}"/>
    <hyperlink ref="D83" r:id="rId104" display="https://www.router-switch.com/c9400-lc-12qc.html" xr:uid="{00000000-0004-0000-0200-000067000000}"/>
    <hyperlink ref="E83" r:id="rId105" xr:uid="{00000000-0004-0000-0200-000068000000}"/>
    <hyperlink ref="H83" r:id="rId106" display="https://it-planet.com/en/p/hpearuba-r0x45c-462673.html" xr:uid="{00000000-0004-0000-0200-000069000000}"/>
    <hyperlink ref="I83" r:id="rId107" xr:uid="{00000000-0004-0000-0200-00006A000000}"/>
    <hyperlink ref="D84" r:id="rId108" display="https://www.fs.com/eu-en/products/36171.html?gad_source=1&amp;gad_campaignid=17958704370&amp;gbraid=0AAAAAoz-wfT_xbplSsDF5wnLt8v2Wzp2D&amp;gclid=CjwKCAjwtIfPBhAzEiwAv9RTJlKrkQBS8dOUVwOEDG8QDB1y0gEgpD_K3Km2f0GLubKbb3vLE1K1vxoCmsAQAvD_BwE" xr:uid="{00000000-0004-0000-0200-00006B000000}"/>
    <hyperlink ref="E84" r:id="rId109" xr:uid="{00000000-0004-0000-0200-00006C000000}"/>
    <hyperlink ref="H84" r:id="rId110" display="https://it-planet.com/en/p/hp-jl310a-381910.html?gad_source=1&amp;gad_campaignid=10637715501&amp;gbraid=0AAAAAC89HVSD4xsDqcS8K4yLzu4h2wxNL&amp;gclid=CjwKCAjwtIfPBhAzEiwAv9RTJmdJifTA0IO4YuKONqlSu9-0-NhG4gtUCkVckG220w8O7P4FV80FIxoCLaUQAvD_BwE" xr:uid="{00000000-0004-0000-0200-00006D000000}"/>
    <hyperlink ref="I84" r:id="rId111" xr:uid="{00000000-0004-0000-0200-00006E000000}"/>
    <hyperlink ref="D85" r:id="rId112" display="https://www.router-switch.com/c9400-lc-48ux.html" xr:uid="{00000000-0004-0000-0200-00006F000000}"/>
    <hyperlink ref="E85" r:id="rId113" xr:uid="{00000000-0004-0000-0200-000070000000}"/>
    <hyperlink ref="H85" r:id="rId114" display="https://it-planet.com/en/p/hpearuba-s1t83a-462820.html" xr:uid="{00000000-0004-0000-0200-000071000000}"/>
    <hyperlink ref="I85" r:id="rId115" xr:uid="{00000000-0004-0000-0200-000072000000}"/>
    <hyperlink ref="D86" r:id="rId116" display="https://www.rhinonetworks.com/product/device/cisco-cw9179f" xr:uid="{00000000-0004-0000-0200-000073000000}"/>
    <hyperlink ref="E86" r:id="rId117" xr:uid="{00000000-0004-0000-0200-000074000000}"/>
    <hyperlink ref="H86" r:id="rId118" display="https://www.cdw.com/product/hpe-aruba-networking-ap-765-us-flex-wireless-access-point-built-in-dy/8538207" xr:uid="{00000000-0004-0000-0200-000075000000}"/>
    <hyperlink ref="I86" r:id="rId119" xr:uid="{00000000-0004-0000-0200-000076000000}"/>
    <hyperlink ref="D87" r:id="rId120" display="https://www.router-switch.com/cp-8861-k9-p-21580.html" xr:uid="{00000000-0004-0000-0200-000077000000}"/>
    <hyperlink ref="E87" r:id="rId121" xr:uid="{00000000-0004-0000-0200-000078000000}"/>
    <hyperlink ref="H87" r:id="rId122" display="https://www.cdw.com/product/poly-edge-ip-phone-corded-corded-desktop/7597468" xr:uid="{00000000-0004-0000-0200-000079000000}"/>
    <hyperlink ref="I87" r:id="rId123" xr:uid="{00000000-0004-0000-0200-00007A000000}"/>
  </hyperlinks>
  <pageMargins left="0.7" right="0.7" top="0.75" bottom="0.75" header="0" footer="0"/>
  <pageSetup paperSize="8" orientation="landscape" r:id="rId12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8"/>
  <sheetViews>
    <sheetView topLeftCell="A33" workbookViewId="0">
      <selection activeCell="K7" sqref="K7"/>
    </sheetView>
  </sheetViews>
  <sheetFormatPr defaultColWidth="14.44140625" defaultRowHeight="15" customHeight="1" x14ac:dyDescent="0.3"/>
  <cols>
    <col min="1" max="1" width="8.6640625" customWidth="1"/>
    <col min="2" max="2" width="17.33203125" customWidth="1"/>
    <col min="3" max="3" width="30.88671875" customWidth="1"/>
    <col min="4" max="4" width="26" customWidth="1"/>
    <col min="5" max="5" width="23.5546875" customWidth="1"/>
    <col min="6" max="6" width="16.33203125" customWidth="1"/>
    <col min="7" max="7" width="20.109375" customWidth="1"/>
    <col min="8" max="9" width="8.6640625" customWidth="1"/>
    <col min="10" max="10" width="24.5546875" customWidth="1"/>
  </cols>
  <sheetData>
    <row r="1" spans="1:11" ht="15" customHeight="1" x14ac:dyDescent="0.3">
      <c r="A1" s="233" t="s">
        <v>283</v>
      </c>
      <c r="B1" s="234"/>
      <c r="C1" s="234"/>
      <c r="D1" s="234"/>
      <c r="E1" s="234"/>
      <c r="F1" s="234"/>
      <c r="G1" s="234"/>
      <c r="H1" s="235"/>
    </row>
    <row r="2" spans="1:11" ht="14.25" customHeight="1" x14ac:dyDescent="0.3">
      <c r="A2" s="24" t="s">
        <v>233</v>
      </c>
      <c r="B2" s="70" t="s">
        <v>234</v>
      </c>
      <c r="C2" s="71" t="s">
        <v>235</v>
      </c>
      <c r="D2" s="71" t="s">
        <v>236</v>
      </c>
      <c r="E2" s="71" t="s">
        <v>237</v>
      </c>
      <c r="F2" s="71" t="s">
        <v>238</v>
      </c>
      <c r="G2" s="72" t="s">
        <v>239</v>
      </c>
      <c r="H2" s="59" t="s">
        <v>233</v>
      </c>
    </row>
    <row r="3" spans="1:11" ht="14.25" customHeight="1" x14ac:dyDescent="0.3">
      <c r="A3" s="236" t="s">
        <v>240</v>
      </c>
      <c r="B3" s="73">
        <v>1</v>
      </c>
      <c r="C3" s="74" t="s">
        <v>241</v>
      </c>
      <c r="D3" s="74" t="s">
        <v>285</v>
      </c>
      <c r="E3" s="74">
        <v>72</v>
      </c>
      <c r="F3" s="74"/>
      <c r="G3" s="75"/>
      <c r="H3" s="236" t="s">
        <v>240</v>
      </c>
    </row>
    <row r="4" spans="1:11" ht="14.25" customHeight="1" x14ac:dyDescent="0.3">
      <c r="A4" s="181"/>
      <c r="B4" s="237">
        <v>13</v>
      </c>
      <c r="C4" s="76" t="s">
        <v>242</v>
      </c>
      <c r="D4" s="76" t="s">
        <v>174</v>
      </c>
      <c r="E4" s="76"/>
      <c r="F4" s="77"/>
      <c r="G4" s="77"/>
      <c r="H4" s="181"/>
    </row>
    <row r="5" spans="1:11" ht="14.25" customHeight="1" x14ac:dyDescent="0.3">
      <c r="A5" s="181"/>
      <c r="B5" s="238"/>
      <c r="C5" s="78" t="s">
        <v>243</v>
      </c>
      <c r="D5" s="78" t="str">
        <f>'Tech Stack'!B52</f>
        <v>C9400-SUP-1XL</v>
      </c>
      <c r="E5" s="78">
        <v>2</v>
      </c>
      <c r="F5" s="78">
        <v>350</v>
      </c>
      <c r="G5" s="79">
        <f>ABS(F5)*3.41</f>
        <v>1193.5</v>
      </c>
      <c r="H5" s="181"/>
    </row>
    <row r="6" spans="1:11" ht="14.25" customHeight="1" x14ac:dyDescent="0.3">
      <c r="A6" s="181"/>
      <c r="B6" s="238"/>
      <c r="C6" s="78" t="s">
        <v>243</v>
      </c>
      <c r="D6" s="78" t="str">
        <f>'Tech Stack'!B52</f>
        <v>C9400-SUP-1XL</v>
      </c>
      <c r="E6" s="78">
        <v>2</v>
      </c>
      <c r="F6" s="78">
        <v>350</v>
      </c>
      <c r="G6" s="79">
        <f>ABS(F6)*3.41</f>
        <v>1193.5</v>
      </c>
      <c r="H6" s="181"/>
    </row>
    <row r="7" spans="1:11" ht="14.25" customHeight="1" x14ac:dyDescent="0.3">
      <c r="A7" s="181"/>
      <c r="B7" s="238"/>
      <c r="C7" s="78" t="s">
        <v>244</v>
      </c>
      <c r="D7" s="78" t="str">
        <f>'Tech Stack'!B56</f>
        <v>C9400-LC-12QC (12x40GE)</v>
      </c>
      <c r="E7" s="78">
        <v>12</v>
      </c>
      <c r="F7" s="78">
        <v>280</v>
      </c>
      <c r="G7" s="79">
        <f t="shared" ref="G7" si="0">ABS(F7)*3.41</f>
        <v>954.80000000000007</v>
      </c>
      <c r="H7" s="181"/>
    </row>
    <row r="8" spans="1:11" ht="14.25" customHeight="1" x14ac:dyDescent="0.3">
      <c r="A8" s="181"/>
      <c r="B8" s="238"/>
      <c r="C8" s="78" t="s">
        <v>245</v>
      </c>
      <c r="D8" s="78" t="str">
        <f>'Tech Stack'!B53</f>
        <v>C9400-LC-48P</v>
      </c>
      <c r="E8" s="78">
        <v>48</v>
      </c>
      <c r="F8" s="78">
        <f>(65)</f>
        <v>65</v>
      </c>
      <c r="G8" s="79">
        <f>(ABS(F8)*3.41)</f>
        <v>221.65</v>
      </c>
      <c r="H8" s="181"/>
    </row>
    <row r="9" spans="1:11" ht="14.25" customHeight="1" x14ac:dyDescent="0.3">
      <c r="A9" s="181"/>
      <c r="B9" s="238"/>
      <c r="C9" s="78" t="s">
        <v>245</v>
      </c>
      <c r="D9" s="78" t="str">
        <f>'Tech Stack'!B53</f>
        <v>C9400-LC-48P</v>
      </c>
      <c r="E9" s="78">
        <v>48</v>
      </c>
      <c r="F9" s="78">
        <f>(65)</f>
        <v>65</v>
      </c>
      <c r="G9" s="79">
        <f t="shared" ref="G9:G12" si="1">(ABS(F9)*3.41)</f>
        <v>221.65</v>
      </c>
      <c r="H9" s="181"/>
    </row>
    <row r="10" spans="1:11" ht="14.25" customHeight="1" x14ac:dyDescent="0.3">
      <c r="A10" s="181"/>
      <c r="B10" s="238"/>
      <c r="C10" s="78" t="s">
        <v>245</v>
      </c>
      <c r="D10" s="78" t="str">
        <f>'Tech Stack'!B53</f>
        <v>C9400-LC-48P</v>
      </c>
      <c r="E10" s="78">
        <v>48</v>
      </c>
      <c r="F10" s="78">
        <f>(65)</f>
        <v>65</v>
      </c>
      <c r="G10" s="79">
        <f t="shared" si="1"/>
        <v>221.65</v>
      </c>
      <c r="H10" s="181"/>
    </row>
    <row r="11" spans="1:11" ht="14.25" customHeight="1" x14ac:dyDescent="0.3">
      <c r="A11" s="181"/>
      <c r="B11" s="238"/>
      <c r="C11" s="78" t="s">
        <v>245</v>
      </c>
      <c r="D11" s="78" t="str">
        <f>'Tech Stack'!B53</f>
        <v>C9400-LC-48P</v>
      </c>
      <c r="E11" s="78">
        <v>48</v>
      </c>
      <c r="F11" s="78">
        <f>(65)</f>
        <v>65</v>
      </c>
      <c r="G11" s="79">
        <f t="shared" si="1"/>
        <v>221.65</v>
      </c>
      <c r="H11" s="181"/>
    </row>
    <row r="12" spans="1:11" ht="14.25" customHeight="1" x14ac:dyDescent="0.3">
      <c r="A12" s="181"/>
      <c r="B12" s="238"/>
      <c r="C12" s="78" t="s">
        <v>245</v>
      </c>
      <c r="D12" s="78" t="str">
        <f>'Tech Stack'!B53</f>
        <v>C9400-LC-48P</v>
      </c>
      <c r="E12" s="78">
        <v>48</v>
      </c>
      <c r="F12" s="78">
        <f>(65)</f>
        <v>65</v>
      </c>
      <c r="G12" s="79">
        <f t="shared" si="1"/>
        <v>221.65</v>
      </c>
      <c r="H12" s="181"/>
    </row>
    <row r="13" spans="1:11" ht="14.25" customHeight="1" x14ac:dyDescent="0.3">
      <c r="A13" s="181"/>
      <c r="B13" s="238"/>
      <c r="C13" s="78" t="s">
        <v>246</v>
      </c>
      <c r="D13" s="78" t="str">
        <f>'Tech Stack'!B53</f>
        <v>C9400-LC-48P</v>
      </c>
      <c r="E13" s="78">
        <v>48</v>
      </c>
      <c r="F13" s="78">
        <f>(20*30*1.3+65)</f>
        <v>845</v>
      </c>
      <c r="G13" s="79">
        <v>250</v>
      </c>
      <c r="H13" s="181"/>
    </row>
    <row r="14" spans="1:11" ht="14.25" customHeight="1" x14ac:dyDescent="0.3">
      <c r="A14" s="181"/>
      <c r="B14" s="238"/>
      <c r="C14" s="78" t="s">
        <v>247</v>
      </c>
      <c r="D14" s="78" t="str">
        <f>'Tech Stack'!B57</f>
        <v>C9400-LC-48UX</v>
      </c>
      <c r="E14" s="78">
        <v>48</v>
      </c>
      <c r="F14" s="78">
        <f>(20*60*1.3+70)</f>
        <v>1630</v>
      </c>
      <c r="G14" s="79">
        <v>250</v>
      </c>
      <c r="H14" s="181"/>
      <c r="J14" t="s">
        <v>281</v>
      </c>
      <c r="K14">
        <f>SUM(F5:F14,F23)</f>
        <v>4380</v>
      </c>
    </row>
    <row r="15" spans="1:11" ht="14.25" customHeight="1" x14ac:dyDescent="0.3">
      <c r="A15" s="181"/>
      <c r="B15" s="238"/>
      <c r="C15" s="80" t="s">
        <v>248</v>
      </c>
      <c r="D15" s="81" t="s">
        <v>249</v>
      </c>
      <c r="E15" s="80"/>
      <c r="F15" s="82">
        <v>3200</v>
      </c>
      <c r="G15" s="82">
        <v>950</v>
      </c>
      <c r="H15" s="181"/>
      <c r="J15" t="s">
        <v>282</v>
      </c>
      <c r="K15">
        <f>SUM(F15:F22)</f>
        <v>9600</v>
      </c>
    </row>
    <row r="16" spans="1:11" ht="14.25" customHeight="1" x14ac:dyDescent="0.3">
      <c r="A16" s="181"/>
      <c r="B16" s="238"/>
      <c r="C16" s="80" t="s">
        <v>248</v>
      </c>
      <c r="D16" s="83" t="s">
        <v>249</v>
      </c>
      <c r="E16" s="80"/>
      <c r="F16" s="84">
        <v>3200</v>
      </c>
      <c r="G16" s="82">
        <v>950</v>
      </c>
      <c r="H16" s="181"/>
    </row>
    <row r="17" spans="1:8" ht="14.25" customHeight="1" x14ac:dyDescent="0.3">
      <c r="A17" s="181"/>
      <c r="B17" s="238"/>
      <c r="C17" s="80" t="s">
        <v>248</v>
      </c>
      <c r="D17" s="83" t="s">
        <v>249</v>
      </c>
      <c r="E17" s="80"/>
      <c r="F17" s="84">
        <v>3200</v>
      </c>
      <c r="G17" s="82">
        <v>950</v>
      </c>
      <c r="H17" s="181"/>
    </row>
    <row r="18" spans="1:8" ht="14.25" customHeight="1" x14ac:dyDescent="0.3">
      <c r="A18" s="181"/>
      <c r="B18" s="238"/>
      <c r="C18" s="80" t="s">
        <v>248</v>
      </c>
      <c r="D18" s="83"/>
      <c r="E18" s="85"/>
      <c r="F18" s="84"/>
      <c r="G18" s="84">
        <f t="shared" ref="G18:G23" si="2">ABS(F18)*3.41</f>
        <v>0</v>
      </c>
      <c r="H18" s="181"/>
    </row>
    <row r="19" spans="1:8" ht="14.25" customHeight="1" x14ac:dyDescent="0.3">
      <c r="A19" s="181"/>
      <c r="B19" s="238"/>
      <c r="C19" s="80" t="s">
        <v>248</v>
      </c>
      <c r="D19" s="83"/>
      <c r="E19" s="85"/>
      <c r="F19" s="84"/>
      <c r="G19" s="84">
        <f t="shared" si="2"/>
        <v>0</v>
      </c>
      <c r="H19" s="181"/>
    </row>
    <row r="20" spans="1:8" ht="14.25" customHeight="1" x14ac:dyDescent="0.3">
      <c r="A20" s="181"/>
      <c r="B20" s="238"/>
      <c r="C20" s="80" t="s">
        <v>248</v>
      </c>
      <c r="D20" s="83"/>
      <c r="E20" s="85"/>
      <c r="F20" s="84"/>
      <c r="G20" s="84">
        <f t="shared" si="2"/>
        <v>0</v>
      </c>
      <c r="H20" s="181"/>
    </row>
    <row r="21" spans="1:8" ht="14.25" customHeight="1" x14ac:dyDescent="0.3">
      <c r="A21" s="181"/>
      <c r="B21" s="238"/>
      <c r="C21" s="80" t="s">
        <v>248</v>
      </c>
      <c r="D21" s="83"/>
      <c r="E21" s="85"/>
      <c r="F21" s="84"/>
      <c r="G21" s="84">
        <f t="shared" si="2"/>
        <v>0</v>
      </c>
      <c r="H21" s="181"/>
    </row>
    <row r="22" spans="1:8" ht="14.25" customHeight="1" x14ac:dyDescent="0.3">
      <c r="A22" s="181"/>
      <c r="B22" s="238"/>
      <c r="C22" s="86" t="s">
        <v>248</v>
      </c>
      <c r="D22" s="87"/>
      <c r="E22" s="88"/>
      <c r="F22" s="89"/>
      <c r="G22" s="89">
        <f t="shared" si="2"/>
        <v>0</v>
      </c>
      <c r="H22" s="181"/>
    </row>
    <row r="23" spans="1:8" ht="14.25" customHeight="1" x14ac:dyDescent="0.3">
      <c r="A23" s="181"/>
      <c r="B23" s="239"/>
      <c r="C23" s="90" t="s">
        <v>250</v>
      </c>
      <c r="D23" s="91" t="s">
        <v>251</v>
      </c>
      <c r="E23" s="91"/>
      <c r="F23" s="91">
        <v>600</v>
      </c>
      <c r="G23" s="92">
        <f t="shared" si="2"/>
        <v>2046</v>
      </c>
      <c r="H23" s="181"/>
    </row>
    <row r="24" spans="1:8" ht="14.25" customHeight="1" x14ac:dyDescent="0.3">
      <c r="A24" s="181"/>
      <c r="B24" s="93">
        <v>2</v>
      </c>
      <c r="C24" s="94" t="s">
        <v>252</v>
      </c>
      <c r="D24" s="95" t="s">
        <v>253</v>
      </c>
      <c r="E24" s="94">
        <v>48</v>
      </c>
      <c r="F24" s="94"/>
      <c r="G24" s="96"/>
      <c r="H24" s="181"/>
    </row>
    <row r="25" spans="1:8" ht="14.25" customHeight="1" x14ac:dyDescent="0.3">
      <c r="A25" s="181"/>
      <c r="B25" s="97">
        <v>2</v>
      </c>
      <c r="C25" s="98" t="s">
        <v>252</v>
      </c>
      <c r="D25" s="99" t="s">
        <v>253</v>
      </c>
      <c r="E25" s="98">
        <v>48</v>
      </c>
      <c r="F25" s="100"/>
      <c r="G25" s="101"/>
      <c r="H25" s="181"/>
    </row>
    <row r="26" spans="1:8" ht="14.25" customHeight="1" x14ac:dyDescent="0.3">
      <c r="A26" s="181"/>
      <c r="B26" s="97">
        <v>2</v>
      </c>
      <c r="C26" s="98" t="s">
        <v>252</v>
      </c>
      <c r="D26" s="99" t="s">
        <v>253</v>
      </c>
      <c r="E26" s="98">
        <v>48</v>
      </c>
      <c r="F26" s="100"/>
      <c r="G26" s="101"/>
      <c r="H26" s="181"/>
    </row>
    <row r="27" spans="1:8" ht="14.25" customHeight="1" x14ac:dyDescent="0.3">
      <c r="A27" s="181"/>
      <c r="B27" s="97">
        <v>2</v>
      </c>
      <c r="C27" s="98" t="s">
        <v>252</v>
      </c>
      <c r="D27" s="99" t="s">
        <v>253</v>
      </c>
      <c r="E27" s="98">
        <v>48</v>
      </c>
      <c r="F27" s="100"/>
      <c r="G27" s="101"/>
      <c r="H27" s="181"/>
    </row>
    <row r="28" spans="1:8" ht="14.25" customHeight="1" x14ac:dyDescent="0.3">
      <c r="A28" s="181"/>
      <c r="B28" s="97">
        <v>2</v>
      </c>
      <c r="C28" s="74" t="s">
        <v>252</v>
      </c>
      <c r="D28" s="73" t="s">
        <v>253</v>
      </c>
      <c r="E28" s="74">
        <v>48</v>
      </c>
      <c r="F28" s="102"/>
      <c r="G28" s="103"/>
      <c r="H28" s="181"/>
    </row>
    <row r="29" spans="1:8" ht="14.25" customHeight="1" x14ac:dyDescent="0.3">
      <c r="A29" s="181"/>
      <c r="B29" s="97">
        <v>2</v>
      </c>
      <c r="C29" s="100" t="s">
        <v>252</v>
      </c>
      <c r="D29" s="104" t="s">
        <v>253</v>
      </c>
      <c r="E29" s="100">
        <v>48</v>
      </c>
      <c r="F29" s="100"/>
      <c r="G29" s="101"/>
      <c r="H29" s="181"/>
    </row>
    <row r="30" spans="1:8" ht="14.25" customHeight="1" x14ac:dyDescent="0.3">
      <c r="A30" s="181"/>
      <c r="B30" s="105">
        <v>2</v>
      </c>
      <c r="C30" s="106" t="s">
        <v>252</v>
      </c>
      <c r="D30" s="107" t="s">
        <v>253</v>
      </c>
      <c r="E30" s="106">
        <v>48</v>
      </c>
      <c r="F30" s="106"/>
      <c r="G30" s="108"/>
      <c r="H30" s="181"/>
    </row>
    <row r="31" spans="1:8" ht="14.25" customHeight="1" x14ac:dyDescent="0.3">
      <c r="A31" s="181"/>
      <c r="B31" s="240">
        <v>2</v>
      </c>
      <c r="C31" s="241" t="s">
        <v>254</v>
      </c>
      <c r="D31" s="242"/>
      <c r="E31" s="242"/>
      <c r="F31" s="242"/>
      <c r="G31" s="243"/>
      <c r="H31" s="181"/>
    </row>
    <row r="32" spans="1:8" ht="14.25" customHeight="1" x14ac:dyDescent="0.3">
      <c r="A32" s="181"/>
      <c r="B32" s="228"/>
      <c r="C32" s="193"/>
      <c r="D32" s="231"/>
      <c r="E32" s="231"/>
      <c r="F32" s="231"/>
      <c r="G32" s="232"/>
      <c r="H32" s="181"/>
    </row>
    <row r="33" spans="1:8" ht="14.25" customHeight="1" x14ac:dyDescent="0.3">
      <c r="A33" s="181"/>
      <c r="B33" s="244">
        <v>1</v>
      </c>
      <c r="C33" s="109" t="s">
        <v>255</v>
      </c>
      <c r="D33" s="110" t="str">
        <f>'Tech Stack'!B59</f>
        <v>Cisco Secure Firewall 4245</v>
      </c>
      <c r="E33" s="109"/>
      <c r="F33" s="109">
        <v>1380</v>
      </c>
      <c r="G33" s="111">
        <v>3000</v>
      </c>
      <c r="H33" s="181"/>
    </row>
    <row r="34" spans="1:8" ht="14.25" customHeight="1" x14ac:dyDescent="0.3">
      <c r="A34" s="181"/>
      <c r="B34" s="238"/>
      <c r="C34" s="112" t="s">
        <v>256</v>
      </c>
      <c r="D34" s="113" t="s">
        <v>257</v>
      </c>
      <c r="E34" s="114"/>
      <c r="F34" s="112">
        <v>45</v>
      </c>
      <c r="G34" s="115">
        <f t="shared" ref="G34:G36" si="3">ABS(F34)*3.41</f>
        <v>153.45000000000002</v>
      </c>
      <c r="H34" s="181"/>
    </row>
    <row r="35" spans="1:8" ht="14.25" customHeight="1" x14ac:dyDescent="0.3">
      <c r="A35" s="181"/>
      <c r="B35" s="238"/>
      <c r="C35" s="112" t="s">
        <v>256</v>
      </c>
      <c r="D35" s="113" t="s">
        <v>257</v>
      </c>
      <c r="E35" s="114"/>
      <c r="F35" s="112">
        <v>45</v>
      </c>
      <c r="G35" s="115">
        <f t="shared" si="3"/>
        <v>153.45000000000002</v>
      </c>
      <c r="H35" s="181"/>
    </row>
    <row r="36" spans="1:8" ht="14.25" customHeight="1" x14ac:dyDescent="0.3">
      <c r="A36" s="181"/>
      <c r="B36" s="245"/>
      <c r="C36" s="91" t="s">
        <v>256</v>
      </c>
      <c r="D36" s="116" t="s">
        <v>257</v>
      </c>
      <c r="E36" s="91"/>
      <c r="F36" s="91">
        <v>45</v>
      </c>
      <c r="G36" s="92">
        <f t="shared" si="3"/>
        <v>153.45000000000002</v>
      </c>
      <c r="H36" s="181"/>
    </row>
    <row r="37" spans="1:8" ht="14.25" customHeight="1" x14ac:dyDescent="0.3">
      <c r="A37" s="181"/>
      <c r="B37" s="227">
        <v>2</v>
      </c>
      <c r="C37" s="229" t="s">
        <v>254</v>
      </c>
      <c r="D37" s="190"/>
      <c r="E37" s="190"/>
      <c r="F37" s="190"/>
      <c r="G37" s="230"/>
      <c r="H37" s="181"/>
    </row>
    <row r="38" spans="1:8" ht="14.25" customHeight="1" x14ac:dyDescent="0.3">
      <c r="A38" s="181"/>
      <c r="B38" s="228"/>
      <c r="C38" s="193"/>
      <c r="D38" s="231"/>
      <c r="E38" s="231"/>
      <c r="F38" s="231"/>
      <c r="G38" s="232"/>
      <c r="H38" s="181"/>
    </row>
    <row r="39" spans="1:8" ht="14.25" customHeight="1" x14ac:dyDescent="0.3">
      <c r="A39" s="181"/>
      <c r="B39" s="117">
        <v>6</v>
      </c>
      <c r="C39" s="118" t="s">
        <v>258</v>
      </c>
      <c r="D39" s="119" t="s">
        <v>259</v>
      </c>
      <c r="E39" s="118"/>
      <c r="F39" s="118">
        <v>10000</v>
      </c>
      <c r="G39" s="120">
        <v>2450</v>
      </c>
      <c r="H39" s="181"/>
    </row>
    <row r="40" spans="1:8" ht="14.25" customHeight="1" x14ac:dyDescent="0.3">
      <c r="A40" s="181"/>
      <c r="B40" s="117">
        <v>6</v>
      </c>
      <c r="C40" s="118" t="s">
        <v>258</v>
      </c>
      <c r="D40" s="141" t="s">
        <v>259</v>
      </c>
      <c r="E40" s="118"/>
      <c r="F40" s="118">
        <v>10000</v>
      </c>
      <c r="G40" s="120">
        <v>2450</v>
      </c>
      <c r="H40" s="181"/>
    </row>
    <row r="41" spans="1:8" ht="14.25" customHeight="1" x14ac:dyDescent="0.3">
      <c r="A41" s="121" t="s">
        <v>260</v>
      </c>
      <c r="B41" s="122">
        <f>SUM(B4:B40)</f>
        <v>44</v>
      </c>
      <c r="C41" s="123"/>
      <c r="D41" s="123"/>
      <c r="E41" s="123"/>
      <c r="F41" s="123"/>
      <c r="G41" s="123">
        <f>SUM(G4:G40)</f>
        <v>18206.400000000001</v>
      </c>
      <c r="H41" s="124"/>
    </row>
    <row r="42" spans="1:8" ht="14.25" customHeight="1" x14ac:dyDescent="0.3">
      <c r="B42" s="26"/>
      <c r="C42" s="26"/>
      <c r="D42" s="26"/>
      <c r="E42" s="125" t="s">
        <v>261</v>
      </c>
      <c r="F42" s="125">
        <f>SUM(F33:F36,F15:F22)</f>
        <v>11115</v>
      </c>
      <c r="G42" s="26"/>
    </row>
    <row r="43" spans="1:8" ht="14.25" customHeight="1" x14ac:dyDescent="0.3">
      <c r="B43" s="26"/>
      <c r="C43" s="26"/>
      <c r="D43" s="26"/>
      <c r="E43" s="126" t="s">
        <v>262</v>
      </c>
      <c r="F43" s="126">
        <f>SUM(F39:F40)</f>
        <v>20000</v>
      </c>
      <c r="G43" s="26"/>
    </row>
    <row r="44" spans="1:8" ht="14.25" customHeight="1" x14ac:dyDescent="0.3">
      <c r="B44" s="26"/>
      <c r="E44" s="22"/>
      <c r="G44" s="22"/>
    </row>
    <row r="45" spans="1:8" ht="14.25" customHeight="1" x14ac:dyDescent="0.3">
      <c r="D45" s="22" t="s">
        <v>263</v>
      </c>
      <c r="E45" s="22" t="s">
        <v>264</v>
      </c>
    </row>
    <row r="46" spans="1:8" ht="17.25" customHeight="1" thickBot="1" x14ac:dyDescent="0.35">
      <c r="B46" s="127" t="s">
        <v>265</v>
      </c>
      <c r="C46" s="142" t="s">
        <v>284</v>
      </c>
      <c r="D46" s="128">
        <v>5700</v>
      </c>
      <c r="E46" s="129">
        <v>19000</v>
      </c>
    </row>
    <row r="47" spans="1:8" ht="14.25" customHeight="1" thickBot="1" x14ac:dyDescent="0.35">
      <c r="B47" s="130" t="s">
        <v>266</v>
      </c>
      <c r="C47" s="142" t="s">
        <v>284</v>
      </c>
      <c r="D47" s="128">
        <v>5700</v>
      </c>
      <c r="E47" s="131">
        <v>19000</v>
      </c>
    </row>
    <row r="48" spans="1:8" ht="14.25" customHeight="1" x14ac:dyDescent="0.3">
      <c r="C48" s="132" t="s">
        <v>260</v>
      </c>
      <c r="D48" s="132">
        <f t="shared" ref="D48:E48" si="4">SUM(D46:D47)</f>
        <v>11400</v>
      </c>
      <c r="E48" s="132">
        <f t="shared" si="4"/>
        <v>38000</v>
      </c>
    </row>
    <row r="49" spans="1:7" ht="14.25" customHeight="1" x14ac:dyDescent="0.3">
      <c r="B49" s="26"/>
      <c r="E49" s="13"/>
      <c r="F49" s="13"/>
      <c r="G49" s="13"/>
    </row>
    <row r="50" spans="1:7" ht="14.25" customHeight="1" x14ac:dyDescent="0.3">
      <c r="B50" s="133" t="s">
        <v>267</v>
      </c>
      <c r="C50" s="134">
        <f>SUM('Tech Stack'!B40:E40)</f>
        <v>280</v>
      </c>
      <c r="E50" s="135"/>
      <c r="F50" s="13"/>
      <c r="G50" s="13"/>
    </row>
    <row r="51" spans="1:7" ht="14.25" customHeight="1" x14ac:dyDescent="0.3">
      <c r="B51" s="136" t="s">
        <v>268</v>
      </c>
      <c r="C51" s="134">
        <f>COUNTIF(C2:C41,"UTP Patch Panel")*48</f>
        <v>336</v>
      </c>
      <c r="E51" s="13"/>
      <c r="F51" s="13"/>
      <c r="G51" s="13"/>
    </row>
    <row r="52" spans="1:7" ht="14.25" customHeight="1" x14ac:dyDescent="0.3">
      <c r="B52" s="26"/>
    </row>
    <row r="53" spans="1:7" ht="14.25" customHeight="1" x14ac:dyDescent="0.3">
      <c r="B53" s="26"/>
    </row>
    <row r="54" spans="1:7" ht="14.25" customHeight="1" x14ac:dyDescent="0.3">
      <c r="A54" s="137" t="s">
        <v>269</v>
      </c>
      <c r="B54" s="138"/>
      <c r="C54" s="137"/>
      <c r="D54" s="137"/>
      <c r="E54" s="137"/>
      <c r="F54" s="137"/>
      <c r="G54" s="137"/>
    </row>
    <row r="55" spans="1:7" ht="14.25" customHeight="1" x14ac:dyDescent="0.3">
      <c r="A55" s="187" t="s">
        <v>270</v>
      </c>
      <c r="B55" s="188"/>
      <c r="C55" s="188"/>
      <c r="D55" s="188"/>
      <c r="E55" s="188"/>
      <c r="F55" s="188"/>
      <c r="G55" s="188"/>
    </row>
    <row r="56" spans="1:7" ht="14.25" customHeight="1" x14ac:dyDescent="0.3">
      <c r="A56" s="246" t="s">
        <v>271</v>
      </c>
      <c r="B56" s="188"/>
      <c r="C56" s="188"/>
      <c r="D56" s="188"/>
      <c r="E56" s="188"/>
      <c r="F56" s="188"/>
      <c r="G56" s="188"/>
    </row>
    <row r="57" spans="1:7" ht="14.25" customHeight="1" x14ac:dyDescent="0.3">
      <c r="A57" s="246" t="s">
        <v>272</v>
      </c>
      <c r="B57" s="188"/>
      <c r="C57" s="188"/>
      <c r="D57" s="188"/>
      <c r="E57" s="188"/>
      <c r="F57" s="188"/>
      <c r="G57" s="188"/>
    </row>
    <row r="58" spans="1:7" ht="14.25" customHeight="1" x14ac:dyDescent="0.3">
      <c r="A58" s="246" t="s">
        <v>273</v>
      </c>
      <c r="B58" s="188"/>
      <c r="C58" s="188"/>
      <c r="D58" s="188"/>
      <c r="E58" s="188"/>
      <c r="F58" s="188"/>
      <c r="G58" s="188"/>
    </row>
    <row r="59" spans="1:7" ht="14.25" customHeight="1" x14ac:dyDescent="0.3">
      <c r="A59" s="246" t="s">
        <v>274</v>
      </c>
      <c r="B59" s="188"/>
      <c r="C59" s="188"/>
      <c r="D59" s="188"/>
      <c r="E59" s="188"/>
      <c r="F59" s="188"/>
      <c r="G59" s="188"/>
    </row>
    <row r="60" spans="1:7" ht="14.25" customHeight="1" x14ac:dyDescent="0.3">
      <c r="A60" s="246" t="s">
        <v>275</v>
      </c>
      <c r="B60" s="188"/>
      <c r="C60" s="188"/>
      <c r="D60" s="188"/>
      <c r="E60" s="188"/>
      <c r="F60" s="188"/>
      <c r="G60" s="188"/>
    </row>
    <row r="61" spans="1:7" ht="14.25" customHeight="1" x14ac:dyDescent="0.3">
      <c r="A61" s="246" t="s">
        <v>276</v>
      </c>
      <c r="B61" s="188"/>
      <c r="C61" s="188"/>
      <c r="D61" s="188"/>
      <c r="E61" s="188"/>
      <c r="F61" s="188"/>
      <c r="G61" s="188"/>
    </row>
    <row r="62" spans="1:7" ht="14.25" customHeight="1" x14ac:dyDescent="0.3">
      <c r="A62" s="246" t="s">
        <v>277</v>
      </c>
      <c r="B62" s="188"/>
      <c r="C62" s="188"/>
      <c r="D62" s="188"/>
      <c r="E62" s="188"/>
      <c r="F62" s="188"/>
      <c r="G62" s="188"/>
    </row>
    <row r="63" spans="1:7" ht="14.25" customHeight="1" x14ac:dyDescent="0.3">
      <c r="A63" s="246" t="s">
        <v>278</v>
      </c>
      <c r="B63" s="188"/>
      <c r="C63" s="188"/>
      <c r="D63" s="188"/>
      <c r="E63" s="188"/>
      <c r="F63" s="188"/>
      <c r="G63" s="188"/>
    </row>
    <row r="64" spans="1:7" ht="14.25" customHeight="1" x14ac:dyDescent="0.3">
      <c r="A64" s="246" t="s">
        <v>279</v>
      </c>
      <c r="B64" s="188"/>
      <c r="C64" s="188"/>
      <c r="D64" s="188"/>
      <c r="E64" s="188"/>
      <c r="F64" s="188"/>
      <c r="G64" s="188"/>
    </row>
    <row r="65" spans="1:9" ht="14.25" customHeight="1" x14ac:dyDescent="0.3">
      <c r="A65" s="246" t="s">
        <v>280</v>
      </c>
      <c r="B65" s="188"/>
      <c r="C65" s="188"/>
      <c r="D65" s="188"/>
      <c r="E65" s="188"/>
      <c r="F65" s="188"/>
      <c r="G65" s="188"/>
    </row>
    <row r="66" spans="1:9" ht="14.25" customHeight="1" x14ac:dyDescent="0.3">
      <c r="A66" s="247"/>
      <c r="B66" s="188"/>
      <c r="C66" s="188"/>
      <c r="D66" s="188"/>
      <c r="E66" s="188"/>
      <c r="F66" s="188"/>
      <c r="G66" s="188"/>
    </row>
    <row r="67" spans="1:9" ht="14.25" customHeight="1" x14ac:dyDescent="0.3">
      <c r="B67" s="26"/>
    </row>
    <row r="68" spans="1:9" ht="14.25" customHeight="1" x14ac:dyDescent="0.3">
      <c r="B68" s="26"/>
    </row>
    <row r="69" spans="1:9" ht="14.25" customHeight="1" x14ac:dyDescent="0.3">
      <c r="B69" s="26"/>
    </row>
    <row r="70" spans="1:9" ht="14.25" customHeight="1" x14ac:dyDescent="0.3">
      <c r="B70" s="26"/>
    </row>
    <row r="71" spans="1:9" ht="14.25" customHeight="1" x14ac:dyDescent="0.3">
      <c r="B71" s="26"/>
    </row>
    <row r="72" spans="1:9" ht="14.25" customHeight="1" x14ac:dyDescent="0.3">
      <c r="B72" s="26"/>
    </row>
    <row r="73" spans="1:9" ht="14.25" customHeight="1" x14ac:dyDescent="0.3">
      <c r="B73" s="26"/>
    </row>
    <row r="74" spans="1:9" ht="14.25" customHeight="1" x14ac:dyDescent="0.3">
      <c r="B74" s="26"/>
    </row>
    <row r="75" spans="1:9" ht="14.25" customHeight="1" x14ac:dyDescent="0.3">
      <c r="B75" s="26"/>
    </row>
    <row r="76" spans="1:9" ht="14.25" customHeight="1" x14ac:dyDescent="0.3">
      <c r="B76" s="26"/>
    </row>
    <row r="77" spans="1:9" ht="14.25" customHeight="1" x14ac:dyDescent="0.3">
      <c r="B77" s="26"/>
    </row>
    <row r="78" spans="1:9" ht="14.25" customHeight="1" x14ac:dyDescent="0.3">
      <c r="B78" s="26"/>
      <c r="C78" s="137"/>
      <c r="D78" s="137"/>
      <c r="E78" s="137"/>
      <c r="F78" s="137"/>
      <c r="G78" s="137"/>
      <c r="H78" s="137"/>
      <c r="I78" s="137"/>
    </row>
    <row r="79" spans="1:9" ht="14.25" customHeight="1" x14ac:dyDescent="0.3">
      <c r="B79" s="26"/>
    </row>
    <row r="80" spans="1:9" ht="14.25" customHeight="1" x14ac:dyDescent="0.3">
      <c r="B80" s="26"/>
    </row>
    <row r="81" spans="2:2" ht="14.25" customHeight="1" x14ac:dyDescent="0.3">
      <c r="B81" s="26"/>
    </row>
    <row r="82" spans="2:2" ht="14.25" customHeight="1" x14ac:dyDescent="0.3">
      <c r="B82" s="26"/>
    </row>
    <row r="83" spans="2:2" ht="14.25" customHeight="1" x14ac:dyDescent="0.3">
      <c r="B83" s="26"/>
    </row>
    <row r="84" spans="2:2" ht="14.25" customHeight="1" x14ac:dyDescent="0.3">
      <c r="B84" s="26"/>
    </row>
    <row r="85" spans="2:2" ht="14.25" customHeight="1" x14ac:dyDescent="0.3">
      <c r="B85" s="26"/>
    </row>
    <row r="86" spans="2:2" ht="14.25" customHeight="1" x14ac:dyDescent="0.3">
      <c r="B86" s="26"/>
    </row>
    <row r="87" spans="2:2" ht="14.25" customHeight="1" x14ac:dyDescent="0.3">
      <c r="B87" s="26"/>
    </row>
    <row r="88" spans="2:2" ht="14.25" customHeight="1" x14ac:dyDescent="0.3">
      <c r="B88" s="26"/>
    </row>
    <row r="89" spans="2:2" ht="14.25" customHeight="1" x14ac:dyDescent="0.3">
      <c r="B89" s="26"/>
    </row>
    <row r="90" spans="2:2" ht="14.25" customHeight="1" x14ac:dyDescent="0.3">
      <c r="B90" s="26"/>
    </row>
    <row r="91" spans="2:2" ht="14.25" customHeight="1" x14ac:dyDescent="0.3">
      <c r="B91" s="26"/>
    </row>
    <row r="92" spans="2:2" ht="14.25" customHeight="1" x14ac:dyDescent="0.3">
      <c r="B92" s="26"/>
    </row>
    <row r="93" spans="2:2" ht="14.25" customHeight="1" x14ac:dyDescent="0.3">
      <c r="B93" s="26"/>
    </row>
    <row r="94" spans="2:2" ht="14.25" customHeight="1" x14ac:dyDescent="0.3">
      <c r="B94" s="26"/>
    </row>
    <row r="95" spans="2:2" ht="14.25" customHeight="1" x14ac:dyDescent="0.3">
      <c r="B95" s="26"/>
    </row>
    <row r="96" spans="2:2" ht="14.25" customHeight="1" x14ac:dyDescent="0.3">
      <c r="B96" s="26"/>
    </row>
    <row r="97" spans="2:2" ht="14.25" customHeight="1" x14ac:dyDescent="0.3">
      <c r="B97" s="26"/>
    </row>
    <row r="98" spans="2:2" ht="14.25" customHeight="1" x14ac:dyDescent="0.3">
      <c r="B98" s="26"/>
    </row>
    <row r="99" spans="2:2" ht="14.25" customHeight="1" x14ac:dyDescent="0.3">
      <c r="B99" s="26"/>
    </row>
    <row r="100" spans="2:2" ht="14.25" customHeight="1" x14ac:dyDescent="0.3">
      <c r="B100" s="26"/>
    </row>
    <row r="101" spans="2:2" ht="14.25" customHeight="1" x14ac:dyDescent="0.3">
      <c r="B101" s="26"/>
    </row>
    <row r="102" spans="2:2" ht="14.25" customHeight="1" x14ac:dyDescent="0.3">
      <c r="B102" s="26"/>
    </row>
    <row r="103" spans="2:2" ht="14.25" customHeight="1" x14ac:dyDescent="0.3">
      <c r="B103" s="26"/>
    </row>
    <row r="104" spans="2:2" ht="14.25" customHeight="1" x14ac:dyDescent="0.3">
      <c r="B104" s="26"/>
    </row>
    <row r="105" spans="2:2" ht="14.25" customHeight="1" x14ac:dyDescent="0.3">
      <c r="B105" s="26"/>
    </row>
    <row r="106" spans="2:2" ht="14.25" customHeight="1" x14ac:dyDescent="0.3">
      <c r="B106" s="26"/>
    </row>
    <row r="107" spans="2:2" ht="14.25" customHeight="1" x14ac:dyDescent="0.3">
      <c r="B107" s="26"/>
    </row>
    <row r="108" spans="2:2" ht="14.25" customHeight="1" x14ac:dyDescent="0.3">
      <c r="B108" s="26"/>
    </row>
    <row r="109" spans="2:2" ht="14.25" customHeight="1" x14ac:dyDescent="0.3">
      <c r="B109" s="26"/>
    </row>
    <row r="110" spans="2:2" ht="14.25" customHeight="1" x14ac:dyDescent="0.3">
      <c r="B110" s="26"/>
    </row>
    <row r="111" spans="2:2" ht="14.25" customHeight="1" x14ac:dyDescent="0.3">
      <c r="B111" s="26"/>
    </row>
    <row r="112" spans="2:2" ht="14.25" customHeight="1" x14ac:dyDescent="0.3">
      <c r="B112" s="26"/>
    </row>
    <row r="113" spans="2:2" ht="14.25" customHeight="1" x14ac:dyDescent="0.3">
      <c r="B113" s="26"/>
    </row>
    <row r="114" spans="2:2" ht="14.25" customHeight="1" x14ac:dyDescent="0.3">
      <c r="B114" s="26"/>
    </row>
    <row r="115" spans="2:2" ht="14.25" customHeight="1" x14ac:dyDescent="0.3">
      <c r="B115" s="26"/>
    </row>
    <row r="116" spans="2:2" ht="14.25" customHeight="1" x14ac:dyDescent="0.3">
      <c r="B116" s="26"/>
    </row>
    <row r="117" spans="2:2" ht="14.25" customHeight="1" x14ac:dyDescent="0.3">
      <c r="B117" s="26"/>
    </row>
    <row r="118" spans="2:2" ht="14.25" customHeight="1" x14ac:dyDescent="0.3">
      <c r="B118" s="26"/>
    </row>
    <row r="119" spans="2:2" ht="14.25" customHeight="1" x14ac:dyDescent="0.3">
      <c r="B119" s="26"/>
    </row>
    <row r="120" spans="2:2" ht="14.25" customHeight="1" x14ac:dyDescent="0.3">
      <c r="B120" s="26"/>
    </row>
    <row r="121" spans="2:2" ht="14.25" customHeight="1" x14ac:dyDescent="0.3">
      <c r="B121" s="26"/>
    </row>
    <row r="122" spans="2:2" ht="14.25" customHeight="1" x14ac:dyDescent="0.3">
      <c r="B122" s="26"/>
    </row>
    <row r="123" spans="2:2" ht="14.25" customHeight="1" x14ac:dyDescent="0.3">
      <c r="B123" s="26"/>
    </row>
    <row r="124" spans="2:2" ht="14.25" customHeight="1" x14ac:dyDescent="0.3">
      <c r="B124" s="26"/>
    </row>
    <row r="125" spans="2:2" ht="14.25" customHeight="1" x14ac:dyDescent="0.3">
      <c r="B125" s="26"/>
    </row>
    <row r="126" spans="2:2" ht="14.25" customHeight="1" x14ac:dyDescent="0.3">
      <c r="B126" s="26"/>
    </row>
    <row r="127" spans="2:2" ht="14.25" customHeight="1" x14ac:dyDescent="0.3">
      <c r="B127" s="26"/>
    </row>
    <row r="128" spans="2:2" ht="14.25" customHeight="1" x14ac:dyDescent="0.3">
      <c r="B128" s="26"/>
    </row>
    <row r="129" spans="2:2" ht="14.25" customHeight="1" x14ac:dyDescent="0.3">
      <c r="B129" s="26"/>
    </row>
    <row r="130" spans="2:2" ht="14.25" customHeight="1" x14ac:dyDescent="0.3">
      <c r="B130" s="26"/>
    </row>
    <row r="131" spans="2:2" ht="14.25" customHeight="1" x14ac:dyDescent="0.3">
      <c r="B131" s="26"/>
    </row>
    <row r="132" spans="2:2" ht="14.25" customHeight="1" x14ac:dyDescent="0.3">
      <c r="B132" s="26"/>
    </row>
    <row r="133" spans="2:2" ht="14.25" customHeight="1" x14ac:dyDescent="0.3">
      <c r="B133" s="26"/>
    </row>
    <row r="134" spans="2:2" ht="14.25" customHeight="1" x14ac:dyDescent="0.3">
      <c r="B134" s="26"/>
    </row>
    <row r="135" spans="2:2" ht="14.25" customHeight="1" x14ac:dyDescent="0.3">
      <c r="B135" s="26"/>
    </row>
    <row r="136" spans="2:2" ht="14.25" customHeight="1" x14ac:dyDescent="0.3">
      <c r="B136" s="26"/>
    </row>
    <row r="137" spans="2:2" ht="14.25" customHeight="1" x14ac:dyDescent="0.3">
      <c r="B137" s="26"/>
    </row>
    <row r="138" spans="2:2" ht="14.25" customHeight="1" x14ac:dyDescent="0.3">
      <c r="B138" s="26"/>
    </row>
    <row r="139" spans="2:2" ht="14.25" customHeight="1" x14ac:dyDescent="0.3">
      <c r="B139" s="26"/>
    </row>
    <row r="140" spans="2:2" ht="14.25" customHeight="1" x14ac:dyDescent="0.3">
      <c r="B140" s="26"/>
    </row>
    <row r="141" spans="2:2" ht="14.25" customHeight="1" x14ac:dyDescent="0.3">
      <c r="B141" s="26"/>
    </row>
    <row r="142" spans="2:2" ht="14.25" customHeight="1" x14ac:dyDescent="0.3">
      <c r="B142" s="26"/>
    </row>
    <row r="143" spans="2:2" ht="14.25" customHeight="1" x14ac:dyDescent="0.3">
      <c r="B143" s="26"/>
    </row>
    <row r="144" spans="2:2" ht="14.25" customHeight="1" x14ac:dyDescent="0.3">
      <c r="B144" s="26"/>
    </row>
    <row r="145" spans="2:2" ht="14.25" customHeight="1" x14ac:dyDescent="0.3">
      <c r="B145" s="26"/>
    </row>
    <row r="146" spans="2:2" ht="14.25" customHeight="1" x14ac:dyDescent="0.3">
      <c r="B146" s="26"/>
    </row>
    <row r="147" spans="2:2" ht="14.25" customHeight="1" x14ac:dyDescent="0.3">
      <c r="B147" s="26"/>
    </row>
    <row r="148" spans="2:2" ht="14.25" customHeight="1" x14ac:dyDescent="0.3">
      <c r="B148" s="26"/>
    </row>
    <row r="149" spans="2:2" ht="14.25" customHeight="1" x14ac:dyDescent="0.3">
      <c r="B149" s="26"/>
    </row>
    <row r="150" spans="2:2" ht="14.25" customHeight="1" x14ac:dyDescent="0.3">
      <c r="B150" s="26"/>
    </row>
    <row r="151" spans="2:2" ht="14.25" customHeight="1" x14ac:dyDescent="0.3">
      <c r="B151" s="26"/>
    </row>
    <row r="152" spans="2:2" ht="14.25" customHeight="1" x14ac:dyDescent="0.3">
      <c r="B152" s="26"/>
    </row>
    <row r="153" spans="2:2" ht="14.25" customHeight="1" x14ac:dyDescent="0.3">
      <c r="B153" s="26"/>
    </row>
    <row r="154" spans="2:2" ht="14.25" customHeight="1" x14ac:dyDescent="0.3">
      <c r="B154" s="26"/>
    </row>
    <row r="155" spans="2:2" ht="14.25" customHeight="1" x14ac:dyDescent="0.3">
      <c r="B155" s="26"/>
    </row>
    <row r="156" spans="2:2" ht="14.25" customHeight="1" x14ac:dyDescent="0.3">
      <c r="B156" s="26"/>
    </row>
    <row r="157" spans="2:2" ht="14.25" customHeight="1" x14ac:dyDescent="0.3">
      <c r="B157" s="26"/>
    </row>
    <row r="158" spans="2:2" ht="14.25" customHeight="1" x14ac:dyDescent="0.3">
      <c r="B158" s="26"/>
    </row>
    <row r="159" spans="2:2" ht="14.25" customHeight="1" x14ac:dyDescent="0.3">
      <c r="B159" s="26"/>
    </row>
    <row r="160" spans="2:2" ht="14.25" customHeight="1" x14ac:dyDescent="0.3">
      <c r="B160" s="26"/>
    </row>
    <row r="161" spans="2:2" ht="14.25" customHeight="1" x14ac:dyDescent="0.3">
      <c r="B161" s="26"/>
    </row>
    <row r="162" spans="2:2" ht="14.25" customHeight="1" x14ac:dyDescent="0.3">
      <c r="B162" s="26"/>
    </row>
    <row r="163" spans="2:2" ht="14.25" customHeight="1" x14ac:dyDescent="0.3">
      <c r="B163" s="26"/>
    </row>
    <row r="164" spans="2:2" ht="14.25" customHeight="1" x14ac:dyDescent="0.3">
      <c r="B164" s="26"/>
    </row>
    <row r="165" spans="2:2" ht="14.25" customHeight="1" x14ac:dyDescent="0.3">
      <c r="B165" s="26"/>
    </row>
    <row r="166" spans="2:2" ht="14.25" customHeight="1" x14ac:dyDescent="0.3">
      <c r="B166" s="26"/>
    </row>
    <row r="167" spans="2:2" ht="14.25" customHeight="1" x14ac:dyDescent="0.3">
      <c r="B167" s="26"/>
    </row>
    <row r="168" spans="2:2" ht="14.25" customHeight="1" x14ac:dyDescent="0.3">
      <c r="B168" s="26"/>
    </row>
    <row r="169" spans="2:2" ht="14.25" customHeight="1" x14ac:dyDescent="0.3">
      <c r="B169" s="26"/>
    </row>
    <row r="170" spans="2:2" ht="14.25" customHeight="1" x14ac:dyDescent="0.3">
      <c r="B170" s="26"/>
    </row>
    <row r="171" spans="2:2" ht="14.25" customHeight="1" x14ac:dyDescent="0.3">
      <c r="B171" s="26"/>
    </row>
    <row r="172" spans="2:2" ht="14.25" customHeight="1" x14ac:dyDescent="0.3">
      <c r="B172" s="26"/>
    </row>
    <row r="173" spans="2:2" ht="14.25" customHeight="1" x14ac:dyDescent="0.3">
      <c r="B173" s="26"/>
    </row>
    <row r="174" spans="2:2" ht="14.25" customHeight="1" x14ac:dyDescent="0.3">
      <c r="B174" s="26"/>
    </row>
    <row r="175" spans="2:2" ht="14.25" customHeight="1" x14ac:dyDescent="0.3">
      <c r="B175" s="26"/>
    </row>
    <row r="176" spans="2:2" ht="14.25" customHeight="1" x14ac:dyDescent="0.3">
      <c r="B176" s="26"/>
    </row>
    <row r="177" spans="2:2" ht="14.25" customHeight="1" x14ac:dyDescent="0.3">
      <c r="B177" s="26"/>
    </row>
    <row r="178" spans="2:2" ht="14.25" customHeight="1" x14ac:dyDescent="0.3">
      <c r="B178" s="26"/>
    </row>
    <row r="179" spans="2:2" ht="14.25" customHeight="1" x14ac:dyDescent="0.3">
      <c r="B179" s="26"/>
    </row>
    <row r="180" spans="2:2" ht="14.25" customHeight="1" x14ac:dyDescent="0.3">
      <c r="B180" s="26"/>
    </row>
    <row r="181" spans="2:2" ht="14.25" customHeight="1" x14ac:dyDescent="0.3">
      <c r="B181" s="26"/>
    </row>
    <row r="182" spans="2:2" ht="14.25" customHeight="1" x14ac:dyDescent="0.3">
      <c r="B182" s="26"/>
    </row>
    <row r="183" spans="2:2" ht="14.25" customHeight="1" x14ac:dyDescent="0.3">
      <c r="B183" s="26"/>
    </row>
    <row r="184" spans="2:2" ht="14.25" customHeight="1" x14ac:dyDescent="0.3">
      <c r="B184" s="26"/>
    </row>
    <row r="185" spans="2:2" ht="14.25" customHeight="1" x14ac:dyDescent="0.3">
      <c r="B185" s="26"/>
    </row>
    <row r="186" spans="2:2" ht="14.25" customHeight="1" x14ac:dyDescent="0.3">
      <c r="B186" s="26"/>
    </row>
    <row r="187" spans="2:2" ht="14.25" customHeight="1" x14ac:dyDescent="0.3">
      <c r="B187" s="26"/>
    </row>
    <row r="188" spans="2:2" ht="14.25" customHeight="1" x14ac:dyDescent="0.3">
      <c r="B188" s="26"/>
    </row>
    <row r="189" spans="2:2" ht="14.25" customHeight="1" x14ac:dyDescent="0.3">
      <c r="B189" s="26"/>
    </row>
    <row r="190" spans="2:2" ht="14.25" customHeight="1" x14ac:dyDescent="0.3">
      <c r="B190" s="26"/>
    </row>
    <row r="191" spans="2:2" ht="14.25" customHeight="1" x14ac:dyDescent="0.3">
      <c r="B191" s="26"/>
    </row>
    <row r="192" spans="2:2" ht="14.25" customHeight="1" x14ac:dyDescent="0.3">
      <c r="B192" s="26"/>
    </row>
    <row r="193" spans="2:2" ht="14.25" customHeight="1" x14ac:dyDescent="0.3">
      <c r="B193" s="26"/>
    </row>
    <row r="194" spans="2:2" ht="14.25" customHeight="1" x14ac:dyDescent="0.3">
      <c r="B194" s="26"/>
    </row>
    <row r="195" spans="2:2" ht="14.25" customHeight="1" x14ac:dyDescent="0.3">
      <c r="B195" s="26"/>
    </row>
    <row r="196" spans="2:2" ht="14.25" customHeight="1" x14ac:dyDescent="0.3">
      <c r="B196" s="26"/>
    </row>
    <row r="197" spans="2:2" ht="14.25" customHeight="1" x14ac:dyDescent="0.3">
      <c r="B197" s="26"/>
    </row>
    <row r="198" spans="2:2" ht="14.25" customHeight="1" x14ac:dyDescent="0.3">
      <c r="B198" s="26"/>
    </row>
    <row r="199" spans="2:2" ht="14.25" customHeight="1" x14ac:dyDescent="0.3">
      <c r="B199" s="26"/>
    </row>
    <row r="200" spans="2:2" ht="14.25" customHeight="1" x14ac:dyDescent="0.3">
      <c r="B200" s="26"/>
    </row>
    <row r="201" spans="2:2" ht="14.25" customHeight="1" x14ac:dyDescent="0.3">
      <c r="B201" s="26"/>
    </row>
    <row r="202" spans="2:2" ht="14.25" customHeight="1" x14ac:dyDescent="0.3">
      <c r="B202" s="26"/>
    </row>
    <row r="203" spans="2:2" ht="14.25" customHeight="1" x14ac:dyDescent="0.3">
      <c r="B203" s="26"/>
    </row>
    <row r="204" spans="2:2" ht="14.25" customHeight="1" x14ac:dyDescent="0.3">
      <c r="B204" s="26"/>
    </row>
    <row r="205" spans="2:2" ht="14.25" customHeight="1" x14ac:dyDescent="0.3">
      <c r="B205" s="26"/>
    </row>
    <row r="206" spans="2:2" ht="14.25" customHeight="1" x14ac:dyDescent="0.3">
      <c r="B206" s="26"/>
    </row>
    <row r="207" spans="2:2" ht="14.25" customHeight="1" x14ac:dyDescent="0.3">
      <c r="B207" s="26"/>
    </row>
    <row r="208" spans="2:2" ht="14.25" customHeight="1" x14ac:dyDescent="0.3">
      <c r="B208" s="26"/>
    </row>
    <row r="209" spans="2:2" ht="14.25" customHeight="1" x14ac:dyDescent="0.3">
      <c r="B209" s="26"/>
    </row>
    <row r="210" spans="2:2" ht="14.25" customHeight="1" x14ac:dyDescent="0.3">
      <c r="B210" s="26"/>
    </row>
    <row r="211" spans="2:2" ht="14.25" customHeight="1" x14ac:dyDescent="0.3">
      <c r="B211" s="26"/>
    </row>
    <row r="212" spans="2:2" ht="14.25" customHeight="1" x14ac:dyDescent="0.3">
      <c r="B212" s="26"/>
    </row>
    <row r="213" spans="2:2" ht="14.25" customHeight="1" x14ac:dyDescent="0.3">
      <c r="B213" s="26"/>
    </row>
    <row r="214" spans="2:2" ht="14.25" customHeight="1" x14ac:dyDescent="0.3">
      <c r="B214" s="26"/>
    </row>
    <row r="215" spans="2:2" ht="14.25" customHeight="1" x14ac:dyDescent="0.3">
      <c r="B215" s="26"/>
    </row>
    <row r="216" spans="2:2" ht="14.25" customHeight="1" x14ac:dyDescent="0.3">
      <c r="B216" s="26"/>
    </row>
    <row r="217" spans="2:2" ht="14.25" customHeight="1" x14ac:dyDescent="0.3">
      <c r="B217" s="26"/>
    </row>
    <row r="218" spans="2:2" ht="14.25" customHeight="1" x14ac:dyDescent="0.3">
      <c r="B218" s="26"/>
    </row>
    <row r="219" spans="2:2" ht="14.25" customHeight="1" x14ac:dyDescent="0.3">
      <c r="B219" s="26"/>
    </row>
    <row r="220" spans="2:2" ht="14.25" customHeight="1" x14ac:dyDescent="0.3">
      <c r="B220" s="26"/>
    </row>
    <row r="221" spans="2:2" ht="14.25" customHeight="1" x14ac:dyDescent="0.3">
      <c r="B221" s="26"/>
    </row>
    <row r="222" spans="2:2" ht="14.25" customHeight="1" x14ac:dyDescent="0.3">
      <c r="B222" s="26"/>
    </row>
    <row r="223" spans="2:2" ht="14.25" customHeight="1" x14ac:dyDescent="0.3">
      <c r="B223" s="26"/>
    </row>
    <row r="224" spans="2:2" ht="14.25" customHeight="1" x14ac:dyDescent="0.3">
      <c r="B224" s="26"/>
    </row>
    <row r="225" spans="2:2" ht="14.25" customHeight="1" x14ac:dyDescent="0.3">
      <c r="B225" s="26"/>
    </row>
    <row r="226" spans="2:2" ht="14.25" customHeight="1" x14ac:dyDescent="0.3">
      <c r="B226" s="26"/>
    </row>
    <row r="227" spans="2:2" ht="14.25" customHeight="1" x14ac:dyDescent="0.3">
      <c r="B227" s="26"/>
    </row>
    <row r="228" spans="2:2" ht="14.25" customHeight="1" x14ac:dyDescent="0.3">
      <c r="B228" s="26"/>
    </row>
    <row r="229" spans="2:2" ht="14.25" customHeight="1" x14ac:dyDescent="0.3">
      <c r="B229" s="26"/>
    </row>
    <row r="230" spans="2:2" ht="14.25" customHeight="1" x14ac:dyDescent="0.3">
      <c r="B230" s="26"/>
    </row>
    <row r="231" spans="2:2" ht="14.25" customHeight="1" x14ac:dyDescent="0.3">
      <c r="B231" s="26"/>
    </row>
    <row r="232" spans="2:2" ht="14.25" customHeight="1" x14ac:dyDescent="0.3">
      <c r="B232" s="26"/>
    </row>
    <row r="233" spans="2:2" ht="14.25" customHeight="1" x14ac:dyDescent="0.3">
      <c r="B233" s="26"/>
    </row>
    <row r="234" spans="2:2" ht="14.25" customHeight="1" x14ac:dyDescent="0.3">
      <c r="B234" s="26"/>
    </row>
    <row r="235" spans="2:2" ht="14.25" customHeight="1" x14ac:dyDescent="0.3">
      <c r="B235" s="26"/>
    </row>
    <row r="236" spans="2:2" ht="14.25" customHeight="1" x14ac:dyDescent="0.3">
      <c r="B236" s="26"/>
    </row>
    <row r="237" spans="2:2" ht="14.25" customHeight="1" x14ac:dyDescent="0.3">
      <c r="B237" s="26"/>
    </row>
    <row r="238" spans="2:2" ht="14.25" customHeight="1" x14ac:dyDescent="0.3">
      <c r="B238" s="26"/>
    </row>
    <row r="239" spans="2:2" ht="14.25" customHeight="1" x14ac:dyDescent="0.3">
      <c r="B239" s="26"/>
    </row>
    <row r="240" spans="2:2" ht="14.25" customHeight="1" x14ac:dyDescent="0.3">
      <c r="B240" s="26"/>
    </row>
    <row r="241" spans="2:2" ht="14.25" customHeight="1" x14ac:dyDescent="0.3">
      <c r="B241" s="26"/>
    </row>
    <row r="242" spans="2:2" ht="14.25" customHeight="1" x14ac:dyDescent="0.3">
      <c r="B242" s="26"/>
    </row>
    <row r="243" spans="2:2" ht="14.25" customHeight="1" x14ac:dyDescent="0.3">
      <c r="B243" s="26"/>
    </row>
    <row r="244" spans="2:2" ht="14.25" customHeight="1" x14ac:dyDescent="0.3">
      <c r="B244" s="26"/>
    </row>
    <row r="245" spans="2:2" ht="14.25" customHeight="1" x14ac:dyDescent="0.3">
      <c r="B245" s="26"/>
    </row>
    <row r="246" spans="2:2" ht="14.25" customHeight="1" x14ac:dyDescent="0.3">
      <c r="B246" s="26"/>
    </row>
    <row r="247" spans="2:2" ht="14.25" customHeight="1" x14ac:dyDescent="0.3">
      <c r="B247" s="26"/>
    </row>
    <row r="248" spans="2:2" ht="14.25" customHeight="1" x14ac:dyDescent="0.3">
      <c r="B248" s="26"/>
    </row>
    <row r="249" spans="2:2" ht="14.25" customHeight="1" x14ac:dyDescent="0.3">
      <c r="B249" s="26"/>
    </row>
    <row r="250" spans="2:2" ht="14.25" customHeight="1" x14ac:dyDescent="0.3">
      <c r="B250" s="26"/>
    </row>
    <row r="251" spans="2:2" ht="14.25" customHeight="1" x14ac:dyDescent="0.3">
      <c r="B251" s="26"/>
    </row>
    <row r="252" spans="2:2" ht="14.25" customHeight="1" x14ac:dyDescent="0.3">
      <c r="B252" s="26"/>
    </row>
    <row r="253" spans="2:2" ht="14.25" customHeight="1" x14ac:dyDescent="0.3">
      <c r="B253" s="26"/>
    </row>
    <row r="254" spans="2:2" ht="14.25" customHeight="1" x14ac:dyDescent="0.3">
      <c r="B254" s="26"/>
    </row>
    <row r="255" spans="2:2" ht="14.25" customHeight="1" x14ac:dyDescent="0.3">
      <c r="B255" s="26"/>
    </row>
    <row r="256" spans="2:2" ht="14.25" customHeight="1" x14ac:dyDescent="0.3">
      <c r="B256" s="26"/>
    </row>
    <row r="257" spans="2:2" ht="14.25" customHeight="1" x14ac:dyDescent="0.3">
      <c r="B257" s="26"/>
    </row>
    <row r="258" spans="2:2" ht="14.25" customHeight="1" x14ac:dyDescent="0.3">
      <c r="B258" s="26"/>
    </row>
    <row r="259" spans="2:2" ht="14.25" customHeight="1" x14ac:dyDescent="0.3">
      <c r="B259" s="26"/>
    </row>
    <row r="260" spans="2:2" ht="14.25" customHeight="1" x14ac:dyDescent="0.3">
      <c r="B260" s="26"/>
    </row>
    <row r="261" spans="2:2" ht="14.25" customHeight="1" x14ac:dyDescent="0.3">
      <c r="B261" s="26"/>
    </row>
    <row r="262" spans="2:2" ht="14.25" customHeight="1" x14ac:dyDescent="0.3">
      <c r="B262" s="26"/>
    </row>
    <row r="263" spans="2:2" ht="14.25" customHeight="1" x14ac:dyDescent="0.3">
      <c r="B263" s="26"/>
    </row>
    <row r="264" spans="2:2" ht="14.25" customHeight="1" x14ac:dyDescent="0.3">
      <c r="B264" s="26"/>
    </row>
    <row r="265" spans="2:2" ht="14.25" customHeight="1" x14ac:dyDescent="0.3">
      <c r="B265" s="26"/>
    </row>
    <row r="266" spans="2:2" ht="15.75" customHeight="1" x14ac:dyDescent="0.3">
      <c r="B266" s="26"/>
    </row>
    <row r="267" spans="2:2" ht="15.75" customHeight="1" x14ac:dyDescent="0.3">
      <c r="B267" s="26"/>
    </row>
    <row r="268" spans="2:2" ht="15.75" customHeight="1" x14ac:dyDescent="0.3">
      <c r="B268" s="26"/>
    </row>
    <row r="269" spans="2:2" ht="15.75" customHeight="1" x14ac:dyDescent="0.3">
      <c r="B269" s="26"/>
    </row>
    <row r="270" spans="2:2" ht="15.75" customHeight="1" x14ac:dyDescent="0.3">
      <c r="B270" s="26"/>
    </row>
    <row r="271" spans="2:2" ht="15.75" customHeight="1" x14ac:dyDescent="0.3">
      <c r="B271" s="26"/>
    </row>
    <row r="272" spans="2:2" ht="15.75" customHeight="1" x14ac:dyDescent="0.3">
      <c r="B272" s="26"/>
    </row>
    <row r="273" spans="2:2" ht="15.75" customHeight="1" x14ac:dyDescent="0.3">
      <c r="B273" s="26"/>
    </row>
    <row r="274" spans="2:2" ht="15.75" customHeight="1" x14ac:dyDescent="0.3">
      <c r="B274" s="26"/>
    </row>
    <row r="275" spans="2:2" ht="15.75" customHeight="1" x14ac:dyDescent="0.3">
      <c r="B275" s="26"/>
    </row>
    <row r="276" spans="2:2" ht="15.75" customHeight="1" x14ac:dyDescent="0.3">
      <c r="B276" s="26"/>
    </row>
    <row r="277" spans="2:2" ht="15.75" customHeight="1" x14ac:dyDescent="0.3">
      <c r="B277" s="26"/>
    </row>
    <row r="278" spans="2:2" ht="15.75" customHeight="1" x14ac:dyDescent="0.3">
      <c r="B278" s="26"/>
    </row>
    <row r="279" spans="2:2" ht="15.75" customHeight="1" x14ac:dyDescent="0.3">
      <c r="B279" s="26"/>
    </row>
    <row r="280" spans="2:2" ht="15.75" customHeight="1" x14ac:dyDescent="0.3">
      <c r="B280" s="26"/>
    </row>
    <row r="281" spans="2:2" ht="15.75" customHeight="1" x14ac:dyDescent="0.3">
      <c r="B281" s="26"/>
    </row>
    <row r="282" spans="2:2" ht="15.75" customHeight="1" x14ac:dyDescent="0.3">
      <c r="B282" s="26"/>
    </row>
    <row r="283" spans="2:2" ht="15.75" customHeight="1" x14ac:dyDescent="0.3">
      <c r="B283" s="26"/>
    </row>
    <row r="284" spans="2:2" ht="15.75" customHeight="1" x14ac:dyDescent="0.3">
      <c r="B284" s="26"/>
    </row>
    <row r="285" spans="2:2" ht="15.75" customHeight="1" x14ac:dyDescent="0.3">
      <c r="B285" s="26"/>
    </row>
    <row r="286" spans="2:2" ht="15.75" customHeight="1" x14ac:dyDescent="0.3">
      <c r="B286" s="26"/>
    </row>
    <row r="287" spans="2:2" ht="15.75" customHeight="1" x14ac:dyDescent="0.3">
      <c r="B287" s="26"/>
    </row>
    <row r="288" spans="2:2" ht="15.75" customHeight="1" x14ac:dyDescent="0.3">
      <c r="B288" s="26"/>
    </row>
    <row r="289" spans="2:2" ht="15.75" customHeight="1" x14ac:dyDescent="0.3">
      <c r="B289" s="26"/>
    </row>
    <row r="290" spans="2:2" ht="15.75" customHeight="1" x14ac:dyDescent="0.3">
      <c r="B290" s="26"/>
    </row>
    <row r="291" spans="2:2" ht="15.75" customHeight="1" x14ac:dyDescent="0.3">
      <c r="B291" s="26"/>
    </row>
    <row r="292" spans="2:2" ht="15.75" customHeight="1" x14ac:dyDescent="0.3">
      <c r="B292" s="26"/>
    </row>
    <row r="293" spans="2:2" ht="15.75" customHeight="1" x14ac:dyDescent="0.3">
      <c r="B293" s="26"/>
    </row>
    <row r="294" spans="2:2" ht="15.75" customHeight="1" x14ac:dyDescent="0.3">
      <c r="B294" s="26"/>
    </row>
    <row r="295" spans="2:2" ht="15.75" customHeight="1" x14ac:dyDescent="0.3">
      <c r="B295" s="26"/>
    </row>
    <row r="296" spans="2:2" ht="15.75" customHeight="1" x14ac:dyDescent="0.3">
      <c r="B296" s="26"/>
    </row>
    <row r="297" spans="2:2" ht="15.75" customHeight="1" x14ac:dyDescent="0.3">
      <c r="B297" s="26"/>
    </row>
    <row r="298" spans="2:2" ht="15.75" customHeight="1" x14ac:dyDescent="0.3">
      <c r="B298" s="26"/>
    </row>
    <row r="299" spans="2:2" ht="15.75" customHeight="1" x14ac:dyDescent="0.3">
      <c r="B299" s="26"/>
    </row>
    <row r="300" spans="2:2" ht="15.75" customHeight="1" x14ac:dyDescent="0.3">
      <c r="B300" s="26"/>
    </row>
    <row r="301" spans="2:2" ht="15.75" customHeight="1" x14ac:dyDescent="0.3">
      <c r="B301" s="26"/>
    </row>
    <row r="302" spans="2:2" ht="15.75" customHeight="1" x14ac:dyDescent="0.3">
      <c r="B302" s="26"/>
    </row>
    <row r="303" spans="2:2" ht="15.75" customHeight="1" x14ac:dyDescent="0.3">
      <c r="B303" s="26"/>
    </row>
    <row r="304" spans="2:2" ht="15.75" customHeight="1" x14ac:dyDescent="0.3">
      <c r="B304" s="26"/>
    </row>
    <row r="305" spans="2:2" ht="15.75" customHeight="1" x14ac:dyDescent="0.3">
      <c r="B305" s="26"/>
    </row>
    <row r="306" spans="2:2" ht="15.75" customHeight="1" x14ac:dyDescent="0.3">
      <c r="B306" s="26"/>
    </row>
    <row r="307" spans="2:2" ht="15.75" customHeight="1" x14ac:dyDescent="0.3">
      <c r="B307" s="26"/>
    </row>
    <row r="308" spans="2:2" ht="15.75" customHeight="1" x14ac:dyDescent="0.3">
      <c r="B308" s="26"/>
    </row>
    <row r="309" spans="2:2" ht="15.75" customHeight="1" x14ac:dyDescent="0.3">
      <c r="B309" s="26"/>
    </row>
    <row r="310" spans="2:2" ht="15.75" customHeight="1" x14ac:dyDescent="0.3">
      <c r="B310" s="26"/>
    </row>
    <row r="311" spans="2:2" ht="15.75" customHeight="1" x14ac:dyDescent="0.3">
      <c r="B311" s="26"/>
    </row>
    <row r="312" spans="2:2" ht="15.75" customHeight="1" x14ac:dyDescent="0.3">
      <c r="B312" s="26"/>
    </row>
    <row r="313" spans="2:2" ht="15.75" customHeight="1" x14ac:dyDescent="0.3">
      <c r="B313" s="26"/>
    </row>
    <row r="314" spans="2:2" ht="15.75" customHeight="1" x14ac:dyDescent="0.3">
      <c r="B314" s="26"/>
    </row>
    <row r="315" spans="2:2" ht="15.75" customHeight="1" x14ac:dyDescent="0.3">
      <c r="B315" s="26"/>
    </row>
    <row r="316" spans="2:2" ht="15.75" customHeight="1" x14ac:dyDescent="0.3">
      <c r="B316" s="26"/>
    </row>
    <row r="317" spans="2:2" ht="15.75" customHeight="1" x14ac:dyDescent="0.3">
      <c r="B317" s="26"/>
    </row>
    <row r="318" spans="2:2" ht="15.75" customHeight="1" x14ac:dyDescent="0.3">
      <c r="B318" s="26"/>
    </row>
    <row r="319" spans="2:2" ht="15.75" customHeight="1" x14ac:dyDescent="0.3">
      <c r="B319" s="26"/>
    </row>
    <row r="320" spans="2:2" ht="15.75" customHeight="1" x14ac:dyDescent="0.3">
      <c r="B320" s="26"/>
    </row>
    <row r="321" spans="2:2" ht="15.75" customHeight="1" x14ac:dyDescent="0.3">
      <c r="B321" s="26"/>
    </row>
    <row r="322" spans="2:2" ht="15.75" customHeight="1" x14ac:dyDescent="0.3">
      <c r="B322" s="26"/>
    </row>
    <row r="323" spans="2:2" ht="15.75" customHeight="1" x14ac:dyDescent="0.3">
      <c r="B323" s="26"/>
    </row>
    <row r="324" spans="2:2" ht="15.75" customHeight="1" x14ac:dyDescent="0.3">
      <c r="B324" s="26"/>
    </row>
    <row r="325" spans="2:2" ht="15.75" customHeight="1" x14ac:dyDescent="0.3">
      <c r="B325" s="26"/>
    </row>
    <row r="326" spans="2:2" ht="15.75" customHeight="1" x14ac:dyDescent="0.3">
      <c r="B326" s="26"/>
    </row>
    <row r="327" spans="2:2" ht="15.75" customHeight="1" x14ac:dyDescent="0.3">
      <c r="B327" s="26"/>
    </row>
    <row r="328" spans="2:2" ht="15.75" customHeight="1" x14ac:dyDescent="0.3">
      <c r="B328" s="26"/>
    </row>
    <row r="329" spans="2:2" ht="15.75" customHeight="1" x14ac:dyDescent="0.3">
      <c r="B329" s="26"/>
    </row>
    <row r="330" spans="2:2" ht="15.75" customHeight="1" x14ac:dyDescent="0.3">
      <c r="B330" s="26"/>
    </row>
    <row r="331" spans="2:2" ht="15.75" customHeight="1" x14ac:dyDescent="0.3">
      <c r="B331" s="26"/>
    </row>
    <row r="332" spans="2:2" ht="15.75" customHeight="1" x14ac:dyDescent="0.3">
      <c r="B332" s="26"/>
    </row>
    <row r="333" spans="2:2" ht="15.75" customHeight="1" x14ac:dyDescent="0.3">
      <c r="B333" s="26"/>
    </row>
    <row r="334" spans="2:2" ht="15.75" customHeight="1" x14ac:dyDescent="0.3">
      <c r="B334" s="26"/>
    </row>
    <row r="335" spans="2:2" ht="15.75" customHeight="1" x14ac:dyDescent="0.3">
      <c r="B335" s="26"/>
    </row>
    <row r="336" spans="2:2" ht="15.75" customHeight="1" x14ac:dyDescent="0.3">
      <c r="B336" s="26"/>
    </row>
    <row r="337" spans="2:2" ht="15.75" customHeight="1" x14ac:dyDescent="0.3">
      <c r="B337" s="26"/>
    </row>
    <row r="338" spans="2:2" ht="15.75" customHeight="1" x14ac:dyDescent="0.3">
      <c r="B338" s="26"/>
    </row>
    <row r="339" spans="2:2" ht="15.75" customHeight="1" x14ac:dyDescent="0.3">
      <c r="B339" s="26"/>
    </row>
    <row r="340" spans="2:2" ht="15.75" customHeight="1" x14ac:dyDescent="0.3">
      <c r="B340" s="26"/>
    </row>
    <row r="341" spans="2:2" ht="15.75" customHeight="1" x14ac:dyDescent="0.3">
      <c r="B341" s="26"/>
    </row>
    <row r="342" spans="2:2" ht="15.75" customHeight="1" x14ac:dyDescent="0.3">
      <c r="B342" s="26"/>
    </row>
    <row r="343" spans="2:2" ht="15.75" customHeight="1" x14ac:dyDescent="0.3">
      <c r="B343" s="26"/>
    </row>
    <row r="344" spans="2:2" ht="15.75" customHeight="1" x14ac:dyDescent="0.3">
      <c r="B344" s="26"/>
    </row>
    <row r="345" spans="2:2" ht="15.75" customHeight="1" x14ac:dyDescent="0.3">
      <c r="B345" s="26"/>
    </row>
    <row r="346" spans="2:2" ht="15.75" customHeight="1" x14ac:dyDescent="0.3">
      <c r="B346" s="26"/>
    </row>
    <row r="347" spans="2:2" ht="15.75" customHeight="1" x14ac:dyDescent="0.3">
      <c r="B347" s="26"/>
    </row>
    <row r="348" spans="2:2" ht="15.75" customHeight="1" x14ac:dyDescent="0.3">
      <c r="B348" s="26"/>
    </row>
    <row r="349" spans="2:2" ht="15.75" customHeight="1" x14ac:dyDescent="0.3">
      <c r="B349" s="26"/>
    </row>
    <row r="350" spans="2:2" ht="15.75" customHeight="1" x14ac:dyDescent="0.3">
      <c r="B350" s="26"/>
    </row>
    <row r="351" spans="2:2" ht="15.75" customHeight="1" x14ac:dyDescent="0.3">
      <c r="B351" s="26"/>
    </row>
    <row r="352" spans="2:2" ht="15.75" customHeight="1" x14ac:dyDescent="0.3">
      <c r="B352" s="26"/>
    </row>
    <row r="353" spans="2:2" ht="15.75" customHeight="1" x14ac:dyDescent="0.3">
      <c r="B353" s="26"/>
    </row>
    <row r="354" spans="2:2" ht="15.75" customHeight="1" x14ac:dyDescent="0.3">
      <c r="B354" s="26"/>
    </row>
    <row r="355" spans="2:2" ht="15.75" customHeight="1" x14ac:dyDescent="0.3">
      <c r="B355" s="26"/>
    </row>
    <row r="356" spans="2:2" ht="15.75" customHeight="1" x14ac:dyDescent="0.3">
      <c r="B356" s="26"/>
    </row>
    <row r="357" spans="2:2" ht="15.75" customHeight="1" x14ac:dyDescent="0.3">
      <c r="B357" s="26"/>
    </row>
    <row r="358" spans="2:2" ht="15.75" customHeight="1" x14ac:dyDescent="0.3">
      <c r="B358" s="26"/>
    </row>
    <row r="359" spans="2:2" ht="15.75" customHeight="1" x14ac:dyDescent="0.3">
      <c r="B359" s="26"/>
    </row>
    <row r="360" spans="2:2" ht="15.75" customHeight="1" x14ac:dyDescent="0.3">
      <c r="B360" s="26"/>
    </row>
    <row r="361" spans="2:2" ht="15.75" customHeight="1" x14ac:dyDescent="0.3">
      <c r="B361" s="26"/>
    </row>
    <row r="362" spans="2:2" ht="15.75" customHeight="1" x14ac:dyDescent="0.3">
      <c r="B362" s="26"/>
    </row>
    <row r="363" spans="2:2" ht="15.75" customHeight="1" x14ac:dyDescent="0.3">
      <c r="B363" s="26"/>
    </row>
    <row r="364" spans="2:2" ht="15.75" customHeight="1" x14ac:dyDescent="0.3">
      <c r="B364" s="26"/>
    </row>
    <row r="365" spans="2:2" ht="15.75" customHeight="1" x14ac:dyDescent="0.3">
      <c r="B365" s="26"/>
    </row>
    <row r="366" spans="2:2" ht="15.75" customHeight="1" x14ac:dyDescent="0.3">
      <c r="B366" s="26"/>
    </row>
    <row r="367" spans="2:2" ht="15.75" customHeight="1" x14ac:dyDescent="0.3">
      <c r="B367" s="26"/>
    </row>
    <row r="368" spans="2:2" ht="15.75" customHeight="1" x14ac:dyDescent="0.3">
      <c r="B368" s="26"/>
    </row>
    <row r="369" spans="2:2" ht="15.75" customHeight="1" x14ac:dyDescent="0.3">
      <c r="B369" s="26"/>
    </row>
    <row r="370" spans="2:2" ht="15.75" customHeight="1" x14ac:dyDescent="0.3">
      <c r="B370" s="26"/>
    </row>
    <row r="371" spans="2:2" ht="15.75" customHeight="1" x14ac:dyDescent="0.3">
      <c r="B371" s="26"/>
    </row>
    <row r="372" spans="2:2" ht="15.75" customHeight="1" x14ac:dyDescent="0.3">
      <c r="B372" s="26"/>
    </row>
    <row r="373" spans="2:2" ht="15.75" customHeight="1" x14ac:dyDescent="0.3">
      <c r="B373" s="26"/>
    </row>
    <row r="374" spans="2:2" ht="15.75" customHeight="1" x14ac:dyDescent="0.3">
      <c r="B374" s="26"/>
    </row>
    <row r="375" spans="2:2" ht="15.75" customHeight="1" x14ac:dyDescent="0.3">
      <c r="B375" s="26"/>
    </row>
    <row r="376" spans="2:2" ht="15.75" customHeight="1" x14ac:dyDescent="0.3">
      <c r="B376" s="26"/>
    </row>
    <row r="377" spans="2:2" ht="15.75" customHeight="1" x14ac:dyDescent="0.3">
      <c r="B377" s="26"/>
    </row>
    <row r="378" spans="2:2" ht="15.75" customHeight="1" x14ac:dyDescent="0.3">
      <c r="B378" s="26"/>
    </row>
    <row r="379" spans="2:2" ht="15.75" customHeight="1" x14ac:dyDescent="0.3">
      <c r="B379" s="26"/>
    </row>
    <row r="380" spans="2:2" ht="15.75" customHeight="1" x14ac:dyDescent="0.3">
      <c r="B380" s="26"/>
    </row>
    <row r="381" spans="2:2" ht="15.75" customHeight="1" x14ac:dyDescent="0.3">
      <c r="B381" s="26"/>
    </row>
    <row r="382" spans="2:2" ht="15.75" customHeight="1" x14ac:dyDescent="0.3">
      <c r="B382" s="26"/>
    </row>
    <row r="383" spans="2:2" ht="15.75" customHeight="1" x14ac:dyDescent="0.3">
      <c r="B383" s="26"/>
    </row>
    <row r="384" spans="2:2" ht="15.75" customHeight="1" x14ac:dyDescent="0.3">
      <c r="B384" s="26"/>
    </row>
    <row r="385" spans="2:2" ht="15.75" customHeight="1" x14ac:dyDescent="0.3">
      <c r="B385" s="26"/>
    </row>
    <row r="386" spans="2:2" ht="15.75" customHeight="1" x14ac:dyDescent="0.3">
      <c r="B386" s="26"/>
    </row>
    <row r="387" spans="2:2" ht="15.75" customHeight="1" x14ac:dyDescent="0.3">
      <c r="B387" s="26"/>
    </row>
    <row r="388" spans="2:2" ht="15.75" customHeight="1" x14ac:dyDescent="0.3">
      <c r="B388" s="26"/>
    </row>
    <row r="389" spans="2:2" ht="15.75" customHeight="1" x14ac:dyDescent="0.3">
      <c r="B389" s="26"/>
    </row>
    <row r="390" spans="2:2" ht="15.75" customHeight="1" x14ac:dyDescent="0.3">
      <c r="B390" s="26"/>
    </row>
    <row r="391" spans="2:2" ht="15.75" customHeight="1" x14ac:dyDescent="0.3">
      <c r="B391" s="26"/>
    </row>
    <row r="392" spans="2:2" ht="15.75" customHeight="1" x14ac:dyDescent="0.3">
      <c r="B392" s="26"/>
    </row>
    <row r="393" spans="2:2" ht="15.75" customHeight="1" x14ac:dyDescent="0.3">
      <c r="B393" s="26"/>
    </row>
    <row r="394" spans="2:2" ht="15.75" customHeight="1" x14ac:dyDescent="0.3">
      <c r="B394" s="26"/>
    </row>
    <row r="395" spans="2:2" ht="15.75" customHeight="1" x14ac:dyDescent="0.3">
      <c r="B395" s="26"/>
    </row>
    <row r="396" spans="2:2" ht="15.75" customHeight="1" x14ac:dyDescent="0.3">
      <c r="B396" s="26"/>
    </row>
    <row r="397" spans="2:2" ht="15.75" customHeight="1" x14ac:dyDescent="0.3">
      <c r="B397" s="26"/>
    </row>
    <row r="398" spans="2:2" ht="15.75" customHeight="1" x14ac:dyDescent="0.3">
      <c r="B398" s="26"/>
    </row>
    <row r="399" spans="2:2" ht="15.75" customHeight="1" x14ac:dyDescent="0.3">
      <c r="B399" s="26"/>
    </row>
    <row r="400" spans="2:2" ht="15.75" customHeight="1" x14ac:dyDescent="0.3">
      <c r="B400" s="26"/>
    </row>
    <row r="401" spans="2:2" ht="15.75" customHeight="1" x14ac:dyDescent="0.3">
      <c r="B401" s="26"/>
    </row>
    <row r="402" spans="2:2" ht="15.75" customHeight="1" x14ac:dyDescent="0.3">
      <c r="B402" s="26"/>
    </row>
    <row r="403" spans="2:2" ht="15.75" customHeight="1" x14ac:dyDescent="0.3">
      <c r="B403" s="26"/>
    </row>
    <row r="404" spans="2:2" ht="15.75" customHeight="1" x14ac:dyDescent="0.3">
      <c r="B404" s="26"/>
    </row>
    <row r="405" spans="2:2" ht="15.75" customHeight="1" x14ac:dyDescent="0.3">
      <c r="B405" s="26"/>
    </row>
    <row r="406" spans="2:2" ht="15.75" customHeight="1" x14ac:dyDescent="0.3">
      <c r="B406" s="26"/>
    </row>
    <row r="407" spans="2:2" ht="15.75" customHeight="1" x14ac:dyDescent="0.3">
      <c r="B407" s="26"/>
    </row>
    <row r="408" spans="2:2" ht="15.75" customHeight="1" x14ac:dyDescent="0.3">
      <c r="B408" s="26"/>
    </row>
    <row r="409" spans="2:2" ht="15.75" customHeight="1" x14ac:dyDescent="0.3">
      <c r="B409" s="26"/>
    </row>
    <row r="410" spans="2:2" ht="15.75" customHeight="1" x14ac:dyDescent="0.3">
      <c r="B410" s="26"/>
    </row>
    <row r="411" spans="2:2" ht="15.75" customHeight="1" x14ac:dyDescent="0.3">
      <c r="B411" s="26"/>
    </row>
    <row r="412" spans="2:2" ht="15.75" customHeight="1" x14ac:dyDescent="0.3">
      <c r="B412" s="26"/>
    </row>
    <row r="413" spans="2:2" ht="15.75" customHeight="1" x14ac:dyDescent="0.3">
      <c r="B413" s="26"/>
    </row>
    <row r="414" spans="2:2" ht="15.75" customHeight="1" x14ac:dyDescent="0.3">
      <c r="B414" s="26"/>
    </row>
    <row r="415" spans="2:2" ht="15.75" customHeight="1" x14ac:dyDescent="0.3">
      <c r="B415" s="26"/>
    </row>
    <row r="416" spans="2:2" ht="15.75" customHeight="1" x14ac:dyDescent="0.3">
      <c r="B416" s="26"/>
    </row>
    <row r="417" spans="2:2" ht="15.75" customHeight="1" x14ac:dyDescent="0.3">
      <c r="B417" s="26"/>
    </row>
    <row r="418" spans="2:2" ht="15.75" customHeight="1" x14ac:dyDescent="0.3">
      <c r="B418" s="26"/>
    </row>
    <row r="419" spans="2:2" ht="15.75" customHeight="1" x14ac:dyDescent="0.3">
      <c r="B419" s="26"/>
    </row>
    <row r="420" spans="2:2" ht="15.75" customHeight="1" x14ac:dyDescent="0.3">
      <c r="B420" s="26"/>
    </row>
    <row r="421" spans="2:2" ht="15.75" customHeight="1" x14ac:dyDescent="0.3">
      <c r="B421" s="26"/>
    </row>
    <row r="422" spans="2:2" ht="15.75" customHeight="1" x14ac:dyDescent="0.3">
      <c r="B422" s="26"/>
    </row>
    <row r="423" spans="2:2" ht="15.75" customHeight="1" x14ac:dyDescent="0.3">
      <c r="B423" s="26"/>
    </row>
    <row r="424" spans="2:2" ht="15.75" customHeight="1" x14ac:dyDescent="0.3">
      <c r="B424" s="26"/>
    </row>
    <row r="425" spans="2:2" ht="15.75" customHeight="1" x14ac:dyDescent="0.3">
      <c r="B425" s="26"/>
    </row>
    <row r="426" spans="2:2" ht="15.75" customHeight="1" x14ac:dyDescent="0.3">
      <c r="B426" s="26"/>
    </row>
    <row r="427" spans="2:2" ht="15.75" customHeight="1" x14ac:dyDescent="0.3">
      <c r="B427" s="26"/>
    </row>
    <row r="428" spans="2:2" ht="15.75" customHeight="1" x14ac:dyDescent="0.3">
      <c r="B428" s="26"/>
    </row>
    <row r="429" spans="2:2" ht="15.75" customHeight="1" x14ac:dyDescent="0.3">
      <c r="B429" s="26"/>
    </row>
    <row r="430" spans="2:2" ht="15.75" customHeight="1" x14ac:dyDescent="0.3">
      <c r="B430" s="26"/>
    </row>
    <row r="431" spans="2:2" ht="15.75" customHeight="1" x14ac:dyDescent="0.3">
      <c r="B431" s="26"/>
    </row>
    <row r="432" spans="2:2" ht="15.75" customHeight="1" x14ac:dyDescent="0.3">
      <c r="B432" s="26"/>
    </row>
    <row r="433" spans="2:2" ht="15.75" customHeight="1" x14ac:dyDescent="0.3">
      <c r="B433" s="26"/>
    </row>
    <row r="434" spans="2:2" ht="15.75" customHeight="1" x14ac:dyDescent="0.3">
      <c r="B434" s="26"/>
    </row>
    <row r="435" spans="2:2" ht="15.75" customHeight="1" x14ac:dyDescent="0.3">
      <c r="B435" s="26"/>
    </row>
    <row r="436" spans="2:2" ht="15.75" customHeight="1" x14ac:dyDescent="0.3">
      <c r="B436" s="26"/>
    </row>
    <row r="437" spans="2:2" ht="15.75" customHeight="1" x14ac:dyDescent="0.3">
      <c r="B437" s="26"/>
    </row>
    <row r="438" spans="2:2" ht="15.75" customHeight="1" x14ac:dyDescent="0.3">
      <c r="B438" s="26"/>
    </row>
    <row r="439" spans="2:2" ht="15.75" customHeight="1" x14ac:dyDescent="0.3">
      <c r="B439" s="26"/>
    </row>
    <row r="440" spans="2:2" ht="15.75" customHeight="1" x14ac:dyDescent="0.3">
      <c r="B440" s="26"/>
    </row>
    <row r="441" spans="2:2" ht="15.75" customHeight="1" x14ac:dyDescent="0.3">
      <c r="B441" s="26"/>
    </row>
    <row r="442" spans="2:2" ht="15.75" customHeight="1" x14ac:dyDescent="0.3">
      <c r="B442" s="26"/>
    </row>
    <row r="443" spans="2:2" ht="15.75" customHeight="1" x14ac:dyDescent="0.3">
      <c r="B443" s="26"/>
    </row>
    <row r="444" spans="2:2" ht="15.75" customHeight="1" x14ac:dyDescent="0.3">
      <c r="B444" s="26"/>
    </row>
    <row r="445" spans="2:2" ht="15.75" customHeight="1" x14ac:dyDescent="0.3">
      <c r="B445" s="26"/>
    </row>
    <row r="446" spans="2:2" ht="15.75" customHeight="1" x14ac:dyDescent="0.3">
      <c r="B446" s="26"/>
    </row>
    <row r="447" spans="2:2" ht="15.75" customHeight="1" x14ac:dyDescent="0.3">
      <c r="B447" s="26"/>
    </row>
    <row r="448" spans="2:2" ht="15.75" customHeight="1" x14ac:dyDescent="0.3">
      <c r="B448" s="26"/>
    </row>
    <row r="449" spans="2:2" ht="15.75" customHeight="1" x14ac:dyDescent="0.3">
      <c r="B449" s="26"/>
    </row>
    <row r="450" spans="2:2" ht="15.75" customHeight="1" x14ac:dyDescent="0.3">
      <c r="B450" s="26"/>
    </row>
    <row r="451" spans="2:2" ht="15.75" customHeight="1" x14ac:dyDescent="0.3">
      <c r="B451" s="26"/>
    </row>
    <row r="452" spans="2:2" ht="15.75" customHeight="1" x14ac:dyDescent="0.3">
      <c r="B452" s="26"/>
    </row>
    <row r="453" spans="2:2" ht="15.75" customHeight="1" x14ac:dyDescent="0.3">
      <c r="B453" s="26"/>
    </row>
    <row r="454" spans="2:2" ht="15.75" customHeight="1" x14ac:dyDescent="0.3">
      <c r="B454" s="26"/>
    </row>
    <row r="455" spans="2:2" ht="15.75" customHeight="1" x14ac:dyDescent="0.3">
      <c r="B455" s="26"/>
    </row>
    <row r="456" spans="2:2" ht="15.75" customHeight="1" x14ac:dyDescent="0.3">
      <c r="B456" s="26"/>
    </row>
    <row r="457" spans="2:2" ht="15.75" customHeight="1" x14ac:dyDescent="0.3">
      <c r="B457" s="26"/>
    </row>
    <row r="458" spans="2:2" ht="15.75" customHeight="1" x14ac:dyDescent="0.3">
      <c r="B458" s="26"/>
    </row>
    <row r="459" spans="2:2" ht="15.75" customHeight="1" x14ac:dyDescent="0.3">
      <c r="B459" s="26"/>
    </row>
    <row r="460" spans="2:2" ht="15.75" customHeight="1" x14ac:dyDescent="0.3">
      <c r="B460" s="26"/>
    </row>
    <row r="461" spans="2:2" ht="15.75" customHeight="1" x14ac:dyDescent="0.3">
      <c r="B461" s="26"/>
    </row>
    <row r="462" spans="2:2" ht="15.75" customHeight="1" x14ac:dyDescent="0.3">
      <c r="B462" s="26"/>
    </row>
    <row r="463" spans="2:2" ht="15.75" customHeight="1" x14ac:dyDescent="0.3">
      <c r="B463" s="26"/>
    </row>
    <row r="464" spans="2:2" ht="15.75" customHeight="1" x14ac:dyDescent="0.3">
      <c r="B464" s="26"/>
    </row>
    <row r="465" spans="2:2" ht="15.75" customHeight="1" x14ac:dyDescent="0.3">
      <c r="B465" s="26"/>
    </row>
    <row r="466" spans="2:2" ht="15.75" customHeight="1" x14ac:dyDescent="0.3">
      <c r="B466" s="26"/>
    </row>
    <row r="467" spans="2:2" ht="15.75" customHeight="1" x14ac:dyDescent="0.3">
      <c r="B467" s="26"/>
    </row>
    <row r="468" spans="2:2" ht="15.75" customHeight="1" x14ac:dyDescent="0.3">
      <c r="B468" s="26"/>
    </row>
    <row r="469" spans="2:2" ht="15.75" customHeight="1" x14ac:dyDescent="0.3">
      <c r="B469" s="26"/>
    </row>
    <row r="470" spans="2:2" ht="15.75" customHeight="1" x14ac:dyDescent="0.3">
      <c r="B470" s="26"/>
    </row>
    <row r="471" spans="2:2" ht="15.75" customHeight="1" x14ac:dyDescent="0.3">
      <c r="B471" s="26"/>
    </row>
    <row r="472" spans="2:2" ht="15.75" customHeight="1" x14ac:dyDescent="0.3">
      <c r="B472" s="26"/>
    </row>
    <row r="473" spans="2:2" ht="15.75" customHeight="1" x14ac:dyDescent="0.3">
      <c r="B473" s="26"/>
    </row>
    <row r="474" spans="2:2" ht="15.75" customHeight="1" x14ac:dyDescent="0.3">
      <c r="B474" s="26"/>
    </row>
    <row r="475" spans="2:2" ht="15.75" customHeight="1" x14ac:dyDescent="0.3">
      <c r="B475" s="26"/>
    </row>
    <row r="476" spans="2:2" ht="15.75" customHeight="1" x14ac:dyDescent="0.3">
      <c r="B476" s="26"/>
    </row>
    <row r="477" spans="2:2" ht="15.75" customHeight="1" x14ac:dyDescent="0.3">
      <c r="B477" s="26"/>
    </row>
    <row r="478" spans="2:2" ht="15.75" customHeight="1" x14ac:dyDescent="0.3">
      <c r="B478" s="26"/>
    </row>
    <row r="479" spans="2:2" ht="15.75" customHeight="1" x14ac:dyDescent="0.3">
      <c r="B479" s="26"/>
    </row>
    <row r="480" spans="2:2" ht="15.75" customHeight="1" x14ac:dyDescent="0.3">
      <c r="B480" s="26"/>
    </row>
    <row r="481" spans="2:2" ht="15.75" customHeight="1" x14ac:dyDescent="0.3">
      <c r="B481" s="26"/>
    </row>
    <row r="482" spans="2:2" ht="15.75" customHeight="1" x14ac:dyDescent="0.3">
      <c r="B482" s="26"/>
    </row>
    <row r="483" spans="2:2" ht="15.75" customHeight="1" x14ac:dyDescent="0.3">
      <c r="B483" s="26"/>
    </row>
    <row r="484" spans="2:2" ht="15.75" customHeight="1" x14ac:dyDescent="0.3">
      <c r="B484" s="26"/>
    </row>
    <row r="485" spans="2:2" ht="15.75" customHeight="1" x14ac:dyDescent="0.3">
      <c r="B485" s="26"/>
    </row>
    <row r="486" spans="2:2" ht="15.75" customHeight="1" x14ac:dyDescent="0.3">
      <c r="B486" s="26"/>
    </row>
    <row r="487" spans="2:2" ht="15.75" customHeight="1" x14ac:dyDescent="0.3">
      <c r="B487" s="26"/>
    </row>
    <row r="488" spans="2:2" ht="15.75" customHeight="1" x14ac:dyDescent="0.3">
      <c r="B488" s="26"/>
    </row>
    <row r="489" spans="2:2" ht="15.75" customHeight="1" x14ac:dyDescent="0.3">
      <c r="B489" s="26"/>
    </row>
    <row r="490" spans="2:2" ht="15.75" customHeight="1" x14ac:dyDescent="0.3">
      <c r="B490" s="26"/>
    </row>
    <row r="491" spans="2:2" ht="15.75" customHeight="1" x14ac:dyDescent="0.3">
      <c r="B491" s="26"/>
    </row>
    <row r="492" spans="2:2" ht="15.75" customHeight="1" x14ac:dyDescent="0.3">
      <c r="B492" s="26"/>
    </row>
    <row r="493" spans="2:2" ht="15.75" customHeight="1" x14ac:dyDescent="0.3">
      <c r="B493" s="26"/>
    </row>
    <row r="494" spans="2:2" ht="15.75" customHeight="1" x14ac:dyDescent="0.3">
      <c r="B494" s="26"/>
    </row>
    <row r="495" spans="2:2" ht="15.75" customHeight="1" x14ac:dyDescent="0.3">
      <c r="B495" s="26"/>
    </row>
    <row r="496" spans="2:2" ht="15.75" customHeight="1" x14ac:dyDescent="0.3">
      <c r="B496" s="26"/>
    </row>
    <row r="497" spans="2:2" ht="15.75" customHeight="1" x14ac:dyDescent="0.3">
      <c r="B497" s="26"/>
    </row>
    <row r="498" spans="2:2" ht="15.75" customHeight="1" x14ac:dyDescent="0.3">
      <c r="B498" s="26"/>
    </row>
    <row r="499" spans="2:2" ht="15.75" customHeight="1" x14ac:dyDescent="0.3">
      <c r="B499" s="26"/>
    </row>
    <row r="500" spans="2:2" ht="15.75" customHeight="1" x14ac:dyDescent="0.3">
      <c r="B500" s="26"/>
    </row>
    <row r="501" spans="2:2" ht="15.75" customHeight="1" x14ac:dyDescent="0.3">
      <c r="B501" s="26"/>
    </row>
    <row r="502" spans="2:2" ht="15.75" customHeight="1" x14ac:dyDescent="0.3">
      <c r="B502" s="26"/>
    </row>
    <row r="503" spans="2:2" ht="15.75" customHeight="1" x14ac:dyDescent="0.3">
      <c r="B503" s="26"/>
    </row>
    <row r="504" spans="2:2" ht="15.75" customHeight="1" x14ac:dyDescent="0.3">
      <c r="B504" s="26"/>
    </row>
    <row r="505" spans="2:2" ht="15.75" customHeight="1" x14ac:dyDescent="0.3">
      <c r="B505" s="26"/>
    </row>
    <row r="506" spans="2:2" ht="15.75" customHeight="1" x14ac:dyDescent="0.3">
      <c r="B506" s="26"/>
    </row>
    <row r="507" spans="2:2" ht="15.75" customHeight="1" x14ac:dyDescent="0.3">
      <c r="B507" s="26"/>
    </row>
    <row r="508" spans="2:2" ht="15.75" customHeight="1" x14ac:dyDescent="0.3">
      <c r="B508" s="26"/>
    </row>
    <row r="509" spans="2:2" ht="15.75" customHeight="1" x14ac:dyDescent="0.3">
      <c r="B509" s="26"/>
    </row>
    <row r="510" spans="2:2" ht="15.75" customHeight="1" x14ac:dyDescent="0.3">
      <c r="B510" s="26"/>
    </row>
    <row r="511" spans="2:2" ht="15.75" customHeight="1" x14ac:dyDescent="0.3">
      <c r="B511" s="26"/>
    </row>
    <row r="512" spans="2:2" ht="15.75" customHeight="1" x14ac:dyDescent="0.3">
      <c r="B512" s="26"/>
    </row>
    <row r="513" spans="2:2" ht="15.75" customHeight="1" x14ac:dyDescent="0.3">
      <c r="B513" s="26"/>
    </row>
    <row r="514" spans="2:2" ht="15.75" customHeight="1" x14ac:dyDescent="0.3">
      <c r="B514" s="26"/>
    </row>
    <row r="515" spans="2:2" ht="15.75" customHeight="1" x14ac:dyDescent="0.3">
      <c r="B515" s="26"/>
    </row>
    <row r="516" spans="2:2" ht="15.75" customHeight="1" x14ac:dyDescent="0.3">
      <c r="B516" s="26"/>
    </row>
    <row r="517" spans="2:2" ht="15.75" customHeight="1" x14ac:dyDescent="0.3">
      <c r="B517" s="26"/>
    </row>
    <row r="518" spans="2:2" ht="15.75" customHeight="1" x14ac:dyDescent="0.3">
      <c r="B518" s="26"/>
    </row>
    <row r="519" spans="2:2" ht="15.75" customHeight="1" x14ac:dyDescent="0.3">
      <c r="B519" s="26"/>
    </row>
    <row r="520" spans="2:2" ht="15.75" customHeight="1" x14ac:dyDescent="0.3">
      <c r="B520" s="26"/>
    </row>
    <row r="521" spans="2:2" ht="15.75" customHeight="1" x14ac:dyDescent="0.3">
      <c r="B521" s="26"/>
    </row>
    <row r="522" spans="2:2" ht="15.75" customHeight="1" x14ac:dyDescent="0.3">
      <c r="B522" s="26"/>
    </row>
    <row r="523" spans="2:2" ht="15.75" customHeight="1" x14ac:dyDescent="0.3">
      <c r="B523" s="26"/>
    </row>
    <row r="524" spans="2:2" ht="15.75" customHeight="1" x14ac:dyDescent="0.3">
      <c r="B524" s="26"/>
    </row>
    <row r="525" spans="2:2" ht="15.75" customHeight="1" x14ac:dyDescent="0.3">
      <c r="B525" s="26"/>
    </row>
    <row r="526" spans="2:2" ht="15.75" customHeight="1" x14ac:dyDescent="0.3">
      <c r="B526" s="26"/>
    </row>
    <row r="527" spans="2:2" ht="15.75" customHeight="1" x14ac:dyDescent="0.3">
      <c r="B527" s="26"/>
    </row>
    <row r="528" spans="2:2" ht="15.75" customHeight="1" x14ac:dyDescent="0.3">
      <c r="B528" s="26"/>
    </row>
    <row r="529" spans="2:2" ht="15.75" customHeight="1" x14ac:dyDescent="0.3">
      <c r="B529" s="26"/>
    </row>
    <row r="530" spans="2:2" ht="15.75" customHeight="1" x14ac:dyDescent="0.3">
      <c r="B530" s="26"/>
    </row>
    <row r="531" spans="2:2" ht="15.75" customHeight="1" x14ac:dyDescent="0.3">
      <c r="B531" s="26"/>
    </row>
    <row r="532" spans="2:2" ht="15.75" customHeight="1" x14ac:dyDescent="0.3">
      <c r="B532" s="26"/>
    </row>
    <row r="533" spans="2:2" ht="15.75" customHeight="1" x14ac:dyDescent="0.3">
      <c r="B533" s="26"/>
    </row>
    <row r="534" spans="2:2" ht="15.75" customHeight="1" x14ac:dyDescent="0.3">
      <c r="B534" s="26"/>
    </row>
    <row r="535" spans="2:2" ht="15.75" customHeight="1" x14ac:dyDescent="0.3">
      <c r="B535" s="26"/>
    </row>
    <row r="536" spans="2:2" ht="15.75" customHeight="1" x14ac:dyDescent="0.3">
      <c r="B536" s="26"/>
    </row>
    <row r="537" spans="2:2" ht="15.75" customHeight="1" x14ac:dyDescent="0.3">
      <c r="B537" s="26"/>
    </row>
    <row r="538" spans="2:2" ht="15.75" customHeight="1" x14ac:dyDescent="0.3">
      <c r="B538" s="26"/>
    </row>
    <row r="539" spans="2:2" ht="15.75" customHeight="1" x14ac:dyDescent="0.3">
      <c r="B539" s="26"/>
    </row>
    <row r="540" spans="2:2" ht="15.75" customHeight="1" x14ac:dyDescent="0.3">
      <c r="B540" s="26"/>
    </row>
    <row r="541" spans="2:2" ht="15.75" customHeight="1" x14ac:dyDescent="0.3">
      <c r="B541" s="26"/>
    </row>
    <row r="542" spans="2:2" ht="15.75" customHeight="1" x14ac:dyDescent="0.3">
      <c r="B542" s="26"/>
    </row>
    <row r="543" spans="2:2" ht="15.75" customHeight="1" x14ac:dyDescent="0.3">
      <c r="B543" s="26"/>
    </row>
    <row r="544" spans="2:2" ht="15.75" customHeight="1" x14ac:dyDescent="0.3">
      <c r="B544" s="26"/>
    </row>
    <row r="545" spans="2:2" ht="15.75" customHeight="1" x14ac:dyDescent="0.3">
      <c r="B545" s="26"/>
    </row>
    <row r="546" spans="2:2" ht="15.75" customHeight="1" x14ac:dyDescent="0.3">
      <c r="B546" s="26"/>
    </row>
    <row r="547" spans="2:2" ht="15.75" customHeight="1" x14ac:dyDescent="0.3">
      <c r="B547" s="26"/>
    </row>
    <row r="548" spans="2:2" ht="15.75" customHeight="1" x14ac:dyDescent="0.3">
      <c r="B548" s="26"/>
    </row>
    <row r="549" spans="2:2" ht="15.75" customHeight="1" x14ac:dyDescent="0.3">
      <c r="B549" s="26"/>
    </row>
    <row r="550" spans="2:2" ht="15.75" customHeight="1" x14ac:dyDescent="0.3">
      <c r="B550" s="26"/>
    </row>
    <row r="551" spans="2:2" ht="15.75" customHeight="1" x14ac:dyDescent="0.3">
      <c r="B551" s="26"/>
    </row>
    <row r="552" spans="2:2" ht="15.75" customHeight="1" x14ac:dyDescent="0.3">
      <c r="B552" s="26"/>
    </row>
    <row r="553" spans="2:2" ht="15.75" customHeight="1" x14ac:dyDescent="0.3">
      <c r="B553" s="26"/>
    </row>
    <row r="554" spans="2:2" ht="15.75" customHeight="1" x14ac:dyDescent="0.3">
      <c r="B554" s="26"/>
    </row>
    <row r="555" spans="2:2" ht="15.75" customHeight="1" x14ac:dyDescent="0.3">
      <c r="B555" s="26"/>
    </row>
    <row r="556" spans="2:2" ht="15.75" customHeight="1" x14ac:dyDescent="0.3">
      <c r="B556" s="26"/>
    </row>
    <row r="557" spans="2:2" ht="15.75" customHeight="1" x14ac:dyDescent="0.3">
      <c r="B557" s="26"/>
    </row>
    <row r="558" spans="2:2" ht="15.75" customHeight="1" x14ac:dyDescent="0.3">
      <c r="B558" s="26"/>
    </row>
    <row r="559" spans="2:2" ht="15.75" customHeight="1" x14ac:dyDescent="0.3">
      <c r="B559" s="26"/>
    </row>
    <row r="560" spans="2:2" ht="15.75" customHeight="1" x14ac:dyDescent="0.3">
      <c r="B560" s="26"/>
    </row>
    <row r="561" spans="2:2" ht="15.75" customHeight="1" x14ac:dyDescent="0.3">
      <c r="B561" s="26"/>
    </row>
    <row r="562" spans="2:2" ht="15.75" customHeight="1" x14ac:dyDescent="0.3">
      <c r="B562" s="26"/>
    </row>
    <row r="563" spans="2:2" ht="15.75" customHeight="1" x14ac:dyDescent="0.3">
      <c r="B563" s="26"/>
    </row>
    <row r="564" spans="2:2" ht="15.75" customHeight="1" x14ac:dyDescent="0.3">
      <c r="B564" s="26"/>
    </row>
    <row r="565" spans="2:2" ht="15.75" customHeight="1" x14ac:dyDescent="0.3">
      <c r="B565" s="26"/>
    </row>
    <row r="566" spans="2:2" ht="15.75" customHeight="1" x14ac:dyDescent="0.3">
      <c r="B566" s="26"/>
    </row>
    <row r="567" spans="2:2" ht="15.75" customHeight="1" x14ac:dyDescent="0.3">
      <c r="B567" s="26"/>
    </row>
    <row r="568" spans="2:2" ht="15.75" customHeight="1" x14ac:dyDescent="0.3">
      <c r="B568" s="26"/>
    </row>
    <row r="569" spans="2:2" ht="15.75" customHeight="1" x14ac:dyDescent="0.3">
      <c r="B569" s="26"/>
    </row>
    <row r="570" spans="2:2" ht="15.75" customHeight="1" x14ac:dyDescent="0.3">
      <c r="B570" s="26"/>
    </row>
    <row r="571" spans="2:2" ht="15.75" customHeight="1" x14ac:dyDescent="0.3">
      <c r="B571" s="26"/>
    </row>
    <row r="572" spans="2:2" ht="15.75" customHeight="1" x14ac:dyDescent="0.3">
      <c r="B572" s="26"/>
    </row>
    <row r="573" spans="2:2" ht="15.75" customHeight="1" x14ac:dyDescent="0.3">
      <c r="B573" s="26"/>
    </row>
    <row r="574" spans="2:2" ht="15.75" customHeight="1" x14ac:dyDescent="0.3">
      <c r="B574" s="26"/>
    </row>
    <row r="575" spans="2:2" ht="15.75" customHeight="1" x14ac:dyDescent="0.3">
      <c r="B575" s="26"/>
    </row>
    <row r="576" spans="2:2" ht="15.75" customHeight="1" x14ac:dyDescent="0.3">
      <c r="B576" s="26"/>
    </row>
    <row r="577" spans="2:2" ht="15.75" customHeight="1" x14ac:dyDescent="0.3">
      <c r="B577" s="26"/>
    </row>
    <row r="578" spans="2:2" ht="15.75" customHeight="1" x14ac:dyDescent="0.3">
      <c r="B578" s="26"/>
    </row>
    <row r="579" spans="2:2" ht="15.75" customHeight="1" x14ac:dyDescent="0.3">
      <c r="B579" s="26"/>
    </row>
    <row r="580" spans="2:2" ht="15.75" customHeight="1" x14ac:dyDescent="0.3">
      <c r="B580" s="26"/>
    </row>
    <row r="581" spans="2:2" ht="15.75" customHeight="1" x14ac:dyDescent="0.3">
      <c r="B581" s="26"/>
    </row>
    <row r="582" spans="2:2" ht="15.75" customHeight="1" x14ac:dyDescent="0.3">
      <c r="B582" s="26"/>
    </row>
    <row r="583" spans="2:2" ht="15.75" customHeight="1" x14ac:dyDescent="0.3">
      <c r="B583" s="26"/>
    </row>
    <row r="584" spans="2:2" ht="15.75" customHeight="1" x14ac:dyDescent="0.3">
      <c r="B584" s="26"/>
    </row>
    <row r="585" spans="2:2" ht="15.75" customHeight="1" x14ac:dyDescent="0.3">
      <c r="B585" s="26"/>
    </row>
    <row r="586" spans="2:2" ht="15.75" customHeight="1" x14ac:dyDescent="0.3">
      <c r="B586" s="26"/>
    </row>
    <row r="587" spans="2:2" ht="15.75" customHeight="1" x14ac:dyDescent="0.3">
      <c r="B587" s="26"/>
    </row>
    <row r="588" spans="2:2" ht="15.75" customHeight="1" x14ac:dyDescent="0.3">
      <c r="B588" s="26"/>
    </row>
    <row r="589" spans="2:2" ht="15.75" customHeight="1" x14ac:dyDescent="0.3">
      <c r="B589" s="26"/>
    </row>
    <row r="590" spans="2:2" ht="15.75" customHeight="1" x14ac:dyDescent="0.3">
      <c r="B590" s="26"/>
    </row>
    <row r="591" spans="2:2" ht="15.75" customHeight="1" x14ac:dyDescent="0.3">
      <c r="B591" s="26"/>
    </row>
    <row r="592" spans="2:2" ht="15.75" customHeight="1" x14ac:dyDescent="0.3">
      <c r="B592" s="26"/>
    </row>
    <row r="593" spans="2:2" ht="15.75" customHeight="1" x14ac:dyDescent="0.3">
      <c r="B593" s="26"/>
    </row>
    <row r="594" spans="2:2" ht="15.75" customHeight="1" x14ac:dyDescent="0.3">
      <c r="B594" s="26"/>
    </row>
    <row r="595" spans="2:2" ht="15.75" customHeight="1" x14ac:dyDescent="0.3">
      <c r="B595" s="26"/>
    </row>
    <row r="596" spans="2:2" ht="15.75" customHeight="1" x14ac:dyDescent="0.3">
      <c r="B596" s="26"/>
    </row>
    <row r="597" spans="2:2" ht="15.75" customHeight="1" x14ac:dyDescent="0.3">
      <c r="B597" s="26"/>
    </row>
    <row r="598" spans="2:2" ht="15.75" customHeight="1" x14ac:dyDescent="0.3">
      <c r="B598" s="26"/>
    </row>
    <row r="599" spans="2:2" ht="15.75" customHeight="1" x14ac:dyDescent="0.3">
      <c r="B599" s="26"/>
    </row>
    <row r="600" spans="2:2" ht="15.75" customHeight="1" x14ac:dyDescent="0.3">
      <c r="B600" s="26"/>
    </row>
    <row r="601" spans="2:2" ht="15.75" customHeight="1" x14ac:dyDescent="0.3">
      <c r="B601" s="26"/>
    </row>
    <row r="602" spans="2:2" ht="15.75" customHeight="1" x14ac:dyDescent="0.3">
      <c r="B602" s="26"/>
    </row>
    <row r="603" spans="2:2" ht="15.75" customHeight="1" x14ac:dyDescent="0.3">
      <c r="B603" s="26"/>
    </row>
    <row r="604" spans="2:2" ht="15.75" customHeight="1" x14ac:dyDescent="0.3">
      <c r="B604" s="26"/>
    </row>
    <row r="605" spans="2:2" ht="15.75" customHeight="1" x14ac:dyDescent="0.3">
      <c r="B605" s="26"/>
    </row>
    <row r="606" spans="2:2" ht="15.75" customHeight="1" x14ac:dyDescent="0.3">
      <c r="B606" s="26"/>
    </row>
    <row r="607" spans="2:2" ht="15.75" customHeight="1" x14ac:dyDescent="0.3">
      <c r="B607" s="26"/>
    </row>
    <row r="608" spans="2:2" ht="15.75" customHeight="1" x14ac:dyDescent="0.3">
      <c r="B608" s="26"/>
    </row>
    <row r="609" spans="2:2" ht="15.75" customHeight="1" x14ac:dyDescent="0.3">
      <c r="B609" s="26"/>
    </row>
    <row r="610" spans="2:2" ht="15.75" customHeight="1" x14ac:dyDescent="0.3">
      <c r="B610" s="26"/>
    </row>
    <row r="611" spans="2:2" ht="15.75" customHeight="1" x14ac:dyDescent="0.3">
      <c r="B611" s="26"/>
    </row>
    <row r="612" spans="2:2" ht="15.75" customHeight="1" x14ac:dyDescent="0.3">
      <c r="B612" s="26"/>
    </row>
    <row r="613" spans="2:2" ht="15.75" customHeight="1" x14ac:dyDescent="0.3">
      <c r="B613" s="26"/>
    </row>
    <row r="614" spans="2:2" ht="15.75" customHeight="1" x14ac:dyDescent="0.3">
      <c r="B614" s="26"/>
    </row>
    <row r="615" spans="2:2" ht="15.75" customHeight="1" x14ac:dyDescent="0.3">
      <c r="B615" s="26"/>
    </row>
    <row r="616" spans="2:2" ht="15.75" customHeight="1" x14ac:dyDescent="0.3">
      <c r="B616" s="26"/>
    </row>
    <row r="617" spans="2:2" ht="15.75" customHeight="1" x14ac:dyDescent="0.3">
      <c r="B617" s="26"/>
    </row>
    <row r="618" spans="2:2" ht="15.75" customHeight="1" x14ac:dyDescent="0.3">
      <c r="B618" s="26"/>
    </row>
    <row r="619" spans="2:2" ht="15.75" customHeight="1" x14ac:dyDescent="0.3">
      <c r="B619" s="26"/>
    </row>
    <row r="620" spans="2:2" ht="15.75" customHeight="1" x14ac:dyDescent="0.3">
      <c r="B620" s="26"/>
    </row>
    <row r="621" spans="2:2" ht="15.75" customHeight="1" x14ac:dyDescent="0.3">
      <c r="B621" s="26"/>
    </row>
    <row r="622" spans="2:2" ht="15.75" customHeight="1" x14ac:dyDescent="0.3">
      <c r="B622" s="26"/>
    </row>
    <row r="623" spans="2:2" ht="15.75" customHeight="1" x14ac:dyDescent="0.3">
      <c r="B623" s="26"/>
    </row>
    <row r="624" spans="2:2" ht="15.75" customHeight="1" x14ac:dyDescent="0.3">
      <c r="B624" s="26"/>
    </row>
    <row r="625" spans="2:2" ht="15.75" customHeight="1" x14ac:dyDescent="0.3">
      <c r="B625" s="26"/>
    </row>
    <row r="626" spans="2:2" ht="15.75" customHeight="1" x14ac:dyDescent="0.3">
      <c r="B626" s="26"/>
    </row>
    <row r="627" spans="2:2" ht="15.75" customHeight="1" x14ac:dyDescent="0.3">
      <c r="B627" s="26"/>
    </row>
    <row r="628" spans="2:2" ht="15.75" customHeight="1" x14ac:dyDescent="0.3">
      <c r="B628" s="26"/>
    </row>
    <row r="629" spans="2:2" ht="15.75" customHeight="1" x14ac:dyDescent="0.3">
      <c r="B629" s="26"/>
    </row>
    <row r="630" spans="2:2" ht="15.75" customHeight="1" x14ac:dyDescent="0.3">
      <c r="B630" s="26"/>
    </row>
    <row r="631" spans="2:2" ht="15.75" customHeight="1" x14ac:dyDescent="0.3">
      <c r="B631" s="26"/>
    </row>
    <row r="632" spans="2:2" ht="15.75" customHeight="1" x14ac:dyDescent="0.3">
      <c r="B632" s="26"/>
    </row>
    <row r="633" spans="2:2" ht="15.75" customHeight="1" x14ac:dyDescent="0.3">
      <c r="B633" s="26"/>
    </row>
    <row r="634" spans="2:2" ht="15.75" customHeight="1" x14ac:dyDescent="0.3">
      <c r="B634" s="26"/>
    </row>
    <row r="635" spans="2:2" ht="15.75" customHeight="1" x14ac:dyDescent="0.3">
      <c r="B635" s="26"/>
    </row>
    <row r="636" spans="2:2" ht="15.75" customHeight="1" x14ac:dyDescent="0.3">
      <c r="B636" s="26"/>
    </row>
    <row r="637" spans="2:2" ht="15.75" customHeight="1" x14ac:dyDescent="0.3">
      <c r="B637" s="26"/>
    </row>
    <row r="638" spans="2:2" ht="15.75" customHeight="1" x14ac:dyDescent="0.3">
      <c r="B638" s="26"/>
    </row>
    <row r="639" spans="2:2" ht="15.75" customHeight="1" x14ac:dyDescent="0.3">
      <c r="B639" s="26"/>
    </row>
    <row r="640" spans="2:2" ht="15.75" customHeight="1" x14ac:dyDescent="0.3">
      <c r="B640" s="26"/>
    </row>
    <row r="641" spans="2:2" ht="15.75" customHeight="1" x14ac:dyDescent="0.3">
      <c r="B641" s="26"/>
    </row>
    <row r="642" spans="2:2" ht="15.75" customHeight="1" x14ac:dyDescent="0.3">
      <c r="B642" s="26"/>
    </row>
    <row r="643" spans="2:2" ht="15.75" customHeight="1" x14ac:dyDescent="0.3">
      <c r="B643" s="26"/>
    </row>
    <row r="644" spans="2:2" ht="15.75" customHeight="1" x14ac:dyDescent="0.3">
      <c r="B644" s="26"/>
    </row>
    <row r="645" spans="2:2" ht="15.75" customHeight="1" x14ac:dyDescent="0.3">
      <c r="B645" s="26"/>
    </row>
    <row r="646" spans="2:2" ht="15.75" customHeight="1" x14ac:dyDescent="0.3">
      <c r="B646" s="26"/>
    </row>
    <row r="647" spans="2:2" ht="15.75" customHeight="1" x14ac:dyDescent="0.3">
      <c r="B647" s="26"/>
    </row>
    <row r="648" spans="2:2" ht="15.75" customHeight="1" x14ac:dyDescent="0.3">
      <c r="B648" s="26"/>
    </row>
    <row r="649" spans="2:2" ht="15.75" customHeight="1" x14ac:dyDescent="0.3">
      <c r="B649" s="26"/>
    </row>
    <row r="650" spans="2:2" ht="15.75" customHeight="1" x14ac:dyDescent="0.3">
      <c r="B650" s="26"/>
    </row>
    <row r="651" spans="2:2" ht="15.75" customHeight="1" x14ac:dyDescent="0.3">
      <c r="B651" s="26"/>
    </row>
    <row r="652" spans="2:2" ht="15.75" customHeight="1" x14ac:dyDescent="0.3">
      <c r="B652" s="26"/>
    </row>
    <row r="653" spans="2:2" ht="15.75" customHeight="1" x14ac:dyDescent="0.3">
      <c r="B653" s="26"/>
    </row>
    <row r="654" spans="2:2" ht="15.75" customHeight="1" x14ac:dyDescent="0.3">
      <c r="B654" s="26"/>
    </row>
    <row r="655" spans="2:2" ht="15.75" customHeight="1" x14ac:dyDescent="0.3">
      <c r="B655" s="26"/>
    </row>
    <row r="656" spans="2:2" ht="15.75" customHeight="1" x14ac:dyDescent="0.3">
      <c r="B656" s="26"/>
    </row>
    <row r="657" spans="2:2" ht="15.75" customHeight="1" x14ac:dyDescent="0.3">
      <c r="B657" s="26"/>
    </row>
    <row r="658" spans="2:2" ht="15.75" customHeight="1" x14ac:dyDescent="0.3">
      <c r="B658" s="26"/>
    </row>
    <row r="659" spans="2:2" ht="15.75" customHeight="1" x14ac:dyDescent="0.3">
      <c r="B659" s="26"/>
    </row>
    <row r="660" spans="2:2" ht="15.75" customHeight="1" x14ac:dyDescent="0.3">
      <c r="B660" s="26"/>
    </row>
    <row r="661" spans="2:2" ht="15.75" customHeight="1" x14ac:dyDescent="0.3">
      <c r="B661" s="26"/>
    </row>
    <row r="662" spans="2:2" ht="15.75" customHeight="1" x14ac:dyDescent="0.3">
      <c r="B662" s="26"/>
    </row>
    <row r="663" spans="2:2" ht="15.75" customHeight="1" x14ac:dyDescent="0.3">
      <c r="B663" s="26"/>
    </row>
    <row r="664" spans="2:2" ht="15.75" customHeight="1" x14ac:dyDescent="0.3">
      <c r="B664" s="26"/>
    </row>
    <row r="665" spans="2:2" ht="15.75" customHeight="1" x14ac:dyDescent="0.3">
      <c r="B665" s="26"/>
    </row>
    <row r="666" spans="2:2" ht="15.75" customHeight="1" x14ac:dyDescent="0.3">
      <c r="B666" s="26"/>
    </row>
    <row r="667" spans="2:2" ht="15.75" customHeight="1" x14ac:dyDescent="0.3">
      <c r="B667" s="26"/>
    </row>
    <row r="668" spans="2:2" ht="15.75" customHeight="1" x14ac:dyDescent="0.3">
      <c r="B668" s="26"/>
    </row>
    <row r="669" spans="2:2" ht="15.75" customHeight="1" x14ac:dyDescent="0.3">
      <c r="B669" s="26"/>
    </row>
    <row r="670" spans="2:2" ht="15.75" customHeight="1" x14ac:dyDescent="0.3">
      <c r="B670" s="26"/>
    </row>
    <row r="671" spans="2:2" ht="15.75" customHeight="1" x14ac:dyDescent="0.3">
      <c r="B671" s="26"/>
    </row>
    <row r="672" spans="2:2" ht="15.75" customHeight="1" x14ac:dyDescent="0.3">
      <c r="B672" s="26"/>
    </row>
    <row r="673" spans="2:2" ht="15.75" customHeight="1" x14ac:dyDescent="0.3">
      <c r="B673" s="26"/>
    </row>
    <row r="674" spans="2:2" ht="15.75" customHeight="1" x14ac:dyDescent="0.3">
      <c r="B674" s="26"/>
    </row>
    <row r="675" spans="2:2" ht="15.75" customHeight="1" x14ac:dyDescent="0.3">
      <c r="B675" s="26"/>
    </row>
    <row r="676" spans="2:2" ht="15.75" customHeight="1" x14ac:dyDescent="0.3">
      <c r="B676" s="26"/>
    </row>
    <row r="677" spans="2:2" ht="15.75" customHeight="1" x14ac:dyDescent="0.3">
      <c r="B677" s="26"/>
    </row>
    <row r="678" spans="2:2" ht="15.75" customHeight="1" x14ac:dyDescent="0.3">
      <c r="B678" s="26"/>
    </row>
    <row r="679" spans="2:2" ht="15.75" customHeight="1" x14ac:dyDescent="0.3">
      <c r="B679" s="26"/>
    </row>
    <row r="680" spans="2:2" ht="15.75" customHeight="1" x14ac:dyDescent="0.3">
      <c r="B680" s="26"/>
    </row>
    <row r="681" spans="2:2" ht="15.75" customHeight="1" x14ac:dyDescent="0.3">
      <c r="B681" s="26"/>
    </row>
    <row r="682" spans="2:2" ht="15.75" customHeight="1" x14ac:dyDescent="0.3">
      <c r="B682" s="26"/>
    </row>
    <row r="683" spans="2:2" ht="15.75" customHeight="1" x14ac:dyDescent="0.3">
      <c r="B683" s="26"/>
    </row>
    <row r="684" spans="2:2" ht="15.75" customHeight="1" x14ac:dyDescent="0.3">
      <c r="B684" s="26"/>
    </row>
    <row r="685" spans="2:2" ht="15.75" customHeight="1" x14ac:dyDescent="0.3">
      <c r="B685" s="26"/>
    </row>
    <row r="686" spans="2:2" ht="15.75" customHeight="1" x14ac:dyDescent="0.3">
      <c r="B686" s="26"/>
    </row>
    <row r="687" spans="2:2" ht="15.75" customHeight="1" x14ac:dyDescent="0.3">
      <c r="B687" s="26"/>
    </row>
    <row r="688" spans="2:2" ht="15.75" customHeight="1" x14ac:dyDescent="0.3">
      <c r="B688" s="26"/>
    </row>
    <row r="689" spans="2:2" ht="15.75" customHeight="1" x14ac:dyDescent="0.3">
      <c r="B689" s="26"/>
    </row>
    <row r="690" spans="2:2" ht="15.75" customHeight="1" x14ac:dyDescent="0.3">
      <c r="B690" s="26"/>
    </row>
    <row r="691" spans="2:2" ht="15.75" customHeight="1" x14ac:dyDescent="0.3">
      <c r="B691" s="26"/>
    </row>
    <row r="692" spans="2:2" ht="15.75" customHeight="1" x14ac:dyDescent="0.3">
      <c r="B692" s="26"/>
    </row>
    <row r="693" spans="2:2" ht="15.75" customHeight="1" x14ac:dyDescent="0.3">
      <c r="B693" s="26"/>
    </row>
    <row r="694" spans="2:2" ht="15.75" customHeight="1" x14ac:dyDescent="0.3">
      <c r="B694" s="26"/>
    </row>
    <row r="695" spans="2:2" ht="15.75" customHeight="1" x14ac:dyDescent="0.3">
      <c r="B695" s="26"/>
    </row>
    <row r="696" spans="2:2" ht="15.75" customHeight="1" x14ac:dyDescent="0.3">
      <c r="B696" s="26"/>
    </row>
    <row r="697" spans="2:2" ht="15.75" customHeight="1" x14ac:dyDescent="0.3">
      <c r="B697" s="26"/>
    </row>
    <row r="698" spans="2:2" ht="15.75" customHeight="1" x14ac:dyDescent="0.3">
      <c r="B698" s="26"/>
    </row>
    <row r="699" spans="2:2" ht="15.75" customHeight="1" x14ac:dyDescent="0.3">
      <c r="B699" s="26"/>
    </row>
    <row r="700" spans="2:2" ht="15.75" customHeight="1" x14ac:dyDescent="0.3">
      <c r="B700" s="26"/>
    </row>
    <row r="701" spans="2:2" ht="15.75" customHeight="1" x14ac:dyDescent="0.3">
      <c r="B701" s="26"/>
    </row>
    <row r="702" spans="2:2" ht="15.75" customHeight="1" x14ac:dyDescent="0.3">
      <c r="B702" s="26"/>
    </row>
    <row r="703" spans="2:2" ht="15.75" customHeight="1" x14ac:dyDescent="0.3">
      <c r="B703" s="26"/>
    </row>
    <row r="704" spans="2:2" ht="15.75" customHeight="1" x14ac:dyDescent="0.3">
      <c r="B704" s="26"/>
    </row>
    <row r="705" spans="2:2" ht="15.75" customHeight="1" x14ac:dyDescent="0.3">
      <c r="B705" s="26"/>
    </row>
    <row r="706" spans="2:2" ht="15.75" customHeight="1" x14ac:dyDescent="0.3">
      <c r="B706" s="26"/>
    </row>
    <row r="707" spans="2:2" ht="15.75" customHeight="1" x14ac:dyDescent="0.3">
      <c r="B707" s="26"/>
    </row>
    <row r="708" spans="2:2" ht="15.75" customHeight="1" x14ac:dyDescent="0.3">
      <c r="B708" s="26"/>
    </row>
    <row r="709" spans="2:2" ht="15.75" customHeight="1" x14ac:dyDescent="0.3">
      <c r="B709" s="26"/>
    </row>
    <row r="710" spans="2:2" ht="15.75" customHeight="1" x14ac:dyDescent="0.3">
      <c r="B710" s="26"/>
    </row>
    <row r="711" spans="2:2" ht="15.75" customHeight="1" x14ac:dyDescent="0.3">
      <c r="B711" s="26"/>
    </row>
    <row r="712" spans="2:2" ht="15.75" customHeight="1" x14ac:dyDescent="0.3">
      <c r="B712" s="26"/>
    </row>
    <row r="713" spans="2:2" ht="15.75" customHeight="1" x14ac:dyDescent="0.3">
      <c r="B713" s="26"/>
    </row>
    <row r="714" spans="2:2" ht="15.75" customHeight="1" x14ac:dyDescent="0.3">
      <c r="B714" s="26"/>
    </row>
    <row r="715" spans="2:2" ht="15.75" customHeight="1" x14ac:dyDescent="0.3">
      <c r="B715" s="26"/>
    </row>
    <row r="716" spans="2:2" ht="15.75" customHeight="1" x14ac:dyDescent="0.3">
      <c r="B716" s="26"/>
    </row>
    <row r="717" spans="2:2" ht="15.75" customHeight="1" x14ac:dyDescent="0.3">
      <c r="B717" s="26"/>
    </row>
    <row r="718" spans="2:2" ht="15.75" customHeight="1" x14ac:dyDescent="0.3">
      <c r="B718" s="26"/>
    </row>
    <row r="719" spans="2:2" ht="15.75" customHeight="1" x14ac:dyDescent="0.3">
      <c r="B719" s="26"/>
    </row>
    <row r="720" spans="2:2" ht="15.75" customHeight="1" x14ac:dyDescent="0.3">
      <c r="B720" s="26"/>
    </row>
    <row r="721" spans="2:2" ht="15.75" customHeight="1" x14ac:dyDescent="0.3">
      <c r="B721" s="26"/>
    </row>
    <row r="722" spans="2:2" ht="15.75" customHeight="1" x14ac:dyDescent="0.3">
      <c r="B722" s="26"/>
    </row>
    <row r="723" spans="2:2" ht="15.75" customHeight="1" x14ac:dyDescent="0.3">
      <c r="B723" s="26"/>
    </row>
    <row r="724" spans="2:2" ht="15.75" customHeight="1" x14ac:dyDescent="0.3">
      <c r="B724" s="26"/>
    </row>
    <row r="725" spans="2:2" ht="15.75" customHeight="1" x14ac:dyDescent="0.3">
      <c r="B725" s="26"/>
    </row>
    <row r="726" spans="2:2" ht="15.75" customHeight="1" x14ac:dyDescent="0.3">
      <c r="B726" s="26"/>
    </row>
    <row r="727" spans="2:2" ht="15.75" customHeight="1" x14ac:dyDescent="0.3">
      <c r="B727" s="26"/>
    </row>
    <row r="728" spans="2:2" ht="15.75" customHeight="1" x14ac:dyDescent="0.3">
      <c r="B728" s="26"/>
    </row>
    <row r="729" spans="2:2" ht="15.75" customHeight="1" x14ac:dyDescent="0.3">
      <c r="B729" s="26"/>
    </row>
    <row r="730" spans="2:2" ht="15.75" customHeight="1" x14ac:dyDescent="0.3">
      <c r="B730" s="26"/>
    </row>
    <row r="731" spans="2:2" ht="15.75" customHeight="1" x14ac:dyDescent="0.3">
      <c r="B731" s="26"/>
    </row>
    <row r="732" spans="2:2" ht="15.75" customHeight="1" x14ac:dyDescent="0.3">
      <c r="B732" s="26"/>
    </row>
    <row r="733" spans="2:2" ht="15.75" customHeight="1" x14ac:dyDescent="0.3">
      <c r="B733" s="26"/>
    </row>
    <row r="734" spans="2:2" ht="15.75" customHeight="1" x14ac:dyDescent="0.3">
      <c r="B734" s="26"/>
    </row>
    <row r="735" spans="2:2" ht="15.75" customHeight="1" x14ac:dyDescent="0.3">
      <c r="B735" s="26"/>
    </row>
    <row r="736" spans="2:2" ht="15.75" customHeight="1" x14ac:dyDescent="0.3">
      <c r="B736" s="26"/>
    </row>
    <row r="737" spans="2:2" ht="15.75" customHeight="1" x14ac:dyDescent="0.3">
      <c r="B737" s="26"/>
    </row>
    <row r="738" spans="2:2" ht="15.75" customHeight="1" x14ac:dyDescent="0.3">
      <c r="B738" s="26"/>
    </row>
    <row r="739" spans="2:2" ht="15.75" customHeight="1" x14ac:dyDescent="0.3">
      <c r="B739" s="26"/>
    </row>
    <row r="740" spans="2:2" ht="15.75" customHeight="1" x14ac:dyDescent="0.3">
      <c r="B740" s="26"/>
    </row>
    <row r="741" spans="2:2" ht="15.75" customHeight="1" x14ac:dyDescent="0.3">
      <c r="B741" s="26"/>
    </row>
    <row r="742" spans="2:2" ht="15.75" customHeight="1" x14ac:dyDescent="0.3">
      <c r="B742" s="26"/>
    </row>
    <row r="743" spans="2:2" ht="15.75" customHeight="1" x14ac:dyDescent="0.3">
      <c r="B743" s="26"/>
    </row>
    <row r="744" spans="2:2" ht="15.75" customHeight="1" x14ac:dyDescent="0.3">
      <c r="B744" s="26"/>
    </row>
    <row r="745" spans="2:2" ht="15.75" customHeight="1" x14ac:dyDescent="0.3">
      <c r="B745" s="26"/>
    </row>
    <row r="746" spans="2:2" ht="15.75" customHeight="1" x14ac:dyDescent="0.3">
      <c r="B746" s="26"/>
    </row>
    <row r="747" spans="2:2" ht="15.75" customHeight="1" x14ac:dyDescent="0.3">
      <c r="B747" s="26"/>
    </row>
    <row r="748" spans="2:2" ht="15.75" customHeight="1" x14ac:dyDescent="0.3">
      <c r="B748" s="26"/>
    </row>
    <row r="749" spans="2:2" ht="15.75" customHeight="1" x14ac:dyDescent="0.3">
      <c r="B749" s="26"/>
    </row>
    <row r="750" spans="2:2" ht="15.75" customHeight="1" x14ac:dyDescent="0.3">
      <c r="B750" s="26"/>
    </row>
    <row r="751" spans="2:2" ht="15.75" customHeight="1" x14ac:dyDescent="0.3">
      <c r="B751" s="26"/>
    </row>
    <row r="752" spans="2:2" ht="15.75" customHeight="1" x14ac:dyDescent="0.3">
      <c r="B752" s="26"/>
    </row>
    <row r="753" spans="2:2" ht="15.75" customHeight="1" x14ac:dyDescent="0.3">
      <c r="B753" s="26"/>
    </row>
    <row r="754" spans="2:2" ht="15.75" customHeight="1" x14ac:dyDescent="0.3">
      <c r="B754" s="26"/>
    </row>
    <row r="755" spans="2:2" ht="15.75" customHeight="1" x14ac:dyDescent="0.3">
      <c r="B755" s="26"/>
    </row>
    <row r="756" spans="2:2" ht="15.75" customHeight="1" x14ac:dyDescent="0.3">
      <c r="B756" s="26"/>
    </row>
    <row r="757" spans="2:2" ht="15.75" customHeight="1" x14ac:dyDescent="0.3">
      <c r="B757" s="26"/>
    </row>
    <row r="758" spans="2:2" ht="15.75" customHeight="1" x14ac:dyDescent="0.3">
      <c r="B758" s="26"/>
    </row>
    <row r="759" spans="2:2" ht="15.75" customHeight="1" x14ac:dyDescent="0.3">
      <c r="B759" s="26"/>
    </row>
    <row r="760" spans="2:2" ht="15.75" customHeight="1" x14ac:dyDescent="0.3">
      <c r="B760" s="26"/>
    </row>
    <row r="761" spans="2:2" ht="15.75" customHeight="1" x14ac:dyDescent="0.3">
      <c r="B761" s="26"/>
    </row>
    <row r="762" spans="2:2" ht="15.75" customHeight="1" x14ac:dyDescent="0.3">
      <c r="B762" s="26"/>
    </row>
    <row r="763" spans="2:2" ht="15.75" customHeight="1" x14ac:dyDescent="0.3">
      <c r="B763" s="26"/>
    </row>
    <row r="764" spans="2:2" ht="15.75" customHeight="1" x14ac:dyDescent="0.3">
      <c r="B764" s="26"/>
    </row>
    <row r="765" spans="2:2" ht="15.75" customHeight="1" x14ac:dyDescent="0.3">
      <c r="B765" s="26"/>
    </row>
    <row r="766" spans="2:2" ht="15.75" customHeight="1" x14ac:dyDescent="0.3">
      <c r="B766" s="26"/>
    </row>
    <row r="767" spans="2:2" ht="15.75" customHeight="1" x14ac:dyDescent="0.3">
      <c r="B767" s="26"/>
    </row>
    <row r="768" spans="2:2" ht="15.75" customHeight="1" x14ac:dyDescent="0.3">
      <c r="B768" s="26"/>
    </row>
    <row r="769" spans="2:2" ht="15.75" customHeight="1" x14ac:dyDescent="0.3">
      <c r="B769" s="26"/>
    </row>
    <row r="770" spans="2:2" ht="15.75" customHeight="1" x14ac:dyDescent="0.3">
      <c r="B770" s="26"/>
    </row>
    <row r="771" spans="2:2" ht="15.75" customHeight="1" x14ac:dyDescent="0.3">
      <c r="B771" s="26"/>
    </row>
    <row r="772" spans="2:2" ht="15.75" customHeight="1" x14ac:dyDescent="0.3">
      <c r="B772" s="26"/>
    </row>
    <row r="773" spans="2:2" ht="15.75" customHeight="1" x14ac:dyDescent="0.3">
      <c r="B773" s="26"/>
    </row>
    <row r="774" spans="2:2" ht="15.75" customHeight="1" x14ac:dyDescent="0.3">
      <c r="B774" s="26"/>
    </row>
    <row r="775" spans="2:2" ht="15.75" customHeight="1" x14ac:dyDescent="0.3">
      <c r="B775" s="26"/>
    </row>
    <row r="776" spans="2:2" ht="15.75" customHeight="1" x14ac:dyDescent="0.3">
      <c r="B776" s="26"/>
    </row>
    <row r="777" spans="2:2" ht="15.75" customHeight="1" x14ac:dyDescent="0.3">
      <c r="B777" s="26"/>
    </row>
    <row r="778" spans="2:2" ht="15.75" customHeight="1" x14ac:dyDescent="0.3">
      <c r="B778" s="26"/>
    </row>
    <row r="779" spans="2:2" ht="15.75" customHeight="1" x14ac:dyDescent="0.3">
      <c r="B779" s="26"/>
    </row>
    <row r="780" spans="2:2" ht="15.75" customHeight="1" x14ac:dyDescent="0.3">
      <c r="B780" s="26"/>
    </row>
    <row r="781" spans="2:2" ht="15.75" customHeight="1" x14ac:dyDescent="0.3">
      <c r="B781" s="26"/>
    </row>
    <row r="782" spans="2:2" ht="15.75" customHeight="1" x14ac:dyDescent="0.3">
      <c r="B782" s="26"/>
    </row>
    <row r="783" spans="2:2" ht="15.75" customHeight="1" x14ac:dyDescent="0.3">
      <c r="B783" s="26"/>
    </row>
    <row r="784" spans="2:2" ht="15.75" customHeight="1" x14ac:dyDescent="0.3">
      <c r="B784" s="26"/>
    </row>
    <row r="785" spans="2:2" ht="15.75" customHeight="1" x14ac:dyDescent="0.3">
      <c r="B785" s="26"/>
    </row>
    <row r="786" spans="2:2" ht="15.75" customHeight="1" x14ac:dyDescent="0.3">
      <c r="B786" s="26"/>
    </row>
    <row r="787" spans="2:2" ht="15.75" customHeight="1" x14ac:dyDescent="0.3">
      <c r="B787" s="26"/>
    </row>
    <row r="788" spans="2:2" ht="15.75" customHeight="1" x14ac:dyDescent="0.3">
      <c r="B788" s="26"/>
    </row>
    <row r="789" spans="2:2" ht="15.75" customHeight="1" x14ac:dyDescent="0.3">
      <c r="B789" s="26"/>
    </row>
    <row r="790" spans="2:2" ht="15.75" customHeight="1" x14ac:dyDescent="0.3">
      <c r="B790" s="26"/>
    </row>
    <row r="791" spans="2:2" ht="15.75" customHeight="1" x14ac:dyDescent="0.3">
      <c r="B791" s="26"/>
    </row>
    <row r="792" spans="2:2" ht="15.75" customHeight="1" x14ac:dyDescent="0.3">
      <c r="B792" s="26"/>
    </row>
    <row r="793" spans="2:2" ht="15.75" customHeight="1" x14ac:dyDescent="0.3">
      <c r="B793" s="26"/>
    </row>
    <row r="794" spans="2:2" ht="15.75" customHeight="1" x14ac:dyDescent="0.3">
      <c r="B794" s="26"/>
    </row>
    <row r="795" spans="2:2" ht="15.75" customHeight="1" x14ac:dyDescent="0.3">
      <c r="B795" s="26"/>
    </row>
    <row r="796" spans="2:2" ht="15.75" customHeight="1" x14ac:dyDescent="0.3">
      <c r="B796" s="26"/>
    </row>
    <row r="797" spans="2:2" ht="15.75" customHeight="1" x14ac:dyDescent="0.3">
      <c r="B797" s="26"/>
    </row>
    <row r="798" spans="2:2" ht="15.75" customHeight="1" x14ac:dyDescent="0.3">
      <c r="B798" s="26"/>
    </row>
    <row r="799" spans="2:2" ht="15.75" customHeight="1" x14ac:dyDescent="0.3">
      <c r="B799" s="26"/>
    </row>
    <row r="800" spans="2:2" ht="15.75" customHeight="1" x14ac:dyDescent="0.3">
      <c r="B800" s="26"/>
    </row>
    <row r="801" spans="2:2" ht="15.75" customHeight="1" x14ac:dyDescent="0.3">
      <c r="B801" s="26"/>
    </row>
    <row r="802" spans="2:2" ht="15.75" customHeight="1" x14ac:dyDescent="0.3">
      <c r="B802" s="26"/>
    </row>
    <row r="803" spans="2:2" ht="15.75" customHeight="1" x14ac:dyDescent="0.3">
      <c r="B803" s="26"/>
    </row>
    <row r="804" spans="2:2" ht="15.75" customHeight="1" x14ac:dyDescent="0.3">
      <c r="B804" s="26"/>
    </row>
    <row r="805" spans="2:2" ht="15.75" customHeight="1" x14ac:dyDescent="0.3">
      <c r="B805" s="26"/>
    </row>
    <row r="806" spans="2:2" ht="15.75" customHeight="1" x14ac:dyDescent="0.3">
      <c r="B806" s="26"/>
    </row>
    <row r="807" spans="2:2" ht="15.75" customHeight="1" x14ac:dyDescent="0.3">
      <c r="B807" s="26"/>
    </row>
    <row r="808" spans="2:2" ht="15.75" customHeight="1" x14ac:dyDescent="0.3">
      <c r="B808" s="26"/>
    </row>
    <row r="809" spans="2:2" ht="15.75" customHeight="1" x14ac:dyDescent="0.3">
      <c r="B809" s="26"/>
    </row>
    <row r="810" spans="2:2" ht="15.75" customHeight="1" x14ac:dyDescent="0.3">
      <c r="B810" s="26"/>
    </row>
    <row r="811" spans="2:2" ht="15.75" customHeight="1" x14ac:dyDescent="0.3">
      <c r="B811" s="26"/>
    </row>
    <row r="812" spans="2:2" ht="15.75" customHeight="1" x14ac:dyDescent="0.3">
      <c r="B812" s="26"/>
    </row>
    <row r="813" spans="2:2" ht="15.75" customHeight="1" x14ac:dyDescent="0.3">
      <c r="B813" s="26"/>
    </row>
    <row r="814" spans="2:2" ht="15.75" customHeight="1" x14ac:dyDescent="0.3">
      <c r="B814" s="26"/>
    </row>
    <row r="815" spans="2:2" ht="15.75" customHeight="1" x14ac:dyDescent="0.3">
      <c r="B815" s="26"/>
    </row>
    <row r="816" spans="2:2" ht="15.75" customHeight="1" x14ac:dyDescent="0.3">
      <c r="B816" s="26"/>
    </row>
    <row r="817" spans="2:2" ht="15.75" customHeight="1" x14ac:dyDescent="0.3">
      <c r="B817" s="26"/>
    </row>
    <row r="818" spans="2:2" ht="15.75" customHeight="1" x14ac:dyDescent="0.3">
      <c r="B818" s="26"/>
    </row>
    <row r="819" spans="2:2" ht="15.75" customHeight="1" x14ac:dyDescent="0.3">
      <c r="B819" s="26"/>
    </row>
    <row r="820" spans="2:2" ht="15.75" customHeight="1" x14ac:dyDescent="0.3">
      <c r="B820" s="26"/>
    </row>
    <row r="821" spans="2:2" ht="15.75" customHeight="1" x14ac:dyDescent="0.3">
      <c r="B821" s="26"/>
    </row>
    <row r="822" spans="2:2" ht="15.75" customHeight="1" x14ac:dyDescent="0.3">
      <c r="B822" s="26"/>
    </row>
    <row r="823" spans="2:2" ht="15.75" customHeight="1" x14ac:dyDescent="0.3">
      <c r="B823" s="26"/>
    </row>
    <row r="824" spans="2:2" ht="15.75" customHeight="1" x14ac:dyDescent="0.3">
      <c r="B824" s="26"/>
    </row>
    <row r="825" spans="2:2" ht="15.75" customHeight="1" x14ac:dyDescent="0.3">
      <c r="B825" s="26"/>
    </row>
    <row r="826" spans="2:2" ht="15.75" customHeight="1" x14ac:dyDescent="0.3">
      <c r="B826" s="26"/>
    </row>
    <row r="827" spans="2:2" ht="15.75" customHeight="1" x14ac:dyDescent="0.3">
      <c r="B827" s="26"/>
    </row>
    <row r="828" spans="2:2" ht="15.75" customHeight="1" x14ac:dyDescent="0.3">
      <c r="B828" s="26"/>
    </row>
    <row r="829" spans="2:2" ht="15.75" customHeight="1" x14ac:dyDescent="0.3">
      <c r="B829" s="26"/>
    </row>
    <row r="830" spans="2:2" ht="15.75" customHeight="1" x14ac:dyDescent="0.3">
      <c r="B830" s="26"/>
    </row>
    <row r="831" spans="2:2" ht="15.75" customHeight="1" x14ac:dyDescent="0.3">
      <c r="B831" s="26"/>
    </row>
    <row r="832" spans="2:2" ht="15.75" customHeight="1" x14ac:dyDescent="0.3">
      <c r="B832" s="26"/>
    </row>
    <row r="833" spans="2:2" ht="15.75" customHeight="1" x14ac:dyDescent="0.3">
      <c r="B833" s="26"/>
    </row>
    <row r="834" spans="2:2" ht="15.75" customHeight="1" x14ac:dyDescent="0.3">
      <c r="B834" s="26"/>
    </row>
    <row r="835" spans="2:2" ht="15.75" customHeight="1" x14ac:dyDescent="0.3">
      <c r="B835" s="26"/>
    </row>
    <row r="836" spans="2:2" ht="15.75" customHeight="1" x14ac:dyDescent="0.3">
      <c r="B836" s="26"/>
    </row>
    <row r="837" spans="2:2" ht="15.75" customHeight="1" x14ac:dyDescent="0.3">
      <c r="B837" s="26"/>
    </row>
    <row r="838" spans="2:2" ht="15.75" customHeight="1" x14ac:dyDescent="0.3">
      <c r="B838" s="26"/>
    </row>
    <row r="839" spans="2:2" ht="15.75" customHeight="1" x14ac:dyDescent="0.3">
      <c r="B839" s="26"/>
    </row>
    <row r="840" spans="2:2" ht="15.75" customHeight="1" x14ac:dyDescent="0.3">
      <c r="B840" s="26"/>
    </row>
    <row r="841" spans="2:2" ht="15.75" customHeight="1" x14ac:dyDescent="0.3">
      <c r="B841" s="26"/>
    </row>
    <row r="842" spans="2:2" ht="15.75" customHeight="1" x14ac:dyDescent="0.3">
      <c r="B842" s="26"/>
    </row>
    <row r="843" spans="2:2" ht="15.75" customHeight="1" x14ac:dyDescent="0.3">
      <c r="B843" s="26"/>
    </row>
    <row r="844" spans="2:2" ht="15.75" customHeight="1" x14ac:dyDescent="0.3">
      <c r="B844" s="26"/>
    </row>
    <row r="845" spans="2:2" ht="15.75" customHeight="1" x14ac:dyDescent="0.3">
      <c r="B845" s="26"/>
    </row>
    <row r="846" spans="2:2" ht="15.75" customHeight="1" x14ac:dyDescent="0.3">
      <c r="B846" s="26"/>
    </row>
    <row r="847" spans="2:2" ht="15.75" customHeight="1" x14ac:dyDescent="0.3">
      <c r="B847" s="26"/>
    </row>
    <row r="848" spans="2:2" ht="15.75" customHeight="1" x14ac:dyDescent="0.3">
      <c r="B848" s="26"/>
    </row>
    <row r="849" spans="2:2" ht="15.75" customHeight="1" x14ac:dyDescent="0.3">
      <c r="B849" s="26"/>
    </row>
    <row r="850" spans="2:2" ht="15.75" customHeight="1" x14ac:dyDescent="0.3">
      <c r="B850" s="26"/>
    </row>
    <row r="851" spans="2:2" ht="15.75" customHeight="1" x14ac:dyDescent="0.3">
      <c r="B851" s="26"/>
    </row>
    <row r="852" spans="2:2" ht="15.75" customHeight="1" x14ac:dyDescent="0.3">
      <c r="B852" s="26"/>
    </row>
    <row r="853" spans="2:2" ht="15.75" customHeight="1" x14ac:dyDescent="0.3">
      <c r="B853" s="26"/>
    </row>
    <row r="854" spans="2:2" ht="15.75" customHeight="1" x14ac:dyDescent="0.3">
      <c r="B854" s="26"/>
    </row>
    <row r="855" spans="2:2" ht="15.75" customHeight="1" x14ac:dyDescent="0.3">
      <c r="B855" s="26"/>
    </row>
    <row r="856" spans="2:2" ht="15.75" customHeight="1" x14ac:dyDescent="0.3">
      <c r="B856" s="26"/>
    </row>
    <row r="857" spans="2:2" ht="15.75" customHeight="1" x14ac:dyDescent="0.3">
      <c r="B857" s="26"/>
    </row>
    <row r="858" spans="2:2" ht="15.75" customHeight="1" x14ac:dyDescent="0.3">
      <c r="B858" s="26"/>
    </row>
    <row r="859" spans="2:2" ht="15.75" customHeight="1" x14ac:dyDescent="0.3">
      <c r="B859" s="26"/>
    </row>
    <row r="860" spans="2:2" ht="15.75" customHeight="1" x14ac:dyDescent="0.3">
      <c r="B860" s="26"/>
    </row>
    <row r="861" spans="2:2" ht="15.75" customHeight="1" x14ac:dyDescent="0.3">
      <c r="B861" s="26"/>
    </row>
    <row r="862" spans="2:2" ht="15.75" customHeight="1" x14ac:dyDescent="0.3">
      <c r="B862" s="26"/>
    </row>
    <row r="863" spans="2:2" ht="15.75" customHeight="1" x14ac:dyDescent="0.3">
      <c r="B863" s="26"/>
    </row>
    <row r="864" spans="2:2" ht="15.75" customHeight="1" x14ac:dyDescent="0.3">
      <c r="B864" s="26"/>
    </row>
    <row r="865" spans="2:2" ht="15.75" customHeight="1" x14ac:dyDescent="0.3">
      <c r="B865" s="26"/>
    </row>
    <row r="866" spans="2:2" ht="15.75" customHeight="1" x14ac:dyDescent="0.3">
      <c r="B866" s="26"/>
    </row>
    <row r="867" spans="2:2" ht="15.75" customHeight="1" x14ac:dyDescent="0.3">
      <c r="B867" s="26"/>
    </row>
    <row r="868" spans="2:2" ht="15.75" customHeight="1" x14ac:dyDescent="0.3">
      <c r="B868" s="26"/>
    </row>
    <row r="869" spans="2:2" ht="15.75" customHeight="1" x14ac:dyDescent="0.3">
      <c r="B869" s="26"/>
    </row>
    <row r="870" spans="2:2" ht="15.75" customHeight="1" x14ac:dyDescent="0.3">
      <c r="B870" s="26"/>
    </row>
    <row r="871" spans="2:2" ht="15.75" customHeight="1" x14ac:dyDescent="0.3">
      <c r="B871" s="26"/>
    </row>
    <row r="872" spans="2:2" ht="15.75" customHeight="1" x14ac:dyDescent="0.3">
      <c r="B872" s="26"/>
    </row>
    <row r="873" spans="2:2" ht="15.75" customHeight="1" x14ac:dyDescent="0.3">
      <c r="B873" s="26"/>
    </row>
    <row r="874" spans="2:2" ht="15.75" customHeight="1" x14ac:dyDescent="0.3">
      <c r="B874" s="26"/>
    </row>
    <row r="875" spans="2:2" ht="15.75" customHeight="1" x14ac:dyDescent="0.3">
      <c r="B875" s="26"/>
    </row>
    <row r="876" spans="2:2" ht="15.75" customHeight="1" x14ac:dyDescent="0.3">
      <c r="B876" s="26"/>
    </row>
    <row r="877" spans="2:2" ht="15.75" customHeight="1" x14ac:dyDescent="0.3">
      <c r="B877" s="26"/>
    </row>
    <row r="878" spans="2:2" ht="15.75" customHeight="1" x14ac:dyDescent="0.3">
      <c r="B878" s="26"/>
    </row>
    <row r="879" spans="2:2" ht="15.75" customHeight="1" x14ac:dyDescent="0.3">
      <c r="B879" s="26"/>
    </row>
    <row r="880" spans="2:2" ht="15.75" customHeight="1" x14ac:dyDescent="0.3">
      <c r="B880" s="26"/>
    </row>
    <row r="881" spans="2:2" ht="15.75" customHeight="1" x14ac:dyDescent="0.3">
      <c r="B881" s="26"/>
    </row>
    <row r="882" spans="2:2" ht="15.75" customHeight="1" x14ac:dyDescent="0.3">
      <c r="B882" s="26"/>
    </row>
    <row r="883" spans="2:2" ht="15.75" customHeight="1" x14ac:dyDescent="0.3">
      <c r="B883" s="26"/>
    </row>
    <row r="884" spans="2:2" ht="15.75" customHeight="1" x14ac:dyDescent="0.3">
      <c r="B884" s="26"/>
    </row>
    <row r="885" spans="2:2" ht="15.75" customHeight="1" x14ac:dyDescent="0.3">
      <c r="B885" s="26"/>
    </row>
    <row r="886" spans="2:2" ht="15.75" customHeight="1" x14ac:dyDescent="0.3">
      <c r="B886" s="26"/>
    </row>
    <row r="887" spans="2:2" ht="15.75" customHeight="1" x14ac:dyDescent="0.3">
      <c r="B887" s="26"/>
    </row>
    <row r="888" spans="2:2" ht="15.75" customHeight="1" x14ac:dyDescent="0.3">
      <c r="B888" s="26"/>
    </row>
    <row r="889" spans="2:2" ht="15.75" customHeight="1" x14ac:dyDescent="0.3">
      <c r="B889" s="26"/>
    </row>
    <row r="890" spans="2:2" ht="15.75" customHeight="1" x14ac:dyDescent="0.3">
      <c r="B890" s="26"/>
    </row>
    <row r="891" spans="2:2" ht="15.75" customHeight="1" x14ac:dyDescent="0.3">
      <c r="B891" s="26"/>
    </row>
    <row r="892" spans="2:2" ht="15.75" customHeight="1" x14ac:dyDescent="0.3">
      <c r="B892" s="26"/>
    </row>
    <row r="893" spans="2:2" ht="15.75" customHeight="1" x14ac:dyDescent="0.3">
      <c r="B893" s="26"/>
    </row>
    <row r="894" spans="2:2" ht="15.75" customHeight="1" x14ac:dyDescent="0.3">
      <c r="B894" s="26"/>
    </row>
    <row r="895" spans="2:2" ht="15.75" customHeight="1" x14ac:dyDescent="0.3">
      <c r="B895" s="26"/>
    </row>
    <row r="896" spans="2:2" ht="15.75" customHeight="1" x14ac:dyDescent="0.3">
      <c r="B896" s="26"/>
    </row>
    <row r="897" spans="2:2" ht="15.75" customHeight="1" x14ac:dyDescent="0.3">
      <c r="B897" s="26"/>
    </row>
    <row r="898" spans="2:2" ht="15.75" customHeight="1" x14ac:dyDescent="0.3">
      <c r="B898" s="26"/>
    </row>
    <row r="899" spans="2:2" ht="15.75" customHeight="1" x14ac:dyDescent="0.3">
      <c r="B899" s="26"/>
    </row>
    <row r="900" spans="2:2" ht="15.75" customHeight="1" x14ac:dyDescent="0.3">
      <c r="B900" s="26"/>
    </row>
    <row r="901" spans="2:2" ht="15.75" customHeight="1" x14ac:dyDescent="0.3">
      <c r="B901" s="26"/>
    </row>
    <row r="902" spans="2:2" ht="15.75" customHeight="1" x14ac:dyDescent="0.3">
      <c r="B902" s="26"/>
    </row>
    <row r="903" spans="2:2" ht="15.75" customHeight="1" x14ac:dyDescent="0.3">
      <c r="B903" s="26"/>
    </row>
    <row r="904" spans="2:2" ht="15.75" customHeight="1" x14ac:dyDescent="0.3">
      <c r="B904" s="26"/>
    </row>
    <row r="905" spans="2:2" ht="15.75" customHeight="1" x14ac:dyDescent="0.3">
      <c r="B905" s="26"/>
    </row>
    <row r="906" spans="2:2" ht="15.75" customHeight="1" x14ac:dyDescent="0.3">
      <c r="B906" s="26"/>
    </row>
    <row r="907" spans="2:2" ht="15.75" customHeight="1" x14ac:dyDescent="0.3">
      <c r="B907" s="26"/>
    </row>
    <row r="908" spans="2:2" ht="15.75" customHeight="1" x14ac:dyDescent="0.3">
      <c r="B908" s="26"/>
    </row>
    <row r="909" spans="2:2" ht="15.75" customHeight="1" x14ac:dyDescent="0.3">
      <c r="B909" s="26"/>
    </row>
    <row r="910" spans="2:2" ht="15.75" customHeight="1" x14ac:dyDescent="0.3">
      <c r="B910" s="26"/>
    </row>
    <row r="911" spans="2:2" ht="15.75" customHeight="1" x14ac:dyDescent="0.3">
      <c r="B911" s="26"/>
    </row>
    <row r="912" spans="2:2" ht="15.75" customHeight="1" x14ac:dyDescent="0.3">
      <c r="B912" s="26"/>
    </row>
    <row r="913" spans="2:2" ht="15.75" customHeight="1" x14ac:dyDescent="0.3">
      <c r="B913" s="26"/>
    </row>
    <row r="914" spans="2:2" ht="15.75" customHeight="1" x14ac:dyDescent="0.3">
      <c r="B914" s="26"/>
    </row>
    <row r="915" spans="2:2" ht="15.75" customHeight="1" x14ac:dyDescent="0.3">
      <c r="B915" s="26"/>
    </row>
    <row r="916" spans="2:2" ht="15.75" customHeight="1" x14ac:dyDescent="0.3">
      <c r="B916" s="26"/>
    </row>
    <row r="917" spans="2:2" ht="15.75" customHeight="1" x14ac:dyDescent="0.3">
      <c r="B917" s="26"/>
    </row>
    <row r="918" spans="2:2" ht="15.75" customHeight="1" x14ac:dyDescent="0.3">
      <c r="B918" s="26"/>
    </row>
    <row r="919" spans="2:2" ht="15.75" customHeight="1" x14ac:dyDescent="0.3">
      <c r="B919" s="26"/>
    </row>
    <row r="920" spans="2:2" ht="15.75" customHeight="1" x14ac:dyDescent="0.3">
      <c r="B920" s="26"/>
    </row>
    <row r="921" spans="2:2" ht="15.75" customHeight="1" x14ac:dyDescent="0.3">
      <c r="B921" s="26"/>
    </row>
    <row r="922" spans="2:2" ht="15.75" customHeight="1" x14ac:dyDescent="0.3">
      <c r="B922" s="26"/>
    </row>
    <row r="923" spans="2:2" ht="15.75" customHeight="1" x14ac:dyDescent="0.3">
      <c r="B923" s="26"/>
    </row>
    <row r="924" spans="2:2" ht="15.75" customHeight="1" x14ac:dyDescent="0.3">
      <c r="B924" s="26"/>
    </row>
    <row r="925" spans="2:2" ht="15.75" customHeight="1" x14ac:dyDescent="0.3">
      <c r="B925" s="26"/>
    </row>
    <row r="926" spans="2:2" ht="15.75" customHeight="1" x14ac:dyDescent="0.3">
      <c r="B926" s="26"/>
    </row>
    <row r="927" spans="2:2" ht="15.75" customHeight="1" x14ac:dyDescent="0.3">
      <c r="B927" s="26"/>
    </row>
    <row r="928" spans="2:2" ht="15.75" customHeight="1" x14ac:dyDescent="0.3">
      <c r="B928" s="26"/>
    </row>
    <row r="929" spans="2:2" ht="15.75" customHeight="1" x14ac:dyDescent="0.3">
      <c r="B929" s="26"/>
    </row>
    <row r="930" spans="2:2" ht="15.75" customHeight="1" x14ac:dyDescent="0.3">
      <c r="B930" s="26"/>
    </row>
    <row r="931" spans="2:2" ht="15.75" customHeight="1" x14ac:dyDescent="0.3">
      <c r="B931" s="26"/>
    </row>
    <row r="932" spans="2:2" ht="15.75" customHeight="1" x14ac:dyDescent="0.3">
      <c r="B932" s="26"/>
    </row>
    <row r="933" spans="2:2" ht="15.75" customHeight="1" x14ac:dyDescent="0.3">
      <c r="B933" s="26"/>
    </row>
    <row r="934" spans="2:2" ht="15.75" customHeight="1" x14ac:dyDescent="0.3">
      <c r="B934" s="26"/>
    </row>
    <row r="935" spans="2:2" ht="15.75" customHeight="1" x14ac:dyDescent="0.3">
      <c r="B935" s="26"/>
    </row>
    <row r="936" spans="2:2" ht="15.75" customHeight="1" x14ac:dyDescent="0.3">
      <c r="B936" s="26"/>
    </row>
    <row r="937" spans="2:2" ht="15.75" customHeight="1" x14ac:dyDescent="0.3">
      <c r="B937" s="26"/>
    </row>
    <row r="938" spans="2:2" ht="15.75" customHeight="1" x14ac:dyDescent="0.3">
      <c r="B938" s="26"/>
    </row>
    <row r="939" spans="2:2" ht="15.75" customHeight="1" x14ac:dyDescent="0.3">
      <c r="B939" s="26"/>
    </row>
    <row r="940" spans="2:2" ht="15.75" customHeight="1" x14ac:dyDescent="0.3">
      <c r="B940" s="26"/>
    </row>
    <row r="941" spans="2:2" ht="15.75" customHeight="1" x14ac:dyDescent="0.3">
      <c r="B941" s="26"/>
    </row>
    <row r="942" spans="2:2" ht="15.75" customHeight="1" x14ac:dyDescent="0.3">
      <c r="B942" s="26"/>
    </row>
    <row r="943" spans="2:2" ht="15.75" customHeight="1" x14ac:dyDescent="0.3">
      <c r="B943" s="26"/>
    </row>
    <row r="944" spans="2:2" ht="15.75" customHeight="1" x14ac:dyDescent="0.3">
      <c r="B944" s="26"/>
    </row>
    <row r="945" spans="2:2" ht="15.75" customHeight="1" x14ac:dyDescent="0.3">
      <c r="B945" s="26"/>
    </row>
    <row r="946" spans="2:2" ht="15.75" customHeight="1" x14ac:dyDescent="0.3">
      <c r="B946" s="26"/>
    </row>
    <row r="947" spans="2:2" ht="15.75" customHeight="1" x14ac:dyDescent="0.3">
      <c r="B947" s="26"/>
    </row>
    <row r="948" spans="2:2" ht="15.75" customHeight="1" x14ac:dyDescent="0.3">
      <c r="B948" s="26"/>
    </row>
    <row r="949" spans="2:2" ht="15.75" customHeight="1" x14ac:dyDescent="0.3">
      <c r="B949" s="26"/>
    </row>
    <row r="950" spans="2:2" ht="15.75" customHeight="1" x14ac:dyDescent="0.3">
      <c r="B950" s="26"/>
    </row>
    <row r="951" spans="2:2" ht="15.75" customHeight="1" x14ac:dyDescent="0.3">
      <c r="B951" s="26"/>
    </row>
    <row r="952" spans="2:2" ht="15.75" customHeight="1" x14ac:dyDescent="0.3">
      <c r="B952" s="26"/>
    </row>
    <row r="953" spans="2:2" ht="15.75" customHeight="1" x14ac:dyDescent="0.3">
      <c r="B953" s="26"/>
    </row>
    <row r="954" spans="2:2" ht="15.75" customHeight="1" x14ac:dyDescent="0.3">
      <c r="B954" s="26"/>
    </row>
    <row r="955" spans="2:2" ht="15.75" customHeight="1" x14ac:dyDescent="0.3">
      <c r="B955" s="26"/>
    </row>
    <row r="956" spans="2:2" ht="15.75" customHeight="1" x14ac:dyDescent="0.3">
      <c r="B956" s="26"/>
    </row>
    <row r="957" spans="2:2" ht="15.75" customHeight="1" x14ac:dyDescent="0.3">
      <c r="B957" s="26"/>
    </row>
    <row r="958" spans="2:2" ht="15.75" customHeight="1" x14ac:dyDescent="0.3">
      <c r="B958" s="26"/>
    </row>
    <row r="959" spans="2:2" ht="15.75" customHeight="1" x14ac:dyDescent="0.3">
      <c r="B959" s="26"/>
    </row>
    <row r="960" spans="2:2" ht="15.75" customHeight="1" x14ac:dyDescent="0.3">
      <c r="B960" s="26"/>
    </row>
    <row r="961" spans="2:2" ht="15.75" customHeight="1" x14ac:dyDescent="0.3">
      <c r="B961" s="26"/>
    </row>
    <row r="962" spans="2:2" ht="15.75" customHeight="1" x14ac:dyDescent="0.3">
      <c r="B962" s="26"/>
    </row>
    <row r="963" spans="2:2" ht="15.75" customHeight="1" x14ac:dyDescent="0.3">
      <c r="B963" s="26"/>
    </row>
    <row r="964" spans="2:2" ht="15.75" customHeight="1" x14ac:dyDescent="0.3">
      <c r="B964" s="26"/>
    </row>
    <row r="965" spans="2:2" ht="15.75" customHeight="1" x14ac:dyDescent="0.3">
      <c r="B965" s="26"/>
    </row>
    <row r="966" spans="2:2" ht="15.75" customHeight="1" x14ac:dyDescent="0.3">
      <c r="B966" s="26"/>
    </row>
    <row r="967" spans="2:2" ht="15.75" customHeight="1" x14ac:dyDescent="0.3">
      <c r="B967" s="26"/>
    </row>
    <row r="968" spans="2:2" ht="15.75" customHeight="1" x14ac:dyDescent="0.3">
      <c r="B968" s="26"/>
    </row>
    <row r="969" spans="2:2" ht="15.75" customHeight="1" x14ac:dyDescent="0.3">
      <c r="B969" s="26"/>
    </row>
    <row r="970" spans="2:2" ht="15.75" customHeight="1" x14ac:dyDescent="0.3">
      <c r="B970" s="26"/>
    </row>
    <row r="971" spans="2:2" ht="15.75" customHeight="1" x14ac:dyDescent="0.3">
      <c r="B971" s="26"/>
    </row>
    <row r="972" spans="2:2" ht="15.75" customHeight="1" x14ac:dyDescent="0.3">
      <c r="B972" s="26"/>
    </row>
    <row r="973" spans="2:2" ht="15.75" customHeight="1" x14ac:dyDescent="0.3">
      <c r="B973" s="26"/>
    </row>
    <row r="974" spans="2:2" ht="15.75" customHeight="1" x14ac:dyDescent="0.3">
      <c r="B974" s="26"/>
    </row>
    <row r="975" spans="2:2" ht="15.75" customHeight="1" x14ac:dyDescent="0.3">
      <c r="B975" s="26"/>
    </row>
    <row r="976" spans="2:2" ht="15.75" customHeight="1" x14ac:dyDescent="0.3">
      <c r="B976" s="26"/>
    </row>
    <row r="977" spans="2:2" ht="15.75" customHeight="1" x14ac:dyDescent="0.3">
      <c r="B977" s="26"/>
    </row>
    <row r="978" spans="2:2" ht="15.75" customHeight="1" x14ac:dyDescent="0.3">
      <c r="B978" s="26"/>
    </row>
    <row r="979" spans="2:2" ht="15.75" customHeight="1" x14ac:dyDescent="0.3">
      <c r="B979" s="26"/>
    </row>
    <row r="980" spans="2:2" ht="15.75" customHeight="1" x14ac:dyDescent="0.3">
      <c r="B980" s="26"/>
    </row>
    <row r="981" spans="2:2" ht="15.75" customHeight="1" x14ac:dyDescent="0.3">
      <c r="B981" s="26"/>
    </row>
    <row r="982" spans="2:2" ht="15.75" customHeight="1" x14ac:dyDescent="0.3">
      <c r="B982" s="26"/>
    </row>
    <row r="983" spans="2:2" ht="15.75" customHeight="1" x14ac:dyDescent="0.3">
      <c r="B983" s="26"/>
    </row>
    <row r="984" spans="2:2" ht="15.75" customHeight="1" x14ac:dyDescent="0.3">
      <c r="B984" s="26"/>
    </row>
    <row r="985" spans="2:2" ht="15.75" customHeight="1" x14ac:dyDescent="0.3">
      <c r="B985" s="26"/>
    </row>
    <row r="986" spans="2:2" ht="15.75" customHeight="1" x14ac:dyDescent="0.3">
      <c r="B986" s="26"/>
    </row>
    <row r="987" spans="2:2" ht="15.75" customHeight="1" x14ac:dyDescent="0.3">
      <c r="B987" s="26"/>
    </row>
    <row r="988" spans="2:2" ht="15.75" customHeight="1" x14ac:dyDescent="0.3">
      <c r="B988" s="26"/>
    </row>
    <row r="989" spans="2:2" ht="15.75" customHeight="1" x14ac:dyDescent="0.3">
      <c r="B989" s="26"/>
    </row>
    <row r="990" spans="2:2" ht="15.75" customHeight="1" x14ac:dyDescent="0.3">
      <c r="B990" s="26"/>
    </row>
    <row r="991" spans="2:2" ht="15.75" customHeight="1" x14ac:dyDescent="0.3">
      <c r="B991" s="26"/>
    </row>
    <row r="992" spans="2:2" ht="15.75" customHeight="1" x14ac:dyDescent="0.3">
      <c r="B992" s="26"/>
    </row>
    <row r="993" spans="2:2" ht="15.75" customHeight="1" x14ac:dyDescent="0.3">
      <c r="B993" s="26"/>
    </row>
    <row r="994" spans="2:2" ht="15.75" customHeight="1" x14ac:dyDescent="0.3">
      <c r="B994" s="26"/>
    </row>
    <row r="995" spans="2:2" ht="15.75" customHeight="1" x14ac:dyDescent="0.3">
      <c r="B995" s="26"/>
    </row>
    <row r="996" spans="2:2" ht="15.75" customHeight="1" x14ac:dyDescent="0.3">
      <c r="B996" s="26"/>
    </row>
    <row r="997" spans="2:2" ht="15.75" customHeight="1" x14ac:dyDescent="0.3">
      <c r="B997" s="26"/>
    </row>
    <row r="998" spans="2:2" ht="15.75" customHeight="1" x14ac:dyDescent="0.3">
      <c r="B998" s="26"/>
    </row>
  </sheetData>
  <mergeCells count="21">
    <mergeCell ref="A60:G60"/>
    <mergeCell ref="A61:G61"/>
    <mergeCell ref="A55:G55"/>
    <mergeCell ref="A56:G56"/>
    <mergeCell ref="A57:G57"/>
    <mergeCell ref="A58:G58"/>
    <mergeCell ref="A59:G59"/>
    <mergeCell ref="A62:G62"/>
    <mergeCell ref="A63:G63"/>
    <mergeCell ref="A64:G64"/>
    <mergeCell ref="A65:G65"/>
    <mergeCell ref="A66:G66"/>
    <mergeCell ref="B37:B38"/>
    <mergeCell ref="C37:G38"/>
    <mergeCell ref="A1:H1"/>
    <mergeCell ref="A3:A40"/>
    <mergeCell ref="H3:H40"/>
    <mergeCell ref="B4:B23"/>
    <mergeCell ref="B31:B32"/>
    <mergeCell ref="C31:G32"/>
    <mergeCell ref="B33:B36"/>
  </mergeCells>
  <hyperlinks>
    <hyperlink ref="D39" r:id="rId1" xr:uid="{00000000-0004-0000-0300-000000000000}"/>
    <hyperlink ref="C46" r:id="rId2" xr:uid="{00000000-0004-0000-0300-000001000000}"/>
    <hyperlink ref="A1:H1" r:id="rId3" display="Open Frame Server 55U Rack" xr:uid="{297FAF6C-34D4-4BA0-A61B-322A505614BF}"/>
    <hyperlink ref="C47" r:id="rId4" xr:uid="{2EDFD489-02E6-463C-A2A0-2B83034E853C}"/>
  </hyperlinks>
  <pageMargins left="0.7" right="0.7" top="0.75" bottom="0.75" header="0" footer="0"/>
  <pageSetup orientation="landscape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92"/>
  <sheetViews>
    <sheetView topLeftCell="A36" workbookViewId="0">
      <selection activeCell="J26" sqref="J26"/>
    </sheetView>
  </sheetViews>
  <sheetFormatPr defaultColWidth="14.44140625" defaultRowHeight="15" customHeight="1" x14ac:dyDescent="0.3"/>
  <cols>
    <col min="1" max="1" width="12.77734375" customWidth="1"/>
    <col min="2" max="2" width="8.6640625" customWidth="1"/>
    <col min="3" max="3" width="23.33203125" customWidth="1"/>
    <col min="4" max="4" width="29.6640625" customWidth="1"/>
    <col min="5" max="5" width="28.109375" customWidth="1"/>
    <col min="6" max="6" width="26.88671875" customWidth="1"/>
    <col min="7" max="8" width="8.6640625" customWidth="1"/>
    <col min="10" max="10" width="27.33203125" customWidth="1"/>
  </cols>
  <sheetData>
    <row r="1" spans="1:11" ht="14.25" customHeight="1" thickBot="1" x14ac:dyDescent="0.35">
      <c r="A1" s="233" t="s">
        <v>283</v>
      </c>
      <c r="B1" s="234"/>
      <c r="C1" s="234"/>
      <c r="D1" s="234"/>
      <c r="E1" s="234"/>
      <c r="F1" s="234"/>
      <c r="G1" s="234"/>
      <c r="H1" s="235"/>
    </row>
    <row r="2" spans="1:11" ht="14.25" customHeight="1" thickBot="1" x14ac:dyDescent="0.35">
      <c r="A2" s="24" t="s">
        <v>233</v>
      </c>
      <c r="B2" s="70" t="s">
        <v>234</v>
      </c>
      <c r="C2" s="71" t="s">
        <v>235</v>
      </c>
      <c r="D2" s="71" t="s">
        <v>236</v>
      </c>
      <c r="E2" s="71" t="s">
        <v>237</v>
      </c>
      <c r="F2" s="71" t="s">
        <v>238</v>
      </c>
      <c r="G2" s="72" t="s">
        <v>239</v>
      </c>
      <c r="H2" s="59" t="s">
        <v>233</v>
      </c>
    </row>
    <row r="3" spans="1:11" ht="14.25" customHeight="1" thickBot="1" x14ac:dyDescent="0.35">
      <c r="A3" s="236" t="s">
        <v>240</v>
      </c>
      <c r="B3" s="73">
        <v>1</v>
      </c>
      <c r="C3" s="74" t="s">
        <v>241</v>
      </c>
      <c r="D3" s="74" t="s">
        <v>285</v>
      </c>
      <c r="E3" s="74">
        <v>72</v>
      </c>
      <c r="F3" s="74"/>
      <c r="G3" s="75"/>
      <c r="H3" s="236" t="s">
        <v>240</v>
      </c>
    </row>
    <row r="4" spans="1:11" ht="14.25" customHeight="1" x14ac:dyDescent="0.3">
      <c r="A4" s="181"/>
      <c r="B4" s="237">
        <v>13</v>
      </c>
      <c r="C4" s="76" t="s">
        <v>242</v>
      </c>
      <c r="D4" s="76" t="s">
        <v>174</v>
      </c>
      <c r="E4" s="76"/>
      <c r="F4" s="77"/>
      <c r="G4" s="77"/>
      <c r="H4" s="181"/>
    </row>
    <row r="5" spans="1:11" ht="14.25" customHeight="1" x14ac:dyDescent="0.3">
      <c r="A5" s="181"/>
      <c r="B5" s="238"/>
      <c r="C5" s="78" t="s">
        <v>243</v>
      </c>
      <c r="D5" s="78" t="str">
        <f>'Tech Stack'!B52</f>
        <v>C9400-SUP-1XL</v>
      </c>
      <c r="E5" s="78">
        <v>2</v>
      </c>
      <c r="F5" s="78">
        <v>350</v>
      </c>
      <c r="G5" s="79">
        <f>ABS(F5)*3.41</f>
        <v>1193.5</v>
      </c>
      <c r="H5" s="181"/>
    </row>
    <row r="6" spans="1:11" ht="14.25" customHeight="1" x14ac:dyDescent="0.3">
      <c r="A6" s="181"/>
      <c r="B6" s="238"/>
      <c r="C6" s="78" t="s">
        <v>243</v>
      </c>
      <c r="D6" s="78" t="str">
        <f>'Tech Stack'!B52</f>
        <v>C9400-SUP-1XL</v>
      </c>
      <c r="E6" s="78">
        <v>2</v>
      </c>
      <c r="F6" s="78">
        <v>350</v>
      </c>
      <c r="G6" s="79">
        <f>ABS(F6)*3.41</f>
        <v>1193.5</v>
      </c>
      <c r="H6" s="181"/>
    </row>
    <row r="7" spans="1:11" ht="14.25" customHeight="1" x14ac:dyDescent="0.3">
      <c r="A7" s="181"/>
      <c r="B7" s="238"/>
      <c r="C7" s="78" t="s">
        <v>244</v>
      </c>
      <c r="D7" s="78" t="str">
        <f>'Tech Stack'!B56</f>
        <v>C9400-LC-12QC (12x40GE)</v>
      </c>
      <c r="E7" s="78">
        <v>12</v>
      </c>
      <c r="F7" s="78">
        <v>280</v>
      </c>
      <c r="G7" s="79">
        <f t="shared" ref="G7" si="0">ABS(F7)*3.41</f>
        <v>954.80000000000007</v>
      </c>
      <c r="H7" s="181"/>
    </row>
    <row r="8" spans="1:11" ht="14.25" customHeight="1" x14ac:dyDescent="0.3">
      <c r="A8" s="181"/>
      <c r="B8" s="238"/>
      <c r="C8" s="78" t="s">
        <v>245</v>
      </c>
      <c r="D8" s="78" t="str">
        <f>'Tech Stack'!B53</f>
        <v>C9400-LC-48P</v>
      </c>
      <c r="E8" s="78">
        <v>48</v>
      </c>
      <c r="F8" s="78">
        <f>(65)</f>
        <v>65</v>
      </c>
      <c r="G8" s="79">
        <f>(ABS(F8)*3.41)</f>
        <v>221.65</v>
      </c>
      <c r="H8" s="181"/>
    </row>
    <row r="9" spans="1:11" ht="14.25" customHeight="1" x14ac:dyDescent="0.3">
      <c r="A9" s="181"/>
      <c r="B9" s="238"/>
      <c r="C9" s="78" t="s">
        <v>245</v>
      </c>
      <c r="D9" s="78" t="str">
        <f>'Tech Stack'!B53</f>
        <v>C9400-LC-48P</v>
      </c>
      <c r="E9" s="78">
        <v>48</v>
      </c>
      <c r="F9" s="78">
        <f>(65)</f>
        <v>65</v>
      </c>
      <c r="G9" s="79">
        <f t="shared" ref="G9:G12" si="1">(ABS(F9)*3.41)</f>
        <v>221.65</v>
      </c>
      <c r="H9" s="181"/>
    </row>
    <row r="10" spans="1:11" ht="14.25" customHeight="1" x14ac:dyDescent="0.3">
      <c r="A10" s="181"/>
      <c r="B10" s="238"/>
      <c r="C10" s="78" t="s">
        <v>245</v>
      </c>
      <c r="D10" s="78" t="str">
        <f>'Tech Stack'!B53</f>
        <v>C9400-LC-48P</v>
      </c>
      <c r="E10" s="78">
        <v>48</v>
      </c>
      <c r="F10" s="78">
        <f>(65)</f>
        <v>65</v>
      </c>
      <c r="G10" s="79">
        <f t="shared" si="1"/>
        <v>221.65</v>
      </c>
      <c r="H10" s="181"/>
    </row>
    <row r="11" spans="1:11" ht="14.25" customHeight="1" x14ac:dyDescent="0.3">
      <c r="A11" s="181"/>
      <c r="B11" s="238"/>
      <c r="C11" s="78" t="s">
        <v>245</v>
      </c>
      <c r="D11" s="78" t="str">
        <f>'Tech Stack'!B53</f>
        <v>C9400-LC-48P</v>
      </c>
      <c r="E11" s="78">
        <v>48</v>
      </c>
      <c r="F11" s="78">
        <f>(65)</f>
        <v>65</v>
      </c>
      <c r="G11" s="79">
        <f t="shared" si="1"/>
        <v>221.65</v>
      </c>
      <c r="H11" s="181"/>
    </row>
    <row r="12" spans="1:11" ht="14.25" customHeight="1" x14ac:dyDescent="0.3">
      <c r="A12" s="181"/>
      <c r="B12" s="238"/>
      <c r="C12" s="78" t="s">
        <v>245</v>
      </c>
      <c r="D12" s="78" t="str">
        <f>'Tech Stack'!B53</f>
        <v>C9400-LC-48P</v>
      </c>
      <c r="E12" s="78">
        <v>48</v>
      </c>
      <c r="F12" s="78">
        <f>(65)</f>
        <v>65</v>
      </c>
      <c r="G12" s="79">
        <f t="shared" si="1"/>
        <v>221.65</v>
      </c>
      <c r="H12" s="181"/>
    </row>
    <row r="13" spans="1:11" ht="14.25" customHeight="1" x14ac:dyDescent="0.3">
      <c r="A13" s="181"/>
      <c r="B13" s="238"/>
      <c r="C13" s="78" t="s">
        <v>246</v>
      </c>
      <c r="D13" s="78" t="str">
        <f>'Tech Stack'!B53</f>
        <v>C9400-LC-48P</v>
      </c>
      <c r="E13" s="78">
        <v>48</v>
      </c>
      <c r="F13" s="78">
        <f>(20*30*1.3+65)</f>
        <v>845</v>
      </c>
      <c r="G13" s="79">
        <v>250</v>
      </c>
      <c r="H13" s="181"/>
    </row>
    <row r="14" spans="1:11" ht="14.25" customHeight="1" x14ac:dyDescent="0.3">
      <c r="A14" s="181"/>
      <c r="B14" s="238"/>
      <c r="C14" s="78" t="s">
        <v>247</v>
      </c>
      <c r="D14" s="78" t="str">
        <f>'Tech Stack'!B57</f>
        <v>C9400-LC-48UX</v>
      </c>
      <c r="E14" s="78">
        <v>48</v>
      </c>
      <c r="F14" s="78">
        <f>(20*60*1.3+70)</f>
        <v>1630</v>
      </c>
      <c r="G14" s="79">
        <v>250</v>
      </c>
      <c r="H14" s="181"/>
      <c r="J14" t="s">
        <v>281</v>
      </c>
      <c r="K14">
        <f>SUM(F5:F14,F23)</f>
        <v>4380</v>
      </c>
    </row>
    <row r="15" spans="1:11" ht="14.25" customHeight="1" x14ac:dyDescent="0.3">
      <c r="A15" s="181"/>
      <c r="B15" s="238"/>
      <c r="C15" s="80" t="s">
        <v>248</v>
      </c>
      <c r="D15" s="81" t="s">
        <v>249</v>
      </c>
      <c r="E15" s="80"/>
      <c r="F15" s="82">
        <v>3200</v>
      </c>
      <c r="G15" s="82">
        <v>950</v>
      </c>
      <c r="H15" s="181"/>
      <c r="J15" t="s">
        <v>282</v>
      </c>
      <c r="K15">
        <f>SUM(F15:F22)</f>
        <v>9600</v>
      </c>
    </row>
    <row r="16" spans="1:11" ht="14.25" customHeight="1" x14ac:dyDescent="0.3">
      <c r="A16" s="181"/>
      <c r="B16" s="238"/>
      <c r="C16" s="80" t="s">
        <v>248</v>
      </c>
      <c r="D16" s="83" t="s">
        <v>249</v>
      </c>
      <c r="E16" s="80"/>
      <c r="F16" s="84">
        <v>3200</v>
      </c>
      <c r="G16" s="82">
        <v>950</v>
      </c>
      <c r="H16" s="181"/>
    </row>
    <row r="17" spans="1:8" ht="14.25" customHeight="1" x14ac:dyDescent="0.3">
      <c r="A17" s="181"/>
      <c r="B17" s="238"/>
      <c r="C17" s="80" t="s">
        <v>248</v>
      </c>
      <c r="D17" s="83" t="s">
        <v>249</v>
      </c>
      <c r="E17" s="80"/>
      <c r="F17" s="84">
        <v>3200</v>
      </c>
      <c r="G17" s="82">
        <v>950</v>
      </c>
      <c r="H17" s="181"/>
    </row>
    <row r="18" spans="1:8" ht="14.25" customHeight="1" x14ac:dyDescent="0.3">
      <c r="A18" s="181"/>
      <c r="B18" s="238"/>
      <c r="C18" s="80" t="s">
        <v>248</v>
      </c>
      <c r="D18" s="83"/>
      <c r="E18" s="85"/>
      <c r="F18" s="84"/>
      <c r="G18" s="84">
        <f t="shared" ref="G18:G23" si="2">ABS(F18)*3.41</f>
        <v>0</v>
      </c>
      <c r="H18" s="181"/>
    </row>
    <row r="19" spans="1:8" ht="14.25" customHeight="1" x14ac:dyDescent="0.3">
      <c r="A19" s="181"/>
      <c r="B19" s="238"/>
      <c r="C19" s="80" t="s">
        <v>248</v>
      </c>
      <c r="D19" s="83"/>
      <c r="E19" s="85"/>
      <c r="F19" s="84"/>
      <c r="G19" s="84">
        <f t="shared" si="2"/>
        <v>0</v>
      </c>
      <c r="H19" s="181"/>
    </row>
    <row r="20" spans="1:8" ht="14.25" customHeight="1" x14ac:dyDescent="0.3">
      <c r="A20" s="181"/>
      <c r="B20" s="238"/>
      <c r="C20" s="80" t="s">
        <v>248</v>
      </c>
      <c r="D20" s="83"/>
      <c r="E20" s="85"/>
      <c r="F20" s="84"/>
      <c r="G20" s="84">
        <f t="shared" si="2"/>
        <v>0</v>
      </c>
      <c r="H20" s="181"/>
    </row>
    <row r="21" spans="1:8" ht="14.25" customHeight="1" x14ac:dyDescent="0.3">
      <c r="A21" s="181"/>
      <c r="B21" s="238"/>
      <c r="C21" s="80" t="s">
        <v>248</v>
      </c>
      <c r="D21" s="83"/>
      <c r="E21" s="85"/>
      <c r="F21" s="84"/>
      <c r="G21" s="84">
        <f t="shared" si="2"/>
        <v>0</v>
      </c>
      <c r="H21" s="181"/>
    </row>
    <row r="22" spans="1:8" ht="14.25" customHeight="1" x14ac:dyDescent="0.3">
      <c r="A22" s="181"/>
      <c r="B22" s="238"/>
      <c r="C22" s="86" t="s">
        <v>248</v>
      </c>
      <c r="D22" s="87"/>
      <c r="E22" s="88"/>
      <c r="F22" s="89"/>
      <c r="G22" s="89">
        <f t="shared" si="2"/>
        <v>0</v>
      </c>
      <c r="H22" s="181"/>
    </row>
    <row r="23" spans="1:8" ht="14.25" customHeight="1" thickBot="1" x14ac:dyDescent="0.35">
      <c r="A23" s="181"/>
      <c r="B23" s="239"/>
      <c r="C23" s="90" t="s">
        <v>250</v>
      </c>
      <c r="D23" s="91" t="s">
        <v>251</v>
      </c>
      <c r="E23" s="91"/>
      <c r="F23" s="91">
        <v>600</v>
      </c>
      <c r="G23" s="92">
        <f t="shared" si="2"/>
        <v>2046</v>
      </c>
      <c r="H23" s="181"/>
    </row>
    <row r="24" spans="1:8" ht="14.25" customHeight="1" x14ac:dyDescent="0.3">
      <c r="A24" s="181"/>
      <c r="B24" s="93">
        <v>2</v>
      </c>
      <c r="C24" s="94" t="s">
        <v>252</v>
      </c>
      <c r="D24" s="95" t="s">
        <v>253</v>
      </c>
      <c r="E24" s="94">
        <v>48</v>
      </c>
      <c r="F24" s="94"/>
      <c r="G24" s="96"/>
      <c r="H24" s="181"/>
    </row>
    <row r="25" spans="1:8" ht="14.25" customHeight="1" x14ac:dyDescent="0.3">
      <c r="A25" s="181"/>
      <c r="B25" s="97">
        <v>2</v>
      </c>
      <c r="C25" s="98" t="s">
        <v>252</v>
      </c>
      <c r="D25" s="99" t="s">
        <v>253</v>
      </c>
      <c r="E25" s="98">
        <v>48</v>
      </c>
      <c r="F25" s="100"/>
      <c r="G25" s="101"/>
      <c r="H25" s="181"/>
    </row>
    <row r="26" spans="1:8" ht="14.25" customHeight="1" x14ac:dyDescent="0.3">
      <c r="A26" s="181"/>
      <c r="B26" s="97">
        <v>2</v>
      </c>
      <c r="C26" s="98" t="s">
        <v>252</v>
      </c>
      <c r="D26" s="99" t="s">
        <v>253</v>
      </c>
      <c r="E26" s="98">
        <v>48</v>
      </c>
      <c r="F26" s="100"/>
      <c r="G26" s="101"/>
      <c r="H26" s="181"/>
    </row>
    <row r="27" spans="1:8" ht="14.25" customHeight="1" x14ac:dyDescent="0.3">
      <c r="A27" s="181"/>
      <c r="B27" s="97">
        <v>2</v>
      </c>
      <c r="C27" s="98" t="s">
        <v>252</v>
      </c>
      <c r="D27" s="99" t="s">
        <v>253</v>
      </c>
      <c r="E27" s="98">
        <v>48</v>
      </c>
      <c r="F27" s="100"/>
      <c r="G27" s="101"/>
      <c r="H27" s="181"/>
    </row>
    <row r="28" spans="1:8" ht="14.25" customHeight="1" x14ac:dyDescent="0.3">
      <c r="A28" s="181"/>
      <c r="B28" s="97">
        <v>2</v>
      </c>
      <c r="C28" s="74" t="s">
        <v>252</v>
      </c>
      <c r="D28" s="73" t="s">
        <v>253</v>
      </c>
      <c r="E28" s="74">
        <v>48</v>
      </c>
      <c r="F28" s="102"/>
      <c r="G28" s="103"/>
      <c r="H28" s="181"/>
    </row>
    <row r="29" spans="1:8" ht="14.25" customHeight="1" x14ac:dyDescent="0.3">
      <c r="A29" s="181"/>
      <c r="B29" s="97">
        <v>2</v>
      </c>
      <c r="C29" s="100" t="s">
        <v>252</v>
      </c>
      <c r="D29" s="104" t="s">
        <v>253</v>
      </c>
      <c r="E29" s="100">
        <v>48</v>
      </c>
      <c r="F29" s="100"/>
      <c r="G29" s="101"/>
      <c r="H29" s="181"/>
    </row>
    <row r="30" spans="1:8" ht="14.25" customHeight="1" thickBot="1" x14ac:dyDescent="0.35">
      <c r="A30" s="181"/>
      <c r="B30" s="105">
        <v>2</v>
      </c>
      <c r="C30" s="106" t="s">
        <v>252</v>
      </c>
      <c r="D30" s="107" t="s">
        <v>253</v>
      </c>
      <c r="E30" s="106">
        <v>48</v>
      </c>
      <c r="F30" s="106"/>
      <c r="G30" s="108"/>
      <c r="H30" s="181"/>
    </row>
    <row r="31" spans="1:8" ht="14.25" customHeight="1" x14ac:dyDescent="0.3">
      <c r="A31" s="181"/>
      <c r="B31" s="117">
        <v>6</v>
      </c>
      <c r="C31" s="118" t="s">
        <v>258</v>
      </c>
      <c r="D31" s="119" t="s">
        <v>259</v>
      </c>
      <c r="E31" s="118"/>
      <c r="F31" s="118">
        <v>10000</v>
      </c>
      <c r="G31" s="120">
        <v>2450</v>
      </c>
      <c r="H31" s="181"/>
    </row>
    <row r="32" spans="1:8" ht="14.25" customHeight="1" thickBot="1" x14ac:dyDescent="0.35">
      <c r="A32" s="181"/>
      <c r="B32" s="117">
        <v>6</v>
      </c>
      <c r="C32" s="118" t="s">
        <v>258</v>
      </c>
      <c r="D32" s="141" t="s">
        <v>259</v>
      </c>
      <c r="E32" s="118"/>
      <c r="F32" s="118">
        <v>10000</v>
      </c>
      <c r="G32" s="120">
        <v>2450</v>
      </c>
      <c r="H32" s="181"/>
    </row>
    <row r="33" spans="1:8" ht="14.25" customHeight="1" thickBot="1" x14ac:dyDescent="0.35">
      <c r="A33" s="121" t="s">
        <v>260</v>
      </c>
      <c r="B33" s="122">
        <f>SUM(B4:B32)</f>
        <v>39</v>
      </c>
      <c r="C33" s="123"/>
      <c r="D33" s="123"/>
      <c r="E33" s="123"/>
      <c r="F33" s="123"/>
      <c r="G33" s="123">
        <f>SUM(G4:G32)</f>
        <v>14746.05</v>
      </c>
      <c r="H33" s="124"/>
    </row>
    <row r="34" spans="1:8" ht="14.25" customHeight="1" x14ac:dyDescent="0.3">
      <c r="B34" s="26"/>
      <c r="C34" s="26"/>
      <c r="D34" s="26"/>
      <c r="E34" s="125" t="s">
        <v>261</v>
      </c>
      <c r="F34" s="125">
        <f>SUM(F15:F22)</f>
        <v>9600</v>
      </c>
      <c r="G34" s="26"/>
    </row>
    <row r="35" spans="1:8" ht="14.25" customHeight="1" x14ac:dyDescent="0.3">
      <c r="B35" s="26"/>
      <c r="C35" s="26"/>
      <c r="D35" s="26"/>
      <c r="E35" s="126" t="s">
        <v>262</v>
      </c>
      <c r="F35" s="126">
        <f>SUM(F31:F32)</f>
        <v>20000</v>
      </c>
      <c r="G35" s="26"/>
    </row>
    <row r="36" spans="1:8" ht="14.25" customHeight="1" x14ac:dyDescent="0.3">
      <c r="B36" s="26"/>
      <c r="E36" s="22"/>
      <c r="G36" s="22"/>
    </row>
    <row r="37" spans="1:8" ht="14.25" customHeight="1" thickBot="1" x14ac:dyDescent="0.35">
      <c r="D37" s="22" t="s">
        <v>263</v>
      </c>
      <c r="E37" s="22" t="s">
        <v>264</v>
      </c>
    </row>
    <row r="38" spans="1:8" ht="14.25" customHeight="1" thickBot="1" x14ac:dyDescent="0.35">
      <c r="B38" s="127" t="s">
        <v>265</v>
      </c>
      <c r="C38" s="142" t="s">
        <v>284</v>
      </c>
      <c r="D38" s="128">
        <v>5700</v>
      </c>
      <c r="E38" s="129">
        <v>19000</v>
      </c>
    </row>
    <row r="39" spans="1:8" ht="14.25" customHeight="1" thickBot="1" x14ac:dyDescent="0.35">
      <c r="B39" s="130" t="s">
        <v>266</v>
      </c>
      <c r="C39" s="142" t="s">
        <v>284</v>
      </c>
      <c r="D39" s="128">
        <v>5700</v>
      </c>
      <c r="E39" s="131">
        <v>19000</v>
      </c>
    </row>
    <row r="40" spans="1:8" ht="14.25" customHeight="1" x14ac:dyDescent="0.3">
      <c r="C40" s="132" t="s">
        <v>260</v>
      </c>
      <c r="D40" s="132">
        <f t="shared" ref="D40:E40" si="3">SUM(D38:D39)</f>
        <v>11400</v>
      </c>
      <c r="E40" s="132">
        <f t="shared" si="3"/>
        <v>38000</v>
      </c>
    </row>
    <row r="41" spans="1:8" ht="14.25" customHeight="1" x14ac:dyDescent="0.3">
      <c r="B41" s="26"/>
      <c r="E41" s="13"/>
      <c r="F41" s="13"/>
      <c r="G41" s="13"/>
    </row>
    <row r="42" spans="1:8" ht="14.25" customHeight="1" x14ac:dyDescent="0.3"/>
    <row r="43" spans="1:8" ht="14.25" customHeight="1" x14ac:dyDescent="0.3"/>
    <row r="44" spans="1:8" ht="14.25" customHeight="1" x14ac:dyDescent="0.3">
      <c r="B44" s="133" t="s">
        <v>267</v>
      </c>
      <c r="C44" s="134">
        <f>SUM('Tech Stack'!B41:E41)</f>
        <v>266</v>
      </c>
    </row>
    <row r="45" spans="1:8" ht="14.25" customHeight="1" x14ac:dyDescent="0.3">
      <c r="B45" s="136" t="s">
        <v>268</v>
      </c>
      <c r="C45" s="134">
        <f>COUNTIF(C2:C30,"UTP Patch Panel")*48</f>
        <v>336</v>
      </c>
    </row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</sheetData>
  <mergeCells count="4">
    <mergeCell ref="A1:H1"/>
    <mergeCell ref="B4:B23"/>
    <mergeCell ref="A3:A32"/>
    <mergeCell ref="H3:H32"/>
  </mergeCells>
  <hyperlinks>
    <hyperlink ref="D31" r:id="rId1" xr:uid="{A2D5ED60-743F-43C3-997D-D812B6173740}"/>
    <hyperlink ref="C38" r:id="rId2" xr:uid="{9F670964-E66C-44DF-9FCF-06984AB0B772}"/>
    <hyperlink ref="A1:H1" r:id="rId3" display="Open Frame Server 55U Rack" xr:uid="{DE2FBDA5-BC64-4EFC-A8E4-97E533FF5FF6}"/>
    <hyperlink ref="C39" r:id="rId4" xr:uid="{90534505-E284-486E-AC3A-8837B2F12AC8}"/>
  </hyperlinks>
  <pageMargins left="0.7" right="0.7" top="0.75" bottom="0.75" header="0" footer="0"/>
  <pageSetup orientation="landscape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98"/>
  <sheetViews>
    <sheetView topLeftCell="A30" workbookViewId="0">
      <selection activeCell="E5" sqref="E5:G6"/>
    </sheetView>
  </sheetViews>
  <sheetFormatPr defaultColWidth="14.44140625" defaultRowHeight="15" customHeight="1" x14ac:dyDescent="0.3"/>
  <cols>
    <col min="1" max="2" width="8.6640625" customWidth="1"/>
    <col min="3" max="3" width="23.33203125" customWidth="1"/>
    <col min="4" max="4" width="29.6640625" customWidth="1"/>
    <col min="5" max="5" width="28.109375" customWidth="1"/>
    <col min="6" max="6" width="26.88671875" customWidth="1"/>
    <col min="7" max="8" width="8.6640625" customWidth="1"/>
  </cols>
  <sheetData>
    <row r="1" spans="1:11" ht="14.25" customHeight="1" thickBot="1" x14ac:dyDescent="0.35">
      <c r="A1" s="233" t="s">
        <v>283</v>
      </c>
      <c r="B1" s="234"/>
      <c r="C1" s="234"/>
      <c r="D1" s="234"/>
      <c r="E1" s="234"/>
      <c r="F1" s="234"/>
      <c r="G1" s="234"/>
      <c r="H1" s="235"/>
    </row>
    <row r="2" spans="1:11" ht="14.25" customHeight="1" thickBot="1" x14ac:dyDescent="0.35">
      <c r="A2" s="24" t="s">
        <v>233</v>
      </c>
      <c r="B2" s="70" t="s">
        <v>234</v>
      </c>
      <c r="C2" s="71" t="s">
        <v>235</v>
      </c>
      <c r="D2" s="71" t="s">
        <v>236</v>
      </c>
      <c r="E2" s="71" t="s">
        <v>237</v>
      </c>
      <c r="F2" s="71" t="s">
        <v>238</v>
      </c>
      <c r="G2" s="72" t="s">
        <v>239</v>
      </c>
      <c r="H2" s="59" t="s">
        <v>233</v>
      </c>
    </row>
    <row r="3" spans="1:11" ht="14.25" customHeight="1" thickBot="1" x14ac:dyDescent="0.35">
      <c r="A3" s="236" t="s">
        <v>240</v>
      </c>
      <c r="B3" s="73">
        <v>1</v>
      </c>
      <c r="C3" s="74" t="s">
        <v>241</v>
      </c>
      <c r="D3" s="74" t="s">
        <v>285</v>
      </c>
      <c r="E3" s="74">
        <v>72</v>
      </c>
      <c r="F3" s="74"/>
      <c r="G3" s="75"/>
      <c r="H3" s="236" t="s">
        <v>240</v>
      </c>
    </row>
    <row r="4" spans="1:11" ht="14.25" customHeight="1" x14ac:dyDescent="0.3">
      <c r="A4" s="181"/>
      <c r="B4" s="237">
        <v>13</v>
      </c>
      <c r="C4" s="76" t="s">
        <v>242</v>
      </c>
      <c r="D4" s="76" t="s">
        <v>174</v>
      </c>
      <c r="E4" s="76"/>
      <c r="F4" s="77"/>
      <c r="G4" s="77"/>
      <c r="H4" s="181"/>
    </row>
    <row r="5" spans="1:11" ht="14.25" customHeight="1" x14ac:dyDescent="0.3">
      <c r="A5" s="181"/>
      <c r="B5" s="238"/>
      <c r="C5" s="78" t="s">
        <v>243</v>
      </c>
      <c r="D5" s="78" t="str">
        <f>'Tech Stack'!B52</f>
        <v>C9400-SUP-1XL</v>
      </c>
      <c r="E5" s="78">
        <v>2</v>
      </c>
      <c r="F5" s="78">
        <v>350</v>
      </c>
      <c r="G5" s="79">
        <f>ABS(F5)*3.41</f>
        <v>1193.5</v>
      </c>
      <c r="H5" s="181"/>
    </row>
    <row r="6" spans="1:11" ht="14.25" customHeight="1" x14ac:dyDescent="0.3">
      <c r="A6" s="181"/>
      <c r="B6" s="238"/>
      <c r="C6" s="78" t="s">
        <v>243</v>
      </c>
      <c r="D6" s="78" t="str">
        <f>'Tech Stack'!B52</f>
        <v>C9400-SUP-1XL</v>
      </c>
      <c r="E6" s="78">
        <v>2</v>
      </c>
      <c r="F6" s="78">
        <v>350</v>
      </c>
      <c r="G6" s="79">
        <f>ABS(F6)*3.41</f>
        <v>1193.5</v>
      </c>
      <c r="H6" s="181"/>
    </row>
    <row r="7" spans="1:11" ht="14.25" customHeight="1" x14ac:dyDescent="0.3">
      <c r="A7" s="181"/>
      <c r="B7" s="238"/>
      <c r="C7" s="78" t="s">
        <v>244</v>
      </c>
      <c r="D7" s="78" t="str">
        <f>'Tech Stack'!B56</f>
        <v>C9400-LC-12QC (12x40GE)</v>
      </c>
      <c r="E7" s="78">
        <v>12</v>
      </c>
      <c r="F7" s="78">
        <v>280</v>
      </c>
      <c r="G7" s="79">
        <f t="shared" ref="G7" si="0">ABS(F7)*3.41</f>
        <v>954.80000000000007</v>
      </c>
      <c r="H7" s="181"/>
    </row>
    <row r="8" spans="1:11" ht="14.25" customHeight="1" x14ac:dyDescent="0.3">
      <c r="A8" s="181"/>
      <c r="B8" s="238"/>
      <c r="C8" s="78" t="s">
        <v>245</v>
      </c>
      <c r="D8" s="78" t="str">
        <f>'Tech Stack'!B53</f>
        <v>C9400-LC-48P</v>
      </c>
      <c r="E8" s="78">
        <v>48</v>
      </c>
      <c r="F8" s="78">
        <f>(65)</f>
        <v>65</v>
      </c>
      <c r="G8" s="79">
        <f>(ABS(F8)*3.41)</f>
        <v>221.65</v>
      </c>
      <c r="H8" s="181"/>
    </row>
    <row r="9" spans="1:11" ht="14.25" customHeight="1" x14ac:dyDescent="0.3">
      <c r="A9" s="181"/>
      <c r="B9" s="238"/>
      <c r="C9" s="78" t="s">
        <v>245</v>
      </c>
      <c r="D9" s="78" t="str">
        <f>'Tech Stack'!B53</f>
        <v>C9400-LC-48P</v>
      </c>
      <c r="E9" s="78">
        <v>48</v>
      </c>
      <c r="F9" s="78">
        <f>(65)</f>
        <v>65</v>
      </c>
      <c r="G9" s="79">
        <f t="shared" ref="G9:G12" si="1">(ABS(F9)*3.41)</f>
        <v>221.65</v>
      </c>
      <c r="H9" s="181"/>
    </row>
    <row r="10" spans="1:11" ht="14.25" customHeight="1" x14ac:dyDescent="0.3">
      <c r="A10" s="181"/>
      <c r="B10" s="238"/>
      <c r="C10" s="78" t="s">
        <v>245</v>
      </c>
      <c r="D10" s="78" t="str">
        <f>'Tech Stack'!B53</f>
        <v>C9400-LC-48P</v>
      </c>
      <c r="E10" s="78">
        <v>48</v>
      </c>
      <c r="F10" s="78">
        <f>(65)</f>
        <v>65</v>
      </c>
      <c r="G10" s="79">
        <f t="shared" si="1"/>
        <v>221.65</v>
      </c>
      <c r="H10" s="181"/>
    </row>
    <row r="11" spans="1:11" ht="14.25" customHeight="1" x14ac:dyDescent="0.3">
      <c r="A11" s="181"/>
      <c r="B11" s="238"/>
      <c r="C11" s="78" t="s">
        <v>245</v>
      </c>
      <c r="D11" s="78" t="str">
        <f>'Tech Stack'!B53</f>
        <v>C9400-LC-48P</v>
      </c>
      <c r="E11" s="78">
        <v>48</v>
      </c>
      <c r="F11" s="78">
        <f>(65)</f>
        <v>65</v>
      </c>
      <c r="G11" s="79">
        <f t="shared" si="1"/>
        <v>221.65</v>
      </c>
      <c r="H11" s="181"/>
    </row>
    <row r="12" spans="1:11" ht="14.25" customHeight="1" x14ac:dyDescent="0.3">
      <c r="A12" s="181"/>
      <c r="B12" s="238"/>
      <c r="C12" s="78" t="s">
        <v>245</v>
      </c>
      <c r="D12" s="78" t="str">
        <f>'Tech Stack'!B53</f>
        <v>C9400-LC-48P</v>
      </c>
      <c r="E12" s="78">
        <v>48</v>
      </c>
      <c r="F12" s="78">
        <f>(65)</f>
        <v>65</v>
      </c>
      <c r="G12" s="79">
        <f t="shared" si="1"/>
        <v>221.65</v>
      </c>
      <c r="H12" s="181"/>
    </row>
    <row r="13" spans="1:11" ht="14.25" customHeight="1" x14ac:dyDescent="0.3">
      <c r="A13" s="181"/>
      <c r="B13" s="238"/>
      <c r="C13" s="78" t="s">
        <v>246</v>
      </c>
      <c r="D13" s="78" t="str">
        <f>'Tech Stack'!B53</f>
        <v>C9400-LC-48P</v>
      </c>
      <c r="E13" s="78">
        <v>48</v>
      </c>
      <c r="F13" s="78">
        <f>(20*30*1.3+65)</f>
        <v>845</v>
      </c>
      <c r="G13" s="79">
        <v>250</v>
      </c>
      <c r="H13" s="181"/>
    </row>
    <row r="14" spans="1:11" ht="14.25" customHeight="1" x14ac:dyDescent="0.3">
      <c r="A14" s="181"/>
      <c r="B14" s="238"/>
      <c r="C14" s="78" t="s">
        <v>247</v>
      </c>
      <c r="D14" s="78" t="str">
        <f>'Tech Stack'!B57</f>
        <v>C9400-LC-48UX</v>
      </c>
      <c r="E14" s="78">
        <v>48</v>
      </c>
      <c r="F14" s="78">
        <f>(20*60*1.3+70)</f>
        <v>1630</v>
      </c>
      <c r="G14" s="79">
        <v>250</v>
      </c>
      <c r="H14" s="181"/>
      <c r="J14" t="s">
        <v>281</v>
      </c>
      <c r="K14">
        <f>SUM(F5:F14,F23)</f>
        <v>4380</v>
      </c>
    </row>
    <row r="15" spans="1:11" ht="14.25" customHeight="1" x14ac:dyDescent="0.3">
      <c r="A15" s="181"/>
      <c r="B15" s="238"/>
      <c r="C15" s="80" t="s">
        <v>248</v>
      </c>
      <c r="D15" s="81" t="s">
        <v>249</v>
      </c>
      <c r="E15" s="80"/>
      <c r="F15" s="82">
        <v>3200</v>
      </c>
      <c r="G15" s="82">
        <v>950</v>
      </c>
      <c r="H15" s="181"/>
      <c r="J15" t="s">
        <v>282</v>
      </c>
      <c r="K15">
        <f>SUM(F15:F22)</f>
        <v>9600</v>
      </c>
    </row>
    <row r="16" spans="1:11" ht="14.25" customHeight="1" x14ac:dyDescent="0.3">
      <c r="A16" s="181"/>
      <c r="B16" s="238"/>
      <c r="C16" s="80" t="s">
        <v>248</v>
      </c>
      <c r="D16" s="83" t="s">
        <v>249</v>
      </c>
      <c r="E16" s="80"/>
      <c r="F16" s="84">
        <v>3200</v>
      </c>
      <c r="G16" s="82">
        <v>950</v>
      </c>
      <c r="H16" s="181"/>
    </row>
    <row r="17" spans="1:8" ht="14.25" customHeight="1" x14ac:dyDescent="0.3">
      <c r="A17" s="181"/>
      <c r="B17" s="238"/>
      <c r="C17" s="80" t="s">
        <v>248</v>
      </c>
      <c r="D17" s="83" t="s">
        <v>249</v>
      </c>
      <c r="E17" s="80"/>
      <c r="F17" s="84">
        <v>3200</v>
      </c>
      <c r="G17" s="82">
        <v>950</v>
      </c>
      <c r="H17" s="181"/>
    </row>
    <row r="18" spans="1:8" ht="14.25" customHeight="1" x14ac:dyDescent="0.3">
      <c r="A18" s="181"/>
      <c r="B18" s="238"/>
      <c r="C18" s="80" t="s">
        <v>248</v>
      </c>
      <c r="D18" s="83"/>
      <c r="E18" s="85"/>
      <c r="F18" s="84"/>
      <c r="G18" s="84">
        <f t="shared" ref="G18:G23" si="2">ABS(F18)*3.41</f>
        <v>0</v>
      </c>
      <c r="H18" s="181"/>
    </row>
    <row r="19" spans="1:8" ht="14.25" customHeight="1" x14ac:dyDescent="0.3">
      <c r="A19" s="181"/>
      <c r="B19" s="238"/>
      <c r="C19" s="80" t="s">
        <v>248</v>
      </c>
      <c r="D19" s="83"/>
      <c r="E19" s="85"/>
      <c r="F19" s="84"/>
      <c r="G19" s="84">
        <f t="shared" si="2"/>
        <v>0</v>
      </c>
      <c r="H19" s="181"/>
    </row>
    <row r="20" spans="1:8" ht="14.25" customHeight="1" x14ac:dyDescent="0.3">
      <c r="A20" s="181"/>
      <c r="B20" s="238"/>
      <c r="C20" s="80" t="s">
        <v>248</v>
      </c>
      <c r="D20" s="83"/>
      <c r="E20" s="85"/>
      <c r="F20" s="84"/>
      <c r="G20" s="84">
        <f t="shared" si="2"/>
        <v>0</v>
      </c>
      <c r="H20" s="181"/>
    </row>
    <row r="21" spans="1:8" ht="14.25" customHeight="1" x14ac:dyDescent="0.3">
      <c r="A21" s="181"/>
      <c r="B21" s="238"/>
      <c r="C21" s="80" t="s">
        <v>248</v>
      </c>
      <c r="D21" s="83"/>
      <c r="E21" s="85"/>
      <c r="F21" s="84"/>
      <c r="G21" s="84">
        <f t="shared" si="2"/>
        <v>0</v>
      </c>
      <c r="H21" s="181"/>
    </row>
    <row r="22" spans="1:8" ht="14.25" customHeight="1" x14ac:dyDescent="0.3">
      <c r="A22" s="181"/>
      <c r="B22" s="238"/>
      <c r="C22" s="86" t="s">
        <v>248</v>
      </c>
      <c r="D22" s="87"/>
      <c r="E22" s="88"/>
      <c r="F22" s="89"/>
      <c r="G22" s="89">
        <f t="shared" si="2"/>
        <v>0</v>
      </c>
      <c r="H22" s="181"/>
    </row>
    <row r="23" spans="1:8" ht="14.25" customHeight="1" thickBot="1" x14ac:dyDescent="0.35">
      <c r="A23" s="181"/>
      <c r="B23" s="239"/>
      <c r="C23" s="90" t="s">
        <v>250</v>
      </c>
      <c r="D23" s="91" t="s">
        <v>251</v>
      </c>
      <c r="E23" s="91"/>
      <c r="F23" s="91">
        <v>600</v>
      </c>
      <c r="G23" s="92">
        <f t="shared" si="2"/>
        <v>2046</v>
      </c>
      <c r="H23" s="181"/>
    </row>
    <row r="24" spans="1:8" ht="14.25" customHeight="1" x14ac:dyDescent="0.3">
      <c r="A24" s="181"/>
      <c r="B24" s="93">
        <v>2</v>
      </c>
      <c r="C24" s="94" t="s">
        <v>252</v>
      </c>
      <c r="D24" s="95" t="s">
        <v>253</v>
      </c>
      <c r="E24" s="94">
        <v>48</v>
      </c>
      <c r="F24" s="94"/>
      <c r="G24" s="96"/>
      <c r="H24" s="181"/>
    </row>
    <row r="25" spans="1:8" ht="14.25" customHeight="1" x14ac:dyDescent="0.3">
      <c r="A25" s="181"/>
      <c r="B25" s="97">
        <v>2</v>
      </c>
      <c r="C25" s="98" t="s">
        <v>252</v>
      </c>
      <c r="D25" s="99" t="s">
        <v>253</v>
      </c>
      <c r="E25" s="98">
        <v>48</v>
      </c>
      <c r="F25" s="100"/>
      <c r="G25" s="101"/>
      <c r="H25" s="181"/>
    </row>
    <row r="26" spans="1:8" ht="14.25" customHeight="1" x14ac:dyDescent="0.3">
      <c r="A26" s="181"/>
      <c r="B26" s="97">
        <v>2</v>
      </c>
      <c r="C26" s="98" t="s">
        <v>252</v>
      </c>
      <c r="D26" s="99" t="s">
        <v>253</v>
      </c>
      <c r="E26" s="98">
        <v>48</v>
      </c>
      <c r="F26" s="100"/>
      <c r="G26" s="101"/>
      <c r="H26" s="181"/>
    </row>
    <row r="27" spans="1:8" ht="14.25" customHeight="1" x14ac:dyDescent="0.3">
      <c r="A27" s="181"/>
      <c r="B27" s="97">
        <v>2</v>
      </c>
      <c r="C27" s="98" t="s">
        <v>252</v>
      </c>
      <c r="D27" s="99" t="s">
        <v>253</v>
      </c>
      <c r="E27" s="98">
        <v>48</v>
      </c>
      <c r="F27" s="100"/>
      <c r="G27" s="101"/>
      <c r="H27" s="181"/>
    </row>
    <row r="28" spans="1:8" ht="14.25" customHeight="1" x14ac:dyDescent="0.3">
      <c r="A28" s="181"/>
      <c r="B28" s="97">
        <v>2</v>
      </c>
      <c r="C28" s="74" t="s">
        <v>252</v>
      </c>
      <c r="D28" s="73" t="s">
        <v>253</v>
      </c>
      <c r="E28" s="74">
        <v>48</v>
      </c>
      <c r="F28" s="102"/>
      <c r="G28" s="103"/>
      <c r="H28" s="181"/>
    </row>
    <row r="29" spans="1:8" ht="14.25" customHeight="1" x14ac:dyDescent="0.3">
      <c r="A29" s="181"/>
      <c r="B29" s="97">
        <v>2</v>
      </c>
      <c r="C29" s="100" t="s">
        <v>252</v>
      </c>
      <c r="D29" s="104" t="s">
        <v>253</v>
      </c>
      <c r="E29" s="100">
        <v>48</v>
      </c>
      <c r="F29" s="100"/>
      <c r="G29" s="101"/>
      <c r="H29" s="181"/>
    </row>
    <row r="30" spans="1:8" ht="14.25" customHeight="1" thickBot="1" x14ac:dyDescent="0.35">
      <c r="A30" s="181"/>
      <c r="B30" s="105">
        <v>2</v>
      </c>
      <c r="C30" s="106" t="s">
        <v>252</v>
      </c>
      <c r="D30" s="107" t="s">
        <v>253</v>
      </c>
      <c r="E30" s="106">
        <v>48</v>
      </c>
      <c r="F30" s="106"/>
      <c r="G30" s="108"/>
      <c r="H30" s="181"/>
    </row>
    <row r="31" spans="1:8" ht="14.25" customHeight="1" x14ac:dyDescent="0.3">
      <c r="A31" s="181"/>
      <c r="B31" s="117">
        <v>6</v>
      </c>
      <c r="C31" s="118" t="s">
        <v>258</v>
      </c>
      <c r="D31" s="119" t="s">
        <v>259</v>
      </c>
      <c r="E31" s="118"/>
      <c r="F31" s="118">
        <v>10000</v>
      </c>
      <c r="G31" s="120">
        <v>2450</v>
      </c>
      <c r="H31" s="181"/>
    </row>
    <row r="32" spans="1:8" ht="14.25" customHeight="1" thickBot="1" x14ac:dyDescent="0.35">
      <c r="A32" s="181"/>
      <c r="B32" s="117">
        <v>6</v>
      </c>
      <c r="C32" s="118" t="s">
        <v>258</v>
      </c>
      <c r="D32" s="141" t="s">
        <v>259</v>
      </c>
      <c r="E32" s="118"/>
      <c r="F32" s="118">
        <v>10000</v>
      </c>
      <c r="G32" s="120">
        <v>2450</v>
      </c>
      <c r="H32" s="181"/>
    </row>
    <row r="33" spans="1:8" ht="14.25" customHeight="1" thickBot="1" x14ac:dyDescent="0.35">
      <c r="A33" s="121" t="s">
        <v>260</v>
      </c>
      <c r="B33" s="122">
        <f>SUM(B4:B32)</f>
        <v>39</v>
      </c>
      <c r="C33" s="123"/>
      <c r="D33" s="123"/>
      <c r="E33" s="123"/>
      <c r="F33" s="123"/>
      <c r="G33" s="123">
        <f>SUM(G4:G32)</f>
        <v>14746.05</v>
      </c>
      <c r="H33" s="124"/>
    </row>
    <row r="34" spans="1:8" ht="14.25" customHeight="1" x14ac:dyDescent="0.3">
      <c r="B34" s="26"/>
      <c r="C34" s="26"/>
      <c r="D34" s="26"/>
      <c r="E34" s="125" t="s">
        <v>261</v>
      </c>
      <c r="F34" s="125">
        <f>SUM(F15:F22)</f>
        <v>9600</v>
      </c>
      <c r="G34" s="26"/>
    </row>
    <row r="35" spans="1:8" ht="14.25" customHeight="1" x14ac:dyDescent="0.3">
      <c r="B35" s="26"/>
      <c r="C35" s="26"/>
      <c r="D35" s="26"/>
      <c r="E35" s="126" t="s">
        <v>262</v>
      </c>
      <c r="F35" s="126">
        <f>SUM(F31:F32)</f>
        <v>20000</v>
      </c>
      <c r="G35" s="26"/>
    </row>
    <row r="36" spans="1:8" ht="14.25" customHeight="1" x14ac:dyDescent="0.3">
      <c r="B36" s="26"/>
      <c r="E36" s="22"/>
      <c r="G36" s="22"/>
    </row>
    <row r="37" spans="1:8" ht="14.25" customHeight="1" thickBot="1" x14ac:dyDescent="0.35">
      <c r="D37" s="22" t="s">
        <v>263</v>
      </c>
      <c r="E37" s="22" t="s">
        <v>264</v>
      </c>
    </row>
    <row r="38" spans="1:8" ht="14.25" customHeight="1" thickBot="1" x14ac:dyDescent="0.35">
      <c r="B38" s="127" t="s">
        <v>265</v>
      </c>
      <c r="C38" s="142" t="s">
        <v>284</v>
      </c>
      <c r="D38" s="128">
        <v>5700</v>
      </c>
      <c r="E38" s="129">
        <v>19000</v>
      </c>
    </row>
    <row r="39" spans="1:8" ht="14.25" customHeight="1" thickBot="1" x14ac:dyDescent="0.35">
      <c r="B39" s="130" t="s">
        <v>266</v>
      </c>
      <c r="C39" s="142" t="s">
        <v>284</v>
      </c>
      <c r="D39" s="128">
        <v>5700</v>
      </c>
      <c r="E39" s="131">
        <v>19000</v>
      </c>
    </row>
    <row r="40" spans="1:8" ht="14.25" customHeight="1" x14ac:dyDescent="0.3">
      <c r="C40" s="132" t="s">
        <v>260</v>
      </c>
      <c r="D40" s="132">
        <f t="shared" ref="D40:E40" si="3">SUM(D38:D39)</f>
        <v>11400</v>
      </c>
      <c r="E40" s="132">
        <f t="shared" si="3"/>
        <v>38000</v>
      </c>
    </row>
    <row r="41" spans="1:8" ht="14.25" customHeight="1" x14ac:dyDescent="0.3">
      <c r="B41" s="26"/>
      <c r="E41" s="13"/>
      <c r="F41" s="13"/>
      <c r="G41" s="13"/>
    </row>
    <row r="42" spans="1:8" ht="14.25" customHeight="1" x14ac:dyDescent="0.3">
      <c r="B42" s="133" t="s">
        <v>267</v>
      </c>
      <c r="C42" s="134">
        <f>SUM('Tech Stack'!B42:E42)</f>
        <v>280</v>
      </c>
      <c r="E42" s="135"/>
      <c r="F42" s="13"/>
      <c r="G42" s="13"/>
    </row>
    <row r="43" spans="1:8" ht="14.25" customHeight="1" x14ac:dyDescent="0.3">
      <c r="B43" s="136" t="s">
        <v>268</v>
      </c>
      <c r="C43" s="134">
        <f>COUNTIF(C2:C35,"UTP Patch Panel")*48</f>
        <v>336</v>
      </c>
      <c r="E43" s="13"/>
      <c r="F43" s="13"/>
      <c r="G43" s="13"/>
    </row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</sheetData>
  <mergeCells count="4">
    <mergeCell ref="A1:H1"/>
    <mergeCell ref="B4:B23"/>
    <mergeCell ref="A3:A32"/>
    <mergeCell ref="H3:H32"/>
  </mergeCells>
  <hyperlinks>
    <hyperlink ref="D31" r:id="rId1" xr:uid="{EADBFE09-A370-4B2C-B736-72D426BAB480}"/>
    <hyperlink ref="C38" r:id="rId2" xr:uid="{C11B5355-76FA-4594-9B63-D2A69014B5DC}"/>
    <hyperlink ref="A1:H1" r:id="rId3" display="Open Frame Server 55U Rack" xr:uid="{1D02E9BF-FF81-45AC-83CA-50EBC39C9F35}"/>
    <hyperlink ref="C39" r:id="rId4" xr:uid="{5133A10E-C1FF-46D2-AB12-B5AFA8B27805}"/>
  </hyperlinks>
  <pageMargins left="0.7" right="0.7" top="0.75" bottom="0.75" header="0" footer="0"/>
  <pageSetup orientation="landscape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998"/>
  <sheetViews>
    <sheetView topLeftCell="A43" workbookViewId="0">
      <selection activeCell="J7" sqref="J7"/>
    </sheetView>
  </sheetViews>
  <sheetFormatPr defaultColWidth="14.44140625" defaultRowHeight="15" customHeight="1" x14ac:dyDescent="0.3"/>
  <cols>
    <col min="1" max="2" width="8.6640625" customWidth="1"/>
    <col min="3" max="3" width="23.33203125" customWidth="1"/>
    <col min="4" max="4" width="29.6640625" customWidth="1"/>
    <col min="5" max="5" width="26.77734375" customWidth="1"/>
    <col min="6" max="6" width="25.77734375" customWidth="1"/>
    <col min="7" max="7" width="22.44140625" customWidth="1"/>
    <col min="8" max="8" width="8.6640625" customWidth="1"/>
    <col min="9" max="9" width="5.44140625" customWidth="1"/>
    <col min="10" max="10" width="24.5546875" customWidth="1"/>
  </cols>
  <sheetData>
    <row r="1" spans="1:11" ht="14.25" customHeight="1" thickBot="1" x14ac:dyDescent="0.35">
      <c r="A1" s="233" t="s">
        <v>283</v>
      </c>
      <c r="B1" s="234"/>
      <c r="C1" s="234"/>
      <c r="D1" s="234"/>
      <c r="E1" s="234"/>
      <c r="F1" s="234"/>
      <c r="G1" s="234"/>
      <c r="H1" s="235"/>
    </row>
    <row r="2" spans="1:11" ht="14.25" customHeight="1" thickBot="1" x14ac:dyDescent="0.35">
      <c r="A2" s="24" t="s">
        <v>233</v>
      </c>
      <c r="B2" s="70" t="s">
        <v>234</v>
      </c>
      <c r="C2" s="71" t="s">
        <v>235</v>
      </c>
      <c r="D2" s="71" t="s">
        <v>236</v>
      </c>
      <c r="E2" s="71" t="s">
        <v>237</v>
      </c>
      <c r="F2" s="71" t="s">
        <v>238</v>
      </c>
      <c r="G2" s="72" t="s">
        <v>239</v>
      </c>
      <c r="H2" s="59" t="s">
        <v>233</v>
      </c>
    </row>
    <row r="3" spans="1:11" ht="14.25" customHeight="1" thickBot="1" x14ac:dyDescent="0.35">
      <c r="A3" s="236" t="s">
        <v>240</v>
      </c>
      <c r="B3" s="73">
        <v>1</v>
      </c>
      <c r="C3" s="74" t="s">
        <v>241</v>
      </c>
      <c r="D3" s="74" t="s">
        <v>285</v>
      </c>
      <c r="E3" s="74">
        <v>72</v>
      </c>
      <c r="F3" s="74"/>
      <c r="G3" s="75"/>
      <c r="H3" s="236" t="s">
        <v>240</v>
      </c>
    </row>
    <row r="4" spans="1:11" ht="14.25" customHeight="1" x14ac:dyDescent="0.3">
      <c r="A4" s="181"/>
      <c r="B4" s="237">
        <v>13</v>
      </c>
      <c r="C4" s="76" t="s">
        <v>242</v>
      </c>
      <c r="D4" s="76" t="s">
        <v>174</v>
      </c>
      <c r="E4" s="76"/>
      <c r="F4" s="77"/>
      <c r="G4" s="77"/>
      <c r="H4" s="181"/>
    </row>
    <row r="5" spans="1:11" ht="14.25" customHeight="1" x14ac:dyDescent="0.3">
      <c r="A5" s="181"/>
      <c r="B5" s="238"/>
      <c r="C5" s="78" t="s">
        <v>243</v>
      </c>
      <c r="D5" s="78" t="str">
        <f>'Tech Stack'!B52</f>
        <v>C9400-SUP-1XL</v>
      </c>
      <c r="E5" s="78">
        <v>2</v>
      </c>
      <c r="F5" s="78">
        <v>350</v>
      </c>
      <c r="G5" s="79">
        <f>ABS(F5)*3.41</f>
        <v>1193.5</v>
      </c>
      <c r="H5" s="181"/>
    </row>
    <row r="6" spans="1:11" ht="14.25" customHeight="1" x14ac:dyDescent="0.3">
      <c r="A6" s="181"/>
      <c r="B6" s="238"/>
      <c r="C6" s="78" t="s">
        <v>243</v>
      </c>
      <c r="D6" s="78" t="str">
        <f>'Tech Stack'!B52</f>
        <v>C9400-SUP-1XL</v>
      </c>
      <c r="E6" s="78">
        <v>2</v>
      </c>
      <c r="F6" s="78">
        <v>350</v>
      </c>
      <c r="G6" s="79">
        <f>ABS(F6)*3.41</f>
        <v>1193.5</v>
      </c>
      <c r="H6" s="181"/>
    </row>
    <row r="7" spans="1:11" ht="14.25" customHeight="1" x14ac:dyDescent="0.3">
      <c r="A7" s="181"/>
      <c r="B7" s="238"/>
      <c r="C7" s="78" t="s">
        <v>244</v>
      </c>
      <c r="D7" s="78" t="str">
        <f>'Tech Stack'!B56</f>
        <v>C9400-LC-12QC (12x40GE)</v>
      </c>
      <c r="E7" s="78">
        <v>12</v>
      </c>
      <c r="F7" s="78">
        <v>280</v>
      </c>
      <c r="G7" s="79">
        <f t="shared" ref="G7" si="0">ABS(F7)*3.41</f>
        <v>954.80000000000007</v>
      </c>
      <c r="H7" s="181"/>
    </row>
    <row r="8" spans="1:11" ht="14.25" customHeight="1" x14ac:dyDescent="0.3">
      <c r="A8" s="181"/>
      <c r="B8" s="238"/>
      <c r="C8" s="78" t="s">
        <v>245</v>
      </c>
      <c r="D8" s="78" t="str">
        <f>'Tech Stack'!B53</f>
        <v>C9400-LC-48P</v>
      </c>
      <c r="E8" s="78">
        <v>48</v>
      </c>
      <c r="F8" s="78">
        <f>(65)</f>
        <v>65</v>
      </c>
      <c r="G8" s="79">
        <f>(ABS(F8)*3.41)</f>
        <v>221.65</v>
      </c>
      <c r="H8" s="181"/>
    </row>
    <row r="9" spans="1:11" ht="14.25" customHeight="1" x14ac:dyDescent="0.3">
      <c r="A9" s="181"/>
      <c r="B9" s="238"/>
      <c r="C9" s="78" t="s">
        <v>245</v>
      </c>
      <c r="D9" s="78" t="str">
        <f>'Tech Stack'!B53</f>
        <v>C9400-LC-48P</v>
      </c>
      <c r="E9" s="78">
        <v>48</v>
      </c>
      <c r="F9" s="78">
        <f>(65)</f>
        <v>65</v>
      </c>
      <c r="G9" s="79">
        <f t="shared" ref="G9:G12" si="1">(ABS(F9)*3.41)</f>
        <v>221.65</v>
      </c>
      <c r="H9" s="181"/>
    </row>
    <row r="10" spans="1:11" ht="14.25" customHeight="1" x14ac:dyDescent="0.3">
      <c r="A10" s="181"/>
      <c r="B10" s="238"/>
      <c r="C10" s="78" t="s">
        <v>245</v>
      </c>
      <c r="D10" s="78" t="str">
        <f>'Tech Stack'!B53</f>
        <v>C9400-LC-48P</v>
      </c>
      <c r="E10" s="78">
        <v>48</v>
      </c>
      <c r="F10" s="78">
        <f>(65)</f>
        <v>65</v>
      </c>
      <c r="G10" s="79">
        <f t="shared" si="1"/>
        <v>221.65</v>
      </c>
      <c r="H10" s="181"/>
    </row>
    <row r="11" spans="1:11" ht="14.25" customHeight="1" x14ac:dyDescent="0.3">
      <c r="A11" s="181"/>
      <c r="B11" s="238"/>
      <c r="C11" s="78" t="s">
        <v>245</v>
      </c>
      <c r="D11" s="78" t="str">
        <f>'Tech Stack'!B53</f>
        <v>C9400-LC-48P</v>
      </c>
      <c r="E11" s="78">
        <v>48</v>
      </c>
      <c r="F11" s="78">
        <f>(65)</f>
        <v>65</v>
      </c>
      <c r="G11" s="79">
        <f t="shared" si="1"/>
        <v>221.65</v>
      </c>
      <c r="H11" s="181"/>
    </row>
    <row r="12" spans="1:11" ht="14.25" customHeight="1" x14ac:dyDescent="0.3">
      <c r="A12" s="181"/>
      <c r="B12" s="238"/>
      <c r="C12" s="78" t="s">
        <v>245</v>
      </c>
      <c r="D12" s="78" t="str">
        <f>'Tech Stack'!B53</f>
        <v>C9400-LC-48P</v>
      </c>
      <c r="E12" s="78">
        <v>48</v>
      </c>
      <c r="F12" s="78">
        <f>(65)</f>
        <v>65</v>
      </c>
      <c r="G12" s="79">
        <f t="shared" si="1"/>
        <v>221.65</v>
      </c>
      <c r="H12" s="181"/>
    </row>
    <row r="13" spans="1:11" ht="14.25" customHeight="1" x14ac:dyDescent="0.3">
      <c r="A13" s="181"/>
      <c r="B13" s="238"/>
      <c r="C13" s="78" t="s">
        <v>246</v>
      </c>
      <c r="D13" s="78" t="str">
        <f>'Tech Stack'!B53</f>
        <v>C9400-LC-48P</v>
      </c>
      <c r="E13" s="78">
        <v>48</v>
      </c>
      <c r="F13" s="78">
        <f>(20*30*1.3+65)</f>
        <v>845</v>
      </c>
      <c r="G13" s="79">
        <v>250</v>
      </c>
      <c r="H13" s="181"/>
    </row>
    <row r="14" spans="1:11" ht="14.25" customHeight="1" x14ac:dyDescent="0.3">
      <c r="A14" s="181"/>
      <c r="B14" s="238"/>
      <c r="C14" s="78" t="s">
        <v>247</v>
      </c>
      <c r="D14" s="78" t="str">
        <f>'Tech Stack'!B57</f>
        <v>C9400-LC-48UX</v>
      </c>
      <c r="E14" s="78">
        <v>48</v>
      </c>
      <c r="F14" s="78">
        <f>(20*60*1.3+70)</f>
        <v>1630</v>
      </c>
      <c r="G14" s="79">
        <v>250</v>
      </c>
      <c r="H14" s="181"/>
      <c r="J14" t="s">
        <v>281</v>
      </c>
      <c r="K14">
        <f>SUM(F5:F14,F23)</f>
        <v>4380</v>
      </c>
    </row>
    <row r="15" spans="1:11" ht="14.25" customHeight="1" x14ac:dyDescent="0.3">
      <c r="A15" s="181"/>
      <c r="B15" s="238"/>
      <c r="C15" s="80" t="s">
        <v>248</v>
      </c>
      <c r="D15" s="81" t="s">
        <v>249</v>
      </c>
      <c r="E15" s="80"/>
      <c r="F15" s="82">
        <v>3200</v>
      </c>
      <c r="G15" s="82">
        <v>950</v>
      </c>
      <c r="H15" s="181"/>
      <c r="J15" t="s">
        <v>282</v>
      </c>
      <c r="K15">
        <f>SUM(F15:F22)</f>
        <v>9600</v>
      </c>
    </row>
    <row r="16" spans="1:11" ht="14.25" customHeight="1" x14ac:dyDescent="0.3">
      <c r="A16" s="181"/>
      <c r="B16" s="238"/>
      <c r="C16" s="80" t="s">
        <v>248</v>
      </c>
      <c r="D16" s="83" t="s">
        <v>249</v>
      </c>
      <c r="E16" s="80"/>
      <c r="F16" s="84">
        <v>3200</v>
      </c>
      <c r="G16" s="82">
        <v>950</v>
      </c>
      <c r="H16" s="181"/>
    </row>
    <row r="17" spans="1:8" ht="14.25" customHeight="1" x14ac:dyDescent="0.3">
      <c r="A17" s="181"/>
      <c r="B17" s="238"/>
      <c r="C17" s="80" t="s">
        <v>248</v>
      </c>
      <c r="D17" s="83" t="s">
        <v>249</v>
      </c>
      <c r="E17" s="80"/>
      <c r="F17" s="84">
        <v>3200</v>
      </c>
      <c r="G17" s="82">
        <v>950</v>
      </c>
      <c r="H17" s="181"/>
    </row>
    <row r="18" spans="1:8" ht="14.25" customHeight="1" x14ac:dyDescent="0.3">
      <c r="A18" s="181"/>
      <c r="B18" s="238"/>
      <c r="C18" s="80" t="s">
        <v>248</v>
      </c>
      <c r="D18" s="83"/>
      <c r="E18" s="85"/>
      <c r="F18" s="84"/>
      <c r="G18" s="84">
        <f t="shared" ref="G18:G23" si="2">ABS(F18)*3.41</f>
        <v>0</v>
      </c>
      <c r="H18" s="181"/>
    </row>
    <row r="19" spans="1:8" ht="14.25" customHeight="1" x14ac:dyDescent="0.3">
      <c r="A19" s="181"/>
      <c r="B19" s="238"/>
      <c r="C19" s="80" t="s">
        <v>248</v>
      </c>
      <c r="D19" s="83"/>
      <c r="E19" s="85"/>
      <c r="F19" s="84"/>
      <c r="G19" s="84">
        <f t="shared" si="2"/>
        <v>0</v>
      </c>
      <c r="H19" s="181"/>
    </row>
    <row r="20" spans="1:8" ht="14.25" customHeight="1" x14ac:dyDescent="0.3">
      <c r="A20" s="181"/>
      <c r="B20" s="238"/>
      <c r="C20" s="80" t="s">
        <v>248</v>
      </c>
      <c r="D20" s="83"/>
      <c r="E20" s="85"/>
      <c r="F20" s="84"/>
      <c r="G20" s="84">
        <f t="shared" si="2"/>
        <v>0</v>
      </c>
      <c r="H20" s="181"/>
    </row>
    <row r="21" spans="1:8" ht="14.25" customHeight="1" x14ac:dyDescent="0.3">
      <c r="A21" s="181"/>
      <c r="B21" s="238"/>
      <c r="C21" s="80" t="s">
        <v>248</v>
      </c>
      <c r="D21" s="83"/>
      <c r="E21" s="85"/>
      <c r="F21" s="84"/>
      <c r="G21" s="84">
        <f t="shared" si="2"/>
        <v>0</v>
      </c>
      <c r="H21" s="181"/>
    </row>
    <row r="22" spans="1:8" ht="14.25" customHeight="1" x14ac:dyDescent="0.3">
      <c r="A22" s="181"/>
      <c r="B22" s="238"/>
      <c r="C22" s="86" t="s">
        <v>248</v>
      </c>
      <c r="D22" s="87"/>
      <c r="E22" s="88"/>
      <c r="F22" s="89"/>
      <c r="G22" s="89">
        <f t="shared" si="2"/>
        <v>0</v>
      </c>
      <c r="H22" s="181"/>
    </row>
    <row r="23" spans="1:8" ht="14.25" customHeight="1" thickBot="1" x14ac:dyDescent="0.35">
      <c r="A23" s="181"/>
      <c r="B23" s="239"/>
      <c r="C23" s="90" t="s">
        <v>250</v>
      </c>
      <c r="D23" s="91" t="s">
        <v>251</v>
      </c>
      <c r="E23" s="91"/>
      <c r="F23" s="91">
        <v>600</v>
      </c>
      <c r="G23" s="92">
        <f t="shared" si="2"/>
        <v>2046</v>
      </c>
      <c r="H23" s="181"/>
    </row>
    <row r="24" spans="1:8" ht="14.25" customHeight="1" x14ac:dyDescent="0.3">
      <c r="A24" s="181"/>
      <c r="B24" s="93">
        <v>2</v>
      </c>
      <c r="C24" s="94" t="s">
        <v>252</v>
      </c>
      <c r="D24" s="95" t="s">
        <v>253</v>
      </c>
      <c r="E24" s="94">
        <v>48</v>
      </c>
      <c r="F24" s="94"/>
      <c r="G24" s="96"/>
      <c r="H24" s="181"/>
    </row>
    <row r="25" spans="1:8" ht="14.25" customHeight="1" x14ac:dyDescent="0.3">
      <c r="A25" s="181"/>
      <c r="B25" s="97">
        <v>2</v>
      </c>
      <c r="C25" s="98" t="s">
        <v>252</v>
      </c>
      <c r="D25" s="99" t="s">
        <v>253</v>
      </c>
      <c r="E25" s="98">
        <v>48</v>
      </c>
      <c r="F25" s="100"/>
      <c r="G25" s="101"/>
      <c r="H25" s="181"/>
    </row>
    <row r="26" spans="1:8" ht="14.25" customHeight="1" x14ac:dyDescent="0.3">
      <c r="A26" s="181"/>
      <c r="B26" s="97">
        <v>2</v>
      </c>
      <c r="C26" s="98" t="s">
        <v>252</v>
      </c>
      <c r="D26" s="99" t="s">
        <v>253</v>
      </c>
      <c r="E26" s="98">
        <v>48</v>
      </c>
      <c r="F26" s="100"/>
      <c r="G26" s="101"/>
      <c r="H26" s="181"/>
    </row>
    <row r="27" spans="1:8" ht="14.25" customHeight="1" x14ac:dyDescent="0.3">
      <c r="A27" s="181"/>
      <c r="B27" s="97">
        <v>2</v>
      </c>
      <c r="C27" s="98" t="s">
        <v>252</v>
      </c>
      <c r="D27" s="99" t="s">
        <v>253</v>
      </c>
      <c r="E27" s="98">
        <v>48</v>
      </c>
      <c r="F27" s="100"/>
      <c r="G27" s="101"/>
      <c r="H27" s="181"/>
    </row>
    <row r="28" spans="1:8" ht="14.25" customHeight="1" x14ac:dyDescent="0.3">
      <c r="A28" s="181"/>
      <c r="B28" s="97">
        <v>2</v>
      </c>
      <c r="C28" s="74" t="s">
        <v>252</v>
      </c>
      <c r="D28" s="73" t="s">
        <v>253</v>
      </c>
      <c r="E28" s="74">
        <v>48</v>
      </c>
      <c r="F28" s="102"/>
      <c r="G28" s="103"/>
      <c r="H28" s="181"/>
    </row>
    <row r="29" spans="1:8" ht="14.25" customHeight="1" x14ac:dyDescent="0.3">
      <c r="A29" s="181"/>
      <c r="B29" s="97">
        <v>2</v>
      </c>
      <c r="C29" s="100" t="s">
        <v>252</v>
      </c>
      <c r="D29" s="104" t="s">
        <v>253</v>
      </c>
      <c r="E29" s="100">
        <v>48</v>
      </c>
      <c r="F29" s="100"/>
      <c r="G29" s="101"/>
      <c r="H29" s="181"/>
    </row>
    <row r="30" spans="1:8" ht="14.25" customHeight="1" thickBot="1" x14ac:dyDescent="0.35">
      <c r="A30" s="181"/>
      <c r="B30" s="105">
        <v>2</v>
      </c>
      <c r="C30" s="106" t="s">
        <v>252</v>
      </c>
      <c r="D30" s="107" t="s">
        <v>253</v>
      </c>
      <c r="E30" s="106">
        <v>48</v>
      </c>
      <c r="F30" s="106"/>
      <c r="G30" s="108"/>
      <c r="H30" s="181"/>
    </row>
    <row r="31" spans="1:8" ht="14.25" customHeight="1" x14ac:dyDescent="0.3">
      <c r="A31" s="181"/>
      <c r="B31" s="117">
        <v>6</v>
      </c>
      <c r="C31" s="118" t="s">
        <v>258</v>
      </c>
      <c r="D31" s="119" t="s">
        <v>259</v>
      </c>
      <c r="E31" s="118"/>
      <c r="F31" s="118">
        <v>10000</v>
      </c>
      <c r="G31" s="120">
        <v>2450</v>
      </c>
      <c r="H31" s="181"/>
    </row>
    <row r="32" spans="1:8" ht="14.25" customHeight="1" thickBot="1" x14ac:dyDescent="0.35">
      <c r="A32" s="181"/>
      <c r="B32" s="117">
        <v>6</v>
      </c>
      <c r="C32" s="118" t="s">
        <v>258</v>
      </c>
      <c r="D32" s="141" t="s">
        <v>259</v>
      </c>
      <c r="E32" s="118"/>
      <c r="F32" s="118">
        <v>10000</v>
      </c>
      <c r="G32" s="120">
        <v>2450</v>
      </c>
      <c r="H32" s="181"/>
    </row>
    <row r="33" spans="1:8" ht="14.25" customHeight="1" thickBot="1" x14ac:dyDescent="0.35">
      <c r="A33" s="121" t="s">
        <v>260</v>
      </c>
      <c r="B33" s="122">
        <f>SUM(B4:B32)</f>
        <v>39</v>
      </c>
      <c r="C33" s="123"/>
      <c r="D33" s="123"/>
      <c r="E33" s="123"/>
      <c r="F33" s="123"/>
      <c r="G33" s="123">
        <f>SUM(G4:G32)</f>
        <v>14746.05</v>
      </c>
      <c r="H33" s="124"/>
    </row>
    <row r="34" spans="1:8" ht="14.25" customHeight="1" x14ac:dyDescent="0.3">
      <c r="B34" s="26"/>
      <c r="C34" s="26"/>
      <c r="D34" s="26"/>
      <c r="E34" s="125" t="s">
        <v>261</v>
      </c>
      <c r="F34" s="125">
        <f>SUM(F15:F22)</f>
        <v>9600</v>
      </c>
      <c r="G34" s="26"/>
    </row>
    <row r="35" spans="1:8" ht="14.25" customHeight="1" x14ac:dyDescent="0.3">
      <c r="B35" s="26"/>
      <c r="C35" s="26"/>
      <c r="D35" s="26"/>
      <c r="E35" s="126" t="s">
        <v>262</v>
      </c>
      <c r="F35" s="126">
        <f>SUM(F31:F32)</f>
        <v>20000</v>
      </c>
      <c r="G35" s="26"/>
    </row>
    <row r="36" spans="1:8" ht="14.25" customHeight="1" x14ac:dyDescent="0.3">
      <c r="B36" s="26"/>
      <c r="E36" s="22"/>
      <c r="G36" s="22"/>
    </row>
    <row r="37" spans="1:8" ht="14.25" customHeight="1" thickBot="1" x14ac:dyDescent="0.35">
      <c r="D37" s="22" t="s">
        <v>263</v>
      </c>
      <c r="E37" s="22" t="s">
        <v>264</v>
      </c>
    </row>
    <row r="38" spans="1:8" ht="14.25" customHeight="1" thickBot="1" x14ac:dyDescent="0.35">
      <c r="B38" s="127" t="s">
        <v>265</v>
      </c>
      <c r="C38" s="142" t="s">
        <v>284</v>
      </c>
      <c r="D38" s="128">
        <v>5700</v>
      </c>
      <c r="E38" s="129">
        <v>19000</v>
      </c>
    </row>
    <row r="39" spans="1:8" ht="14.25" customHeight="1" thickBot="1" x14ac:dyDescent="0.35">
      <c r="B39" s="130" t="s">
        <v>266</v>
      </c>
      <c r="C39" s="142" t="s">
        <v>284</v>
      </c>
      <c r="D39" s="128">
        <v>5700</v>
      </c>
      <c r="E39" s="131">
        <v>19000</v>
      </c>
    </row>
    <row r="40" spans="1:8" ht="14.25" customHeight="1" x14ac:dyDescent="0.3">
      <c r="C40" s="132" t="s">
        <v>260</v>
      </c>
      <c r="D40" s="132">
        <f t="shared" ref="D40:E40" si="3">SUM(D38:D39)</f>
        <v>11400</v>
      </c>
      <c r="E40" s="132">
        <f t="shared" si="3"/>
        <v>38000</v>
      </c>
    </row>
    <row r="41" spans="1:8" ht="14.25" customHeight="1" x14ac:dyDescent="0.3">
      <c r="B41" s="26"/>
      <c r="E41" s="13"/>
      <c r="F41" s="13"/>
      <c r="G41" s="13"/>
    </row>
    <row r="42" spans="1:8" ht="14.25" customHeight="1" x14ac:dyDescent="0.3">
      <c r="B42" s="133" t="s">
        <v>267</v>
      </c>
      <c r="C42" s="134">
        <f>SUM('Tech Stack'!B43:E43)</f>
        <v>244</v>
      </c>
      <c r="E42" s="135"/>
      <c r="F42" s="13"/>
      <c r="G42" s="13"/>
    </row>
    <row r="43" spans="1:8" ht="14.25" customHeight="1" x14ac:dyDescent="0.3">
      <c r="B43" s="136" t="s">
        <v>268</v>
      </c>
      <c r="C43" s="134">
        <f>COUNTIF(C2:C35,"UTP Patch Panel")*48</f>
        <v>336</v>
      </c>
      <c r="E43" s="13"/>
      <c r="F43" s="13"/>
      <c r="G43" s="13"/>
    </row>
    <row r="44" spans="1:8" ht="14.25" customHeight="1" x14ac:dyDescent="0.3"/>
    <row r="45" spans="1:8" ht="14.25" customHeight="1" x14ac:dyDescent="0.3"/>
    <row r="46" spans="1:8" ht="14.25" customHeight="1" x14ac:dyDescent="0.3"/>
    <row r="47" spans="1:8" ht="14.25" customHeight="1" x14ac:dyDescent="0.3"/>
    <row r="48" spans="1: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mergeCells count="4">
    <mergeCell ref="A1:H1"/>
    <mergeCell ref="B4:B23"/>
    <mergeCell ref="A3:A32"/>
    <mergeCell ref="H3:H32"/>
  </mergeCells>
  <hyperlinks>
    <hyperlink ref="D31" r:id="rId1" xr:uid="{1B37F0A6-D40F-4213-B94B-7047626EBF45}"/>
    <hyperlink ref="C38" r:id="rId2" xr:uid="{98DC4FC7-4A22-4E33-86F2-131255D33E72}"/>
    <hyperlink ref="A1:H1" r:id="rId3" display="Open Frame Server 55U Rack" xr:uid="{525CF5EA-53EA-4EF1-8447-01CECD942435}"/>
    <hyperlink ref="C39" r:id="rId4" xr:uid="{2B8F90D3-D90C-4D8D-A351-948849D72138}"/>
  </hyperlinks>
  <pageMargins left="0.7" right="0.7" top="0.75" bottom="0.75" header="0" footer="0"/>
  <pageSetup orientation="landscape"/>
  <legacyDrawing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E42666-95DC-43E5-BF93-3746B5754D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Cable</vt:lpstr>
      <vt:lpstr>Fiber</vt:lpstr>
      <vt:lpstr>Tech Stack</vt:lpstr>
      <vt:lpstr>MDF</vt:lpstr>
      <vt:lpstr>IDF1</vt:lpstr>
      <vt:lpstr>IDF2</vt:lpstr>
      <vt:lpstr>IDF3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Grad Laurentiu</cp:lastModifiedBy>
  <cp:lastPrinted>2026-05-13T13:23:30Z</cp:lastPrinted>
  <dcterms:modified xsi:type="dcterms:W3CDTF">2026-05-13T13:24:10Z</dcterms:modified>
</cp:coreProperties>
</file>