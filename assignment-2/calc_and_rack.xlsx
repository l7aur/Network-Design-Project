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Anul 4\Sem 2\CPNP\Network-Design-Project\assignment-2\"/>
    </mc:Choice>
  </mc:AlternateContent>
  <xr:revisionPtr revIDLastSave="0" documentId="13_ncr:1_{E26368DE-5FDD-4245-AC6A-E5357F716E4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ble" sheetId="1" r:id="rId1"/>
    <sheet name="Fiber" sheetId="5" r:id="rId2"/>
    <sheet name="MDF" sheetId="2" r:id="rId3"/>
    <sheet name="IDF1" sheetId="3" r:id="rId4"/>
    <sheet name="IDF...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E12" i="5" l="1"/>
  <c r="G84" i="1"/>
  <c r="G85" i="1"/>
  <c r="G86" i="1"/>
  <c r="G87" i="1"/>
  <c r="G88" i="1"/>
  <c r="G83" i="1"/>
  <c r="G3" i="1"/>
  <c r="G5" i="1"/>
  <c r="G6" i="1"/>
  <c r="G7" i="1"/>
  <c r="G8" i="1"/>
  <c r="G9" i="1"/>
  <c r="G12" i="1"/>
  <c r="G13" i="1"/>
  <c r="G14" i="1"/>
  <c r="G15" i="1"/>
  <c r="G16" i="1"/>
  <c r="G17" i="1"/>
  <c r="G18" i="1"/>
  <c r="G19" i="1"/>
  <c r="G22" i="1"/>
  <c r="G23" i="1"/>
  <c r="G26" i="1"/>
  <c r="G27" i="1"/>
  <c r="G28" i="1"/>
  <c r="G29" i="1"/>
  <c r="G30" i="1"/>
  <c r="G32" i="1"/>
  <c r="G33" i="1"/>
  <c r="G34" i="1"/>
  <c r="G35" i="1"/>
  <c r="G36" i="1"/>
  <c r="G39" i="1"/>
  <c r="G40" i="1"/>
  <c r="G41" i="1"/>
  <c r="G42" i="1"/>
  <c r="G43" i="1"/>
  <c r="G44" i="1"/>
  <c r="G47" i="1"/>
  <c r="G48" i="1"/>
  <c r="G50" i="1"/>
  <c r="G51" i="1"/>
  <c r="G52" i="1"/>
  <c r="G53" i="1"/>
  <c r="G54" i="1"/>
  <c r="G57" i="1"/>
  <c r="G58" i="1"/>
  <c r="G59" i="1"/>
  <c r="G60" i="1"/>
  <c r="G61" i="1"/>
  <c r="G62" i="1"/>
  <c r="G63" i="1"/>
  <c r="G64" i="1"/>
  <c r="G67" i="1"/>
  <c r="G68" i="1"/>
  <c r="G71" i="1"/>
  <c r="G72" i="1"/>
  <c r="G73" i="1"/>
  <c r="G74" i="1"/>
  <c r="G76" i="1"/>
  <c r="G77" i="1"/>
  <c r="G78" i="1"/>
  <c r="G79" i="1"/>
  <c r="G80" i="1"/>
  <c r="G2" i="1"/>
  <c r="I61" i="1" a="1"/>
  <c r="I61" i="1" s="1"/>
  <c r="I60" i="1" a="1"/>
  <c r="I60" i="1" s="1"/>
  <c r="I59" i="1" a="1"/>
  <c r="I59" i="1" s="1"/>
  <c r="I58" i="1" a="1"/>
  <c r="I58" i="1" s="1"/>
  <c r="I57" i="1" a="1"/>
  <c r="I57" i="1" s="1"/>
  <c r="I54" i="1" a="1"/>
  <c r="I54" i="1" s="1"/>
  <c r="I53" i="1" a="1"/>
  <c r="I53" i="1" s="1"/>
  <c r="I52" i="1" a="1"/>
  <c r="I52" i="1" s="1"/>
  <c r="I51" i="1" a="1"/>
  <c r="I51" i="1" s="1"/>
  <c r="I50" i="1" a="1"/>
  <c r="I50" i="1" s="1"/>
  <c r="I48" i="1" a="1"/>
  <c r="I48" i="1" s="1"/>
  <c r="I47" i="1" a="1"/>
  <c r="I47" i="1" s="1"/>
  <c r="I44" i="1" a="1"/>
  <c r="I44" i="1" s="1"/>
  <c r="I43" i="1" a="1"/>
  <c r="I43" i="1" s="1"/>
  <c r="I42" i="1" a="1"/>
  <c r="I42" i="1" s="1"/>
  <c r="I41" i="1" a="1"/>
  <c r="I41" i="1" s="1"/>
  <c r="I40" i="1" a="1"/>
  <c r="I40" i="1" s="1"/>
  <c r="I39" i="1" a="1"/>
  <c r="I39" i="1" s="1"/>
  <c r="I36" i="1" a="1"/>
  <c r="I36" i="1" s="1"/>
  <c r="I35" i="1" a="1"/>
  <c r="I35" i="1" s="1"/>
  <c r="I34" i="1" a="1"/>
  <c r="I34" i="1" s="1"/>
  <c r="I33" i="1" a="1"/>
  <c r="I33" i="1" s="1"/>
  <c r="I32" i="1" a="1"/>
  <c r="I32" i="1" s="1"/>
  <c r="I30" i="1" a="1"/>
  <c r="I30" i="1" s="1"/>
  <c r="I28" i="1" a="1"/>
  <c r="I28" i="1" s="1"/>
  <c r="I29" i="1" a="1"/>
  <c r="I29" i="1" s="1"/>
  <c r="I27" i="1" a="1"/>
  <c r="I27" i="1" s="1"/>
  <c r="I26" i="1" a="1"/>
  <c r="I26" i="1" s="1"/>
  <c r="I23" i="1" a="1"/>
  <c r="I23" i="1" s="1"/>
  <c r="I22" i="1" a="1"/>
  <c r="I22" i="1" s="1"/>
  <c r="I17" i="1" a="1"/>
  <c r="I17" i="1" s="1"/>
  <c r="I19" i="1" a="1"/>
  <c r="I19" i="1" s="1"/>
  <c r="I18" i="1" a="1"/>
  <c r="I18" i="1" s="1"/>
  <c r="I16" i="1" a="1"/>
  <c r="I16" i="1" s="1"/>
  <c r="I15" i="1" a="1"/>
  <c r="I15" i="1" s="1"/>
  <c r="I14" i="1" a="1"/>
  <c r="I14" i="1" s="1"/>
  <c r="I62" i="1" a="1"/>
  <c r="I62" i="1"/>
  <c r="I63" i="1" a="1"/>
  <c r="I63" i="1" s="1"/>
  <c r="I64" i="1" a="1"/>
  <c r="I64" i="1" s="1"/>
  <c r="I67" i="1" a="1"/>
  <c r="I67" i="1" s="1"/>
  <c r="I68" i="1" a="1"/>
  <c r="I68" i="1" s="1"/>
  <c r="I71" i="1" a="1"/>
  <c r="I71" i="1" s="1"/>
  <c r="I72" i="1" a="1"/>
  <c r="I72" i="1" s="1"/>
  <c r="I73" i="1" a="1"/>
  <c r="I73" i="1" s="1"/>
  <c r="I74" i="1" a="1"/>
  <c r="I74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3" i="1" a="1"/>
  <c r="I83" i="1" s="1"/>
  <c r="I84" i="1" a="1"/>
  <c r="I84" i="1" s="1"/>
  <c r="I85" i="1" a="1"/>
  <c r="I85" i="1" s="1"/>
  <c r="I87" i="1" a="1"/>
  <c r="I87" i="1" s="1"/>
  <c r="I88" i="1" a="1"/>
  <c r="I88" i="1" s="1"/>
  <c r="I86" i="1" a="1"/>
  <c r="I86" i="1" s="1"/>
  <c r="I13" i="1" a="1"/>
  <c r="I13" i="1" s="1"/>
  <c r="I12" i="1" a="1"/>
  <c r="I12" i="1" s="1"/>
  <c r="I9" i="1" a="1"/>
  <c r="I9" i="1" s="1"/>
  <c r="I8" i="1" a="1"/>
  <c r="I8" i="1" s="1"/>
  <c r="I7" i="1" a="1"/>
  <c r="I7" i="1" s="1"/>
  <c r="I5" i="1" a="1"/>
  <c r="I5" i="1" s="1"/>
  <c r="I6" i="1" a="1"/>
  <c r="I6" i="1" s="1"/>
  <c r="I3" i="1" a="1"/>
  <c r="I3" i="1" s="1"/>
  <c r="I2" i="1" a="1"/>
  <c r="I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E72" i="1"/>
  <c r="F72" i="1" s="1"/>
  <c r="E71" i="1"/>
  <c r="F71" i="1" s="1"/>
  <c r="E68" i="1"/>
  <c r="F68" i="1" s="1"/>
  <c r="E67" i="1"/>
  <c r="F67" i="1" s="1"/>
  <c r="J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E53" i="1"/>
  <c r="F53" i="1" s="1"/>
  <c r="E52" i="1"/>
  <c r="F52" i="1" s="1"/>
  <c r="E51" i="1"/>
  <c r="F51" i="1" s="1"/>
  <c r="E50" i="1"/>
  <c r="F50" i="1" s="1"/>
  <c r="E48" i="1"/>
  <c r="F48" i="1" s="1"/>
  <c r="E47" i="1"/>
  <c r="F47" i="1" s="1"/>
  <c r="E44" i="1"/>
  <c r="F44" i="1" s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E8" i="1"/>
  <c r="F8" i="1" s="1"/>
  <c r="E7" i="1"/>
  <c r="F7" i="1" s="1"/>
  <c r="E6" i="1"/>
  <c r="F6" i="1" s="1"/>
  <c r="J6" i="1" s="1"/>
  <c r="E5" i="1"/>
  <c r="F5" i="1" s="1"/>
  <c r="E3" i="1"/>
  <c r="F3" i="1" s="1"/>
  <c r="J3" i="1" s="1"/>
  <c r="E2" i="1"/>
  <c r="F2" i="1" s="1"/>
  <c r="J41" i="1" l="1"/>
  <c r="J19" i="1"/>
  <c r="J18" i="1"/>
  <c r="J77" i="1"/>
  <c r="J78" i="1"/>
  <c r="J17" i="1"/>
  <c r="J36" i="1"/>
  <c r="J2" i="1"/>
  <c r="J42" i="1"/>
  <c r="J22" i="1"/>
  <c r="J64" i="1"/>
  <c r="J43" i="1"/>
  <c r="J73" i="1"/>
  <c r="J63" i="1"/>
  <c r="J8" i="1"/>
  <c r="J76" i="1"/>
  <c r="J5" i="1"/>
  <c r="J74" i="1"/>
  <c r="J9" i="1"/>
  <c r="J7" i="1"/>
  <c r="J28" i="1"/>
  <c r="J30" i="1"/>
  <c r="J33" i="1"/>
  <c r="J57" i="1"/>
  <c r="J14" i="1"/>
  <c r="J68" i="1"/>
  <c r="J48" i="1"/>
  <c r="J50" i="1"/>
  <c r="J29" i="1"/>
  <c r="J51" i="1"/>
  <c r="J58" i="1"/>
  <c r="J60" i="1"/>
  <c r="J83" i="1"/>
  <c r="J32" i="1"/>
  <c r="J79" i="1"/>
  <c r="J59" i="1"/>
  <c r="J39" i="1"/>
  <c r="J40" i="1"/>
  <c r="J61" i="1"/>
  <c r="J71" i="1"/>
  <c r="J54" i="1"/>
  <c r="J34" i="1"/>
  <c r="J35" i="1"/>
  <c r="J80" i="1"/>
  <c r="J16" i="1"/>
  <c r="J52" i="1"/>
  <c r="J47" i="1"/>
  <c r="J23" i="1"/>
  <c r="J12" i="1"/>
  <c r="J13" i="1"/>
  <c r="J44" i="1"/>
  <c r="J26" i="1"/>
  <c r="J72" i="1"/>
  <c r="J53" i="1"/>
  <c r="J15" i="1"/>
  <c r="J84" i="1"/>
  <c r="J62" i="1"/>
  <c r="J85" i="1"/>
  <c r="J88" i="1"/>
  <c r="J27" i="1"/>
  <c r="J86" i="1"/>
  <c r="J87" i="1"/>
  <c r="F65" i="1"/>
  <c r="F20" i="1"/>
  <c r="F89" i="1"/>
  <c r="F45" i="1"/>
  <c r="J89" i="1" l="1"/>
  <c r="J65" i="1"/>
  <c r="J45" i="1"/>
  <c r="J20" i="1"/>
  <c r="F91" i="1"/>
  <c r="J91" i="1" l="1"/>
  <c r="C97" i="1" s="1"/>
  <c r="J93" i="1" l="1"/>
  <c r="J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J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<sst xmlns="http://schemas.openxmlformats.org/spreadsheetml/2006/main" count="331" uniqueCount="184">
  <si>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</si>
  <si>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</si>
  <si>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</si>
  <si>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</si>
  <si>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</si>
  <si>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</si>
  <si>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</si>
  <si>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</si>
  <si>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</si>
  <si>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</si>
  <si>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</si>
  <si>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</si>
  <si>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</si>
  <si>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</si>
  <si>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</si>
  <si>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</si>
  <si>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</si>
  <si>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</si>
  <si>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</si>
  <si>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</si>
  <si>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</si>
  <si>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</si>
  <si>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</si>
  <si>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</si>
  <si>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</si>
  <si>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</si>
  <si>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</si>
  <si>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</si>
  <si>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</si>
  <si>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</si>
  <si>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</si>
  <si>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</si>
  <si>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</si>
  <si>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</si>
  <si>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</si>
  <si>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</si>
  <si>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</si>
  <si>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</si>
  <si>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</si>
  <si>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</si>
  <si>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</si>
  <si>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</si>
  <si>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</si>
  <si>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</si>
  <si>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</si>
  <si>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</si>
  <si>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</si>
  <si>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</si>
  <si>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</si>
  <si>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</si>
  <si>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</si>
  <si>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</si>
  <si>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</si>
  <si>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</si>
  <si>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</si>
  <si>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</si>
  <si>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</si>
  <si>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</si>
  <si>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</si>
  <si>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</si>
  <si>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</si>
  <si>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</si>
  <si>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</si>
  <si>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</si>
  <si>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</si>
  <si>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</si>
  <si>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</si>
  <si>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</si>
  <si>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</si>
  <si>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</si>
  <si>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</si>
  <si>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</si>
  <si>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</si>
  <si>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</si>
  <si>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</si>
  <si>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</si>
  <si>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</si>
  <si>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</si>
  <si>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</si>
  <si>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</si>
  <si>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</si>
  <si>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</si>
  <si>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</si>
  <si>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</si>
  <si>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</si>
  <si>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</si>
  <si>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</si>
  <si>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</si>
  <si>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</si>
  <si>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</si>
  <si>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</si>
  <si>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</si>
  <si>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</si>
  <si>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</si>
  <si>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</si>
  <si>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</si>
  <si>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</si>
  <si>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</si>
  <si>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</si>
  <si>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</si>
  <si>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</si>
  <si>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</si>
  <si>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</si>
  <si>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</si>
  <si>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</si>
  <si>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</si>
  <si>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</si>
  <si>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</si>
  <si>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</si>
  <si>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</si>
  <si>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</si>
  <si>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</si>
  <si>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</si>
  <si>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</si>
  <si>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</si>
  <si>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</si>
  <si>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</si>
  <si>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</si>
  <si>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</si>
  <si>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</si>
  <si>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</si>
  <si>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</si>
  <si>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</si>
  <si>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</si>
  <si>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</si>
  <si>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</si>
  <si>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</si>
  <si>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</si>
  <si>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</si>
  <si>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</si>
  <si>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</si>
  <si>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</si>
  <si>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</si>
  <si>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</si>
  <si>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</si>
  <si>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</si>
  <si>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</si>
  <si>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</si>
  <si>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</si>
  <si>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</si>
  <si>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</si>
  <si>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</si>
  <si>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</si>
  <si>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</si>
  <si>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</si>
  <si>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</si>
  <si>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</si>
  <si>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</si>
  <si>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</si>
  <si>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</si>
  <si>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</si>
  <si>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</si>
  <si>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</si>
  <si>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</si>
  <si>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</si>
  <si>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</si>
  <si>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</si>
  <si>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</si>
  <si>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</si>
  <si>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</si>
  <si>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</si>
  <si>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</si>
  <si>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</si>
  <si>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</si>
  <si>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</si>
  <si>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</si>
  <si>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</si>
  <si>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</si>
  <si>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</si>
  <si>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</si>
  <si>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</si>
  <si>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</si>
  <si>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</si>
  <si>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</si>
  <si>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</si>
  <si>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Rounded_Dist_To_DF</t>
  </si>
  <si>
    <t>A0 (MDF)</t>
  </si>
  <si>
    <t>B1 (MDF)</t>
  </si>
  <si>
    <t>B0 (IDF1)</t>
  </si>
  <si>
    <t>A1 (IDF1)</t>
  </si>
  <si>
    <t>C0 (IDF2)</t>
  </si>
  <si>
    <t>D1 (IDF2)</t>
  </si>
  <si>
    <t>D0 (IDF3)</t>
  </si>
  <si>
    <t>C1 (IDF3)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</si>
</sst>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20" xfId="0" applyFont="1" applyBorder="1"/>
    <xf numFmtId="0" fontId="2" fillId="0" borderId="3" xfId="0" applyFont="1" applyBorder="1"/>
    <xf numFmtId="0" fontId="7" fillId="10" borderId="21" xfId="0" applyFont="1" applyFill="1" applyBorder="1"/>
    <xf numFmtId="0" fontId="7" fillId="10" borderId="22" xfId="0" applyFont="1" applyFill="1" applyBorder="1"/>
    <xf numFmtId="0" fontId="2" fillId="10" borderId="23" xfId="0" applyFont="1" applyFill="1" applyBorder="1"/>
    <xf numFmtId="0" fontId="2" fillId="10" borderId="1" xfId="0" applyFont="1" applyFill="1" applyBorder="1"/>
    <xf numFmtId="0" fontId="2" fillId="0" borderId="21" xfId="0" applyFont="1" applyBorder="1"/>
    <xf numFmtId="0" fontId="2" fillId="0" borderId="24" xfId="0" applyFont="1" applyBorder="1"/>
    <xf numFmtId="0" fontId="2" fillId="0" borderId="22" xfId="0" applyFont="1" applyBorder="1"/>
    <xf numFmtId="0" fontId="2" fillId="11" borderId="1" xfId="0" applyFont="1" applyFill="1" applyBorder="1"/>
    <xf numFmtId="0" fontId="2" fillId="0" borderId="7" xfId="0" applyFont="1" applyBorder="1"/>
    <xf numFmtId="0" fontId="2" fillId="0" borderId="25" xfId="0" applyFont="1" applyBorder="1"/>
    <xf numFmtId="0" fontId="1" fillId="12" borderId="26" xfId="0" applyFont="1" applyFill="1" applyBorder="1"/>
    <xf numFmtId="0" fontId="1" fillId="12" borderId="27" xfId="0" applyFont="1" applyFill="1" applyBorder="1"/>
    <xf numFmtId="0" fontId="1" fillId="12" borderId="28" xfId="0" applyFont="1" applyFill="1" applyBorder="1"/>
    <xf numFmtId="0" fontId="1" fillId="11" borderId="29" xfId="0" applyFont="1" applyFill="1" applyBorder="1"/>
    <xf numFmtId="0" fontId="5" fillId="0" borderId="0" xfId="0" applyFont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1" fillId="13" borderId="29" xfId="0" applyFont="1" applyFill="1" applyBorder="1"/>
    <xf numFmtId="0" fontId="2" fillId="14" borderId="29" xfId="0" applyFont="1" applyFill="1" applyBorder="1" applyAlignment="1">
      <alignment vertical="top" wrapText="1"/>
    </xf>
    <xf numFmtId="0" fontId="2" fillId="14" borderId="29" xfId="0" applyFont="1" applyFill="1" applyBorder="1"/>
    <xf numFmtId="0" fontId="2" fillId="14" borderId="29" xfId="0" applyFont="1" applyFill="1" applyBorder="1" applyAlignment="1">
      <alignment wrapText="1"/>
    </xf>
    <xf numFmtId="0" fontId="2" fillId="3" borderId="29" xfId="0" applyFont="1" applyFill="1" applyBorder="1"/>
    <xf numFmtId="0" fontId="1" fillId="0" borderId="0" xfId="0" applyFont="1" applyAlignment="1">
      <alignment wrapText="1"/>
    </xf>
    <xf numFmtId="0" fontId="2" fillId="13" borderId="29" xfId="0" applyFont="1" applyFill="1" applyBorder="1"/>
    <xf numFmtId="0" fontId="8" fillId="15" borderId="29" xfId="0" applyFont="1" applyFill="1" applyBorder="1"/>
    <xf numFmtId="0" fontId="5" fillId="0" borderId="29" xfId="0" applyFont="1" applyBorder="1"/>
    <xf numFmtId="2" fontId="5" fillId="0" borderId="29" xfId="0" applyNumberFormat="1" applyFont="1" applyBorder="1"/>
    <xf numFmtId="49" fontId="5" fillId="0" borderId="29" xfId="0" applyNumberFormat="1" applyFont="1" applyBorder="1"/>
    <xf numFmtId="0" fontId="11" fillId="0" borderId="29" xfId="0" applyFont="1" applyBorder="1"/>
    <xf numFmtId="0" fontId="10" fillId="0" borderId="29" xfId="0" applyFont="1" applyBorder="1" applyAlignment="1">
      <alignment vertical="center"/>
    </xf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11" fillId="0" borderId="49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49" fontId="1" fillId="8" borderId="5" xfId="0" applyNumberFormat="1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2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2" fillId="0" borderId="17" xfId="0" applyFont="1" applyBorder="1" applyAlignment="1">
      <alignment horizontal="center" vertical="center" textRotation="255"/>
    </xf>
    <xf numFmtId="0" fontId="3" fillId="0" borderId="19" xfId="0" applyFont="1" applyBorder="1"/>
    <xf numFmtId="0" fontId="3" fillId="0" borderId="29" xfId="0" applyFont="1" applyBorder="1"/>
    <xf numFmtId="0" fontId="12" fillId="0" borderId="1" xfId="0" applyFont="1" applyBorder="1"/>
    <xf numFmtId="49" fontId="1" fillId="8" borderId="6" xfId="0" applyNumberFormat="1" applyFont="1" applyFill="1" applyBorder="1" applyAlignment="1">
      <alignment horizontal="center" vertical="center"/>
    </xf>
    <xf numFmtId="49" fontId="1" fillId="8" borderId="7" xfId="0" applyNumberFormat="1" applyFont="1" applyFill="1" applyBorder="1" applyAlignment="1">
      <alignment horizontal="center" vertical="center"/>
    </xf>
    <xf numFmtId="49" fontId="1" fillId="8" borderId="8" xfId="0" applyNumberFormat="1" applyFont="1" applyFill="1" applyBorder="1" applyAlignment="1">
      <alignment horizontal="center" vertical="center"/>
    </xf>
    <xf numFmtId="49" fontId="1" fillId="8" borderId="9" xfId="0" applyNumberFormat="1" applyFont="1" applyFill="1" applyBorder="1" applyAlignment="1">
      <alignment horizontal="center" vertical="center"/>
    </xf>
    <xf numFmtId="49" fontId="1" fillId="8" borderId="10" xfId="0" applyNumberFormat="1" applyFont="1" applyFill="1" applyBorder="1" applyAlignment="1">
      <alignment horizontal="center" vertical="center"/>
    </xf>
    <xf numFmtId="49" fontId="2" fillId="7" borderId="3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workbookViewId="0">
      <pane ySplit="1" topLeftCell="A77" activePane="bottomLeft" state="frozen"/>
      <selection pane="bottomLeft" activeCell="O68" sqref="O68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3.88671875" customWidth="1"/>
    <col min="7" max="8" width="10.44140625" customWidth="1"/>
    <col min="9" max="9" width="12.6640625" customWidth="1"/>
    <col min="10" max="10" width="13.6640625" customWidth="1"/>
    <col min="11" max="11" width="12.6640625" customWidth="1"/>
    <col min="12" max="27" width="8.6640625" customWidth="1"/>
  </cols>
  <sheetData>
    <row r="1" spans="1:11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0" t="s">
        <v>175</v>
      </c>
      <c r="H1" s="1" t="s">
        <v>6</v>
      </c>
      <c r="I1" s="2" t="s">
        <v>7</v>
      </c>
      <c r="J1" s="1" t="s">
        <v>8</v>
      </c>
      <c r="K1" s="3" t="s">
        <v>9</v>
      </c>
    </row>
    <row r="2" spans="1:11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f>_xlfn.CEILING.MATH(H2)</f>
        <v>10</v>
      </c>
      <c r="H2" s="7">
        <v>9.4</v>
      </c>
      <c r="I2" s="8" cm="1">
        <f t="array" ref="I2">_xlfn.CEILING.MATH(_xlfn.SWITCH(K2, "A", 13.21, "B", 4.86, "C", 10.56, "D", 10.87, "E", 16.75, "F", 22, "G", 13.2, "H", 19.3, "I", 17.5, "J", 12.8, "K", 17.3, "L", 17, -1))</f>
        <v>14</v>
      </c>
      <c r="J2" s="9">
        <f>_xlfn.CEILING.MATH(2*F2*(G2+I2+6))</f>
        <v>360</v>
      </c>
      <c r="K2" s="10" t="s">
        <v>12</v>
      </c>
    </row>
    <row r="3" spans="1:11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f t="shared" ref="G3:G66" si="2">_xlfn.CEILING.MATH(H3)</f>
        <v>17</v>
      </c>
      <c r="H3" s="7">
        <v>16.11</v>
      </c>
      <c r="I3" s="8" cm="1">
        <f t="array" ref="I3">_xlfn.CEILING.MATH(_xlfn.SWITCH(K3, "A", 13.21, "B", 4.86, "C", 10.56, "D", 10.87, "E", 16.75, "F", 22, "G", 13.2, "H", 19.3, "I", 17.5, "J", 12.8, "K", 17.3, "L", 17, -1))</f>
        <v>5</v>
      </c>
      <c r="J3" s="9">
        <f>_xlfn.CEILING.MATH(2*F3*(G3+I3+6))</f>
        <v>336</v>
      </c>
      <c r="K3" s="10" t="s">
        <v>14</v>
      </c>
    </row>
    <row r="4" spans="1:11" ht="14.25" customHeight="1" x14ac:dyDescent="0.3">
      <c r="A4" s="11" t="s">
        <v>15</v>
      </c>
      <c r="B4" s="87" t="s">
        <v>11</v>
      </c>
      <c r="C4" s="106"/>
      <c r="D4" s="106"/>
      <c r="E4" s="106"/>
      <c r="F4" s="106"/>
      <c r="G4" s="106"/>
      <c r="H4" s="106"/>
      <c r="I4" s="106"/>
      <c r="J4" s="106"/>
      <c r="K4" s="107"/>
    </row>
    <row r="5" spans="1:11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f t="shared" si="2"/>
        <v>22</v>
      </c>
      <c r="H5" s="7">
        <v>21.82</v>
      </c>
      <c r="I5" s="8" cm="1">
        <f t="array" ref="I5">_xlfn.CEILING.MATH(_xlfn.SWITCH(K5, "A", 13.21, "B", 4.86, "C", 10.56, "D", 10.87, "E", 16.75, "F", 22, "G", 13.2, "H", 19.3, "I", 17.5, "J", 12.8, "K", 17.3, "L", 17, -1))</f>
        <v>11</v>
      </c>
      <c r="J5" s="9">
        <f>_xlfn.CEILING.MATH(2*F5*(G5+I5+6))</f>
        <v>390</v>
      </c>
      <c r="K5" s="10" t="s">
        <v>17</v>
      </c>
    </row>
    <row r="6" spans="1:11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f t="shared" si="2"/>
        <v>28</v>
      </c>
      <c r="H6" s="7">
        <v>27.82</v>
      </c>
      <c r="I6" s="8" cm="1">
        <f t="array" ref="I6">_xlfn.CEILING.MATH(_xlfn.SWITCH(K6, "A", 13.21, "B", 4.86, "C", 10.56, "D", 10.87, "E", 16.75, "F", 22, "G", 13.2, "H", 19.3, "I", 17.5, "J", 12.8, "K", 17.3, "L", 17, -1))</f>
        <v>11</v>
      </c>
      <c r="J6" s="9">
        <f>_xlfn.CEILING.MATH(2*F6*(G6+I6+6))</f>
        <v>450</v>
      </c>
      <c r="K6" s="10" t="s">
        <v>17</v>
      </c>
    </row>
    <row r="7" spans="1:11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f t="shared" si="2"/>
        <v>34</v>
      </c>
      <c r="H7" s="7">
        <v>33.53</v>
      </c>
      <c r="I7" s="8" cm="1">
        <f t="array" ref="I7">_xlfn.CEILING.MATH(_xlfn.SWITCH(K7, "A", 13.21, "B", 4.86, "C", 10.56, "D", 10.87, "E", 16.75, "F", 22, "G", 13.2, "H", 19.3, "I", 17.5, "J", 12.8, "K", 17.3, "L", 17, -1))</f>
        <v>11</v>
      </c>
      <c r="J7" s="9">
        <f>_xlfn.CEILING.MATH(2*F7*(G7+I7+6))</f>
        <v>510</v>
      </c>
      <c r="K7" s="10" t="s">
        <v>17</v>
      </c>
    </row>
    <row r="8" spans="1:11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f t="shared" si="2"/>
        <v>40</v>
      </c>
      <c r="H8" s="7">
        <v>39.53</v>
      </c>
      <c r="I8" s="8" cm="1">
        <f t="array" ref="I8">_xlfn.CEILING.MATH(_xlfn.SWITCH(K8, "A", 13.21, "B", 4.86, "C", 10.56, "D", 10.87, "E", 16.75, "F", 22, "G", 13.2, "H", 19.3, "I", 17.5, "J", 12.8, "K", 17.3, "L", 17, -1))</f>
        <v>11</v>
      </c>
      <c r="J8" s="9">
        <f>_xlfn.CEILING.MATH(2*F8*(G8+I8+6))</f>
        <v>570</v>
      </c>
      <c r="K8" s="10" t="s">
        <v>17</v>
      </c>
    </row>
    <row r="9" spans="1:11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f t="shared" si="2"/>
        <v>46</v>
      </c>
      <c r="H9" s="7">
        <v>45.24</v>
      </c>
      <c r="I9" s="8" cm="1">
        <f t="array" ref="I9">_xlfn.CEILING.MATH(_xlfn.SWITCH(K9, "A", 13.21, "B", 4.86, "C", 10.56, "D", 10.87, "E", 16.75, "F", 22, "G", 13.2, "H", 19.3, "I", 17.5, "J", 12.8, "K", 17.3, "L", 17, -1))</f>
        <v>11</v>
      </c>
      <c r="J9" s="9">
        <f>_xlfn.CEILING.MATH(2*F9*(G9+I9+6))</f>
        <v>630</v>
      </c>
      <c r="K9" s="10" t="s">
        <v>17</v>
      </c>
    </row>
    <row r="10" spans="1:11" ht="14.25" customHeight="1" x14ac:dyDescent="0.3">
      <c r="A10" s="12" t="s">
        <v>22</v>
      </c>
      <c r="B10" s="86" t="s">
        <v>23</v>
      </c>
      <c r="C10" s="101"/>
      <c r="D10" s="101"/>
      <c r="E10" s="101"/>
      <c r="F10" s="101"/>
      <c r="G10" s="101"/>
      <c r="H10" s="101"/>
      <c r="I10" s="101"/>
      <c r="J10" s="101"/>
      <c r="K10" s="102"/>
    </row>
    <row r="11" spans="1:11" ht="14.25" customHeight="1" x14ac:dyDescent="0.3">
      <c r="A11" s="12" t="s">
        <v>24</v>
      </c>
      <c r="B11" s="103"/>
      <c r="C11" s="104"/>
      <c r="D11" s="104"/>
      <c r="E11" s="104"/>
      <c r="F11" s="104"/>
      <c r="G11" s="104"/>
      <c r="H11" s="104"/>
      <c r="I11" s="104"/>
      <c r="J11" s="104"/>
      <c r="K11" s="105"/>
    </row>
    <row r="12" spans="1:11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5">C12*D12</f>
        <v>97.75</v>
      </c>
      <c r="F12" s="6">
        <f t="shared" ref="F12:F19" si="6">ROUNDUP(E12/10,0)</f>
        <v>10</v>
      </c>
      <c r="G12" s="7">
        <f t="shared" si="2"/>
        <v>1</v>
      </c>
      <c r="H12" s="7">
        <v>0.5</v>
      </c>
      <c r="I12" s="8" cm="1">
        <f t="array" ref="I12">_xlfn.CEILING.MATH(_xlfn.SWITCH(K12, "A", 13.21, "B", 4.86, "C", 10.56, "D", 10.87, "E", 16.75, "F", 22, "G", 13.2, "H", 19.3, "I", 17.5, "J", 12.8, "K", 17.3, "L", 17, -1))</f>
        <v>11</v>
      </c>
      <c r="J12" s="9">
        <f>_xlfn.CEILING.MATH(2*F12*(G12+I12+6))</f>
        <v>360</v>
      </c>
      <c r="K12" s="10" t="s">
        <v>26</v>
      </c>
    </row>
    <row r="13" spans="1:11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5"/>
        <v>330</v>
      </c>
      <c r="F13" s="6">
        <f t="shared" si="6"/>
        <v>33</v>
      </c>
      <c r="G13" s="7">
        <f t="shared" si="2"/>
        <v>5</v>
      </c>
      <c r="H13" s="7">
        <v>5</v>
      </c>
      <c r="I13" s="8" cm="1">
        <f t="array" ref="I13">_xlfn.CEILING.MATH(_xlfn.SWITCH(K13, "A", 13.21, "B", 4.86, "C", 10.56, "D", 10.87, "E", 16.75, "F", 22, "G", 13.2, "H", 19.3, "I", 17.5, "J", 12.8, "K", 17.3, "L", 17, -1))</f>
        <v>22</v>
      </c>
      <c r="J13" s="9">
        <f>_xlfn.CEILING.MATH(2*F13*(G13+I13+6))</f>
        <v>2178</v>
      </c>
      <c r="K13" s="10" t="s">
        <v>28</v>
      </c>
    </row>
    <row r="14" spans="1:11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5"/>
        <v>74.75</v>
      </c>
      <c r="F14" s="6">
        <f t="shared" si="6"/>
        <v>8</v>
      </c>
      <c r="G14" s="7">
        <f t="shared" si="2"/>
        <v>85</v>
      </c>
      <c r="H14" s="7">
        <v>84.64</v>
      </c>
      <c r="I14" s="8" cm="1">
        <f t="array" ref="I14">_xlfn.CEILING.MATH(_xlfn.SWITCH(K14, "A", 13.21, "B", 4.86, "C", 10.56, "D", 10.87, "E", 16.75, "F", 22, "G", 13.2, "H", 19.3, "I", 17.5, "J", 12.8, "K", 17.3, "L", 17, -1))</f>
        <v>17</v>
      </c>
      <c r="J14" s="9">
        <f>_xlfn.CEILING.MATH(2*F14*(G14+I14+6))</f>
        <v>1728</v>
      </c>
      <c r="K14" s="10" t="s">
        <v>30</v>
      </c>
    </row>
    <row r="15" spans="1:11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5"/>
        <v>74.75</v>
      </c>
      <c r="F15" s="6">
        <f t="shared" si="6"/>
        <v>8</v>
      </c>
      <c r="G15" s="7">
        <f t="shared" si="2"/>
        <v>92</v>
      </c>
      <c r="H15" s="7">
        <v>91.78</v>
      </c>
      <c r="I15" s="8" cm="1">
        <f t="array" ref="I15">_xlfn.CEILING.MATH(_xlfn.SWITCH(K15, "A", 13.21, "B", 4.86, "C", 10.56, "D", 10.87, "E", 16.75, "F", 22, "G", 13.2, "H", 19.3, "I", 17.5, "J", 12.8, "K", 17.3, "L", 17, -1))</f>
        <v>17</v>
      </c>
      <c r="J15" s="9">
        <f>_xlfn.CEILING.MATH(2*F15*(G15+I15+6))</f>
        <v>1840</v>
      </c>
      <c r="K15" s="10" t="s">
        <v>30</v>
      </c>
    </row>
    <row r="16" spans="1:11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5"/>
        <v>74.75</v>
      </c>
      <c r="F16" s="6">
        <f t="shared" si="6"/>
        <v>8</v>
      </c>
      <c r="G16" s="7">
        <f t="shared" si="2"/>
        <v>99</v>
      </c>
      <c r="H16" s="7">
        <v>98.78</v>
      </c>
      <c r="I16" s="8" cm="1">
        <f t="array" ref="I16">_xlfn.CEILING.MATH(_xlfn.SWITCH(K16, "A", 13.21, "B", 4.86, "C", 10.56, "D", 10.87, "E", 16.75, "F", 22, "G", 13.2, "H", 19.3, "I", 17.5, "J", 12.8, "K", 17.3, "L", 17, -1))</f>
        <v>17</v>
      </c>
      <c r="J16" s="9">
        <f>_xlfn.CEILING.MATH(2*F16*(G16+I16+6))</f>
        <v>1952</v>
      </c>
      <c r="K16" s="10" t="s">
        <v>30</v>
      </c>
    </row>
    <row r="17" spans="1:11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5"/>
        <v>74.75</v>
      </c>
      <c r="F17" s="6">
        <f t="shared" si="6"/>
        <v>8</v>
      </c>
      <c r="G17" s="7">
        <f t="shared" si="2"/>
        <v>106</v>
      </c>
      <c r="H17" s="7">
        <v>105.92</v>
      </c>
      <c r="I17" s="8" cm="1">
        <f t="array" ref="I17">_xlfn.CEILING.MATH(_xlfn.SWITCH(K17, "A", 13.21, "B", 4.86, "C", 10.56, "D", 10.87, "E", 16.75, "F", 22, "G", 13.2, "H", 19.3, "I", 17.5, "J", 12.8, "K", 17.3, "L", 17, -1))</f>
        <v>17</v>
      </c>
      <c r="J17" s="9">
        <f>_xlfn.CEILING.MATH(2*F17*(G17+I17+6))</f>
        <v>2064</v>
      </c>
      <c r="K17" s="10" t="s">
        <v>30</v>
      </c>
    </row>
    <row r="18" spans="1:11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5"/>
        <v>74.75</v>
      </c>
      <c r="F18" s="6">
        <f t="shared" si="6"/>
        <v>8</v>
      </c>
      <c r="G18" s="7">
        <f t="shared" si="2"/>
        <v>113</v>
      </c>
      <c r="H18" s="7">
        <v>112.92</v>
      </c>
      <c r="I18" s="8" cm="1">
        <f t="array" ref="I18">_xlfn.CEILING.MATH(_xlfn.SWITCH(K18, "A", 13.21, "B", 4.86, "C", 10.56, "D", 10.87, "E", 16.75, "F", 22, "G", 13.2, "H", 19.3, "I", 17.5, "J", 12.8, "K", 17.3, "L", 17, -1))</f>
        <v>17</v>
      </c>
      <c r="J18" s="9">
        <f>_xlfn.CEILING.MATH(2*F18*(G18+I18+6))</f>
        <v>2176</v>
      </c>
      <c r="K18" s="10" t="s">
        <v>30</v>
      </c>
    </row>
    <row r="19" spans="1:11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5"/>
        <v>200</v>
      </c>
      <c r="F19" s="6">
        <f t="shared" si="6"/>
        <v>20</v>
      </c>
      <c r="G19" s="7">
        <f t="shared" si="2"/>
        <v>18</v>
      </c>
      <c r="H19" s="7">
        <v>17.5</v>
      </c>
      <c r="I19" s="8" cm="1">
        <f t="array" ref="I19">_xlfn.CEILING.MATH(_xlfn.SWITCH(K19, "A", 13.21, "B", 4.86, "C", 10.56, "D", 10.87, "E", 16.75, "F", 22, "G", 13.2, "H", 19.3, "I", 17.5, "J", 12.8, "K", 17.3, "L", 17, -1))</f>
        <v>14</v>
      </c>
      <c r="J19" s="9">
        <f>_xlfn.CEILING.MATH(2*F19*(G19+I19+6))</f>
        <v>1520</v>
      </c>
      <c r="K19" s="10" t="s">
        <v>36</v>
      </c>
    </row>
    <row r="20" spans="1:11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3"/>
      <c r="I20" s="14"/>
      <c r="J20" s="13">
        <f>SUM(J2:J19)</f>
        <v>17064</v>
      </c>
      <c r="K20" s="15"/>
    </row>
    <row r="21" spans="1:11" ht="14.25" customHeight="1" x14ac:dyDescent="0.3">
      <c r="A21" s="13"/>
      <c r="B21" s="13"/>
      <c r="C21" s="13"/>
      <c r="D21" s="13"/>
      <c r="E21" s="13"/>
      <c r="F21" s="13"/>
      <c r="G21" s="13"/>
      <c r="H21" s="13"/>
      <c r="I21" s="14"/>
      <c r="J21" s="13"/>
      <c r="K21" s="15"/>
    </row>
    <row r="22" spans="1:11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7">C22*D22</f>
        <v>74.75</v>
      </c>
      <c r="F22" s="6">
        <f t="shared" ref="F22:F23" si="8">ROUNDUP(E22/10,0)</f>
        <v>8</v>
      </c>
      <c r="G22" s="7">
        <f t="shared" si="2"/>
        <v>32</v>
      </c>
      <c r="H22" s="7">
        <v>32</v>
      </c>
      <c r="I22" s="16" cm="1">
        <f t="array" ref="I22">_xlfn.CEILING.MATH(_xlfn.SWITCH(K22, "A", 13.21, "B", 4.86, "C", 10.56, "D", 10.87, "E", 16.75, "F", 22, "G", 13.2, "H", 19.3, "I", 17.5, "J", 12.8, "K", 17.3, "L", 17, -1))</f>
        <v>17</v>
      </c>
      <c r="J22" s="9">
        <f>_xlfn.CEILING.MATH(2*F22*(G22+I22+6))</f>
        <v>880</v>
      </c>
      <c r="K22" s="10" t="s">
        <v>30</v>
      </c>
    </row>
    <row r="23" spans="1:11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7"/>
        <v>74.75</v>
      </c>
      <c r="F23" s="6">
        <f t="shared" si="8"/>
        <v>8</v>
      </c>
      <c r="G23" s="7">
        <f t="shared" si="2"/>
        <v>27</v>
      </c>
      <c r="H23" s="7">
        <v>27</v>
      </c>
      <c r="I23" s="16" cm="1">
        <f t="array" ref="I23">_xlfn.CEILING.MATH(_xlfn.SWITCH(K23, "A", 13.21, "B", 4.86, "C", 10.56, "D", 10.87, "E", 16.75, "F", 22, "G", 13.2, "H", 19.3, "I", 17.5, "J", 12.8, "K", 17.3, "L", 17, -1))</f>
        <v>17</v>
      </c>
      <c r="J23" s="9">
        <f>_xlfn.CEILING.MATH(2*F23*(G23+I23+6))</f>
        <v>800</v>
      </c>
      <c r="K23" s="10" t="s">
        <v>30</v>
      </c>
    </row>
    <row r="24" spans="1:11" ht="14.25" customHeight="1" x14ac:dyDescent="0.3">
      <c r="A24" s="12" t="s">
        <v>41</v>
      </c>
      <c r="B24" s="86" t="s">
        <v>23</v>
      </c>
      <c r="C24" s="101"/>
      <c r="D24" s="101"/>
      <c r="E24" s="101"/>
      <c r="F24" s="101"/>
      <c r="G24" s="101"/>
      <c r="H24" s="101"/>
      <c r="I24" s="101"/>
      <c r="J24" s="101"/>
      <c r="K24" s="102"/>
    </row>
    <row r="25" spans="1:11" ht="14.25" customHeight="1" x14ac:dyDescent="0.3">
      <c r="A25" s="12" t="s">
        <v>42</v>
      </c>
      <c r="B25" s="103"/>
      <c r="C25" s="104"/>
      <c r="D25" s="104"/>
      <c r="E25" s="104"/>
      <c r="F25" s="104"/>
      <c r="G25" s="104"/>
      <c r="H25" s="104"/>
      <c r="I25" s="104"/>
      <c r="J25" s="104"/>
      <c r="K25" s="105"/>
    </row>
    <row r="26" spans="1:11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9">C26*D26</f>
        <v>200</v>
      </c>
      <c r="F26" s="6">
        <f t="shared" ref="F26:F30" si="10">ROUNDUP(E26/10,0)</f>
        <v>20</v>
      </c>
      <c r="G26" s="7">
        <f t="shared" si="2"/>
        <v>1</v>
      </c>
      <c r="H26" s="7">
        <v>0.5</v>
      </c>
      <c r="I26" s="16" cm="1">
        <f t="array" ref="I26">_xlfn.CEILING.MATH(_xlfn.SWITCH(K26, "A", 13.21, "B", 4.86, "C", 10.56, "D", 10.87, "E", 16.75, "F", 22, "G", 13.2, "H", 19.3, "I", 17.5, "J", 12.8, "K", 17.3, "L", 17, -1))</f>
        <v>14</v>
      </c>
      <c r="J26" s="9">
        <f>_xlfn.CEILING.MATH(2*F26*(G26+I26+6))</f>
        <v>840</v>
      </c>
      <c r="K26" s="10" t="s">
        <v>36</v>
      </c>
    </row>
    <row r="27" spans="1:11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9"/>
        <v>90</v>
      </c>
      <c r="F27" s="6">
        <f t="shared" si="10"/>
        <v>9</v>
      </c>
      <c r="G27" s="7">
        <f t="shared" si="2"/>
        <v>45</v>
      </c>
      <c r="H27" s="7">
        <v>45</v>
      </c>
      <c r="I27" s="16" cm="1">
        <f t="array" ref="I27">_xlfn.CEILING.MATH(_xlfn.SWITCH(K27, "A", 13.21, "B", 4.86, "C", 10.56, "D", 10.87, "E", 16.75, "F", 22, "G", 13.2, "H", 19.3, "I", 17.5, "J", 12.8, "K", 17.3, "L", 17, -1))</f>
        <v>20</v>
      </c>
      <c r="J27" s="9">
        <f>_xlfn.CEILING.MATH(2*F27*(G27+I27+6))</f>
        <v>1278</v>
      </c>
      <c r="K27" s="10" t="s">
        <v>45</v>
      </c>
    </row>
    <row r="28" spans="1:11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9"/>
        <v>90</v>
      </c>
      <c r="F28" s="6">
        <f t="shared" si="10"/>
        <v>9</v>
      </c>
      <c r="G28" s="7">
        <f t="shared" si="2"/>
        <v>40</v>
      </c>
      <c r="H28" s="7">
        <v>40</v>
      </c>
      <c r="I28" s="16" cm="1">
        <f t="array" ref="I28">_xlfn.CEILING.MATH(_xlfn.SWITCH(K28, "A", 13.21, "B", 4.86, "C", 10.56, "D", 10.87, "E", 16.75, "F", 22, "G", 13.2, "H", 19.3, "I", 17.5, "J", 12.8, "K", 17.3, "L", 17, -1))</f>
        <v>20</v>
      </c>
      <c r="J28" s="9">
        <f>_xlfn.CEILING.MATH(2*F28*(G28+I28+6))</f>
        <v>1188</v>
      </c>
      <c r="K28" s="10" t="s">
        <v>45</v>
      </c>
    </row>
    <row r="29" spans="1:11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9"/>
        <v>58.5</v>
      </c>
      <c r="F29" s="6">
        <f t="shared" si="10"/>
        <v>6</v>
      </c>
      <c r="G29" s="7">
        <f t="shared" si="2"/>
        <v>13</v>
      </c>
      <c r="H29" s="7">
        <v>12.54</v>
      </c>
      <c r="I29" s="16" cm="1">
        <f t="array" ref="I29">_xlfn.CEILING.MATH(_xlfn.SWITCH(K29, "A", 13.21, "B", 4.86, "C", 10.56, "D", 10.87, "E", 16.75, "F", 22, "G", 13.2, "H", 19.3, "I", 17.5, "J", 12.8, "K", 17.3, "L", 17, -1))</f>
        <v>18</v>
      </c>
      <c r="J29" s="9">
        <f>_xlfn.CEILING.MATH(2*F29*(G29+I29+6))</f>
        <v>444</v>
      </c>
      <c r="K29" s="10" t="s">
        <v>48</v>
      </c>
    </row>
    <row r="30" spans="1:11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9"/>
        <v>58.5</v>
      </c>
      <c r="F30" s="6">
        <f t="shared" si="10"/>
        <v>6</v>
      </c>
      <c r="G30" s="7">
        <f t="shared" si="2"/>
        <v>22</v>
      </c>
      <c r="H30" s="7">
        <v>21.88</v>
      </c>
      <c r="I30" s="16" cm="1">
        <f t="array" ref="I30">_xlfn.CEILING.MATH(_xlfn.SWITCH(K30, "A", 13.21, "B", 4.86, "C", 10.56, "D", 10.87, "E", 16.75, "F", 22, "G", 13.2, "H", 19.3, "I", 17.5, "J", 12.8, "K", 17.3, "L", 17, -1))</f>
        <v>18</v>
      </c>
      <c r="J30" s="9">
        <f>_xlfn.CEILING.MATH(2*F30*(G30+I30+6))</f>
        <v>552</v>
      </c>
      <c r="K30" s="10" t="s">
        <v>48</v>
      </c>
    </row>
    <row r="31" spans="1:11" ht="14.25" customHeight="1" x14ac:dyDescent="0.3">
      <c r="A31" s="11" t="s">
        <v>50</v>
      </c>
      <c r="B31" s="87" t="s">
        <v>39</v>
      </c>
      <c r="C31" s="106"/>
      <c r="D31" s="106"/>
      <c r="E31" s="106"/>
      <c r="F31" s="106"/>
      <c r="G31" s="106"/>
      <c r="H31" s="106"/>
      <c r="I31" s="106"/>
      <c r="J31" s="106"/>
      <c r="K31" s="107"/>
    </row>
    <row r="32" spans="1:11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1">C32*D32</f>
        <v>42.75</v>
      </c>
      <c r="F32" s="6">
        <f t="shared" ref="F32:F36" si="12">ROUNDUP(E32/10,0)</f>
        <v>5</v>
      </c>
      <c r="G32" s="7">
        <f t="shared" si="2"/>
        <v>12</v>
      </c>
      <c r="H32" s="7">
        <v>11.5</v>
      </c>
      <c r="I32" s="8" cm="1">
        <f t="array" ref="I32">_xlfn.CEILING.MATH(_xlfn.SWITCH(K32, "A", 13.21, "B", 4.86, "C", 10.56, "D", 10.87, "E", 16.75, "F", 22, "G", 13.2, "H", 19.3, "I", 17.5, "J", 12.8, "K", 17.3, "L", 17, -1))</f>
        <v>13</v>
      </c>
      <c r="J32" s="9">
        <f>_xlfn.CEILING.MATH(2*F32*(G32+I32+6))</f>
        <v>310</v>
      </c>
      <c r="K32" s="10" t="s">
        <v>52</v>
      </c>
    </row>
    <row r="33" spans="1:11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1"/>
        <v>42.75</v>
      </c>
      <c r="F33" s="6">
        <f t="shared" si="12"/>
        <v>5</v>
      </c>
      <c r="G33" s="7">
        <f t="shared" si="2"/>
        <v>17</v>
      </c>
      <c r="H33" s="7">
        <v>17</v>
      </c>
      <c r="I33" s="8" cm="1">
        <f t="array" ref="I33">_xlfn.CEILING.MATH(_xlfn.SWITCH(K33, "A", 13.21, "B", 4.86, "C", 10.56, "D", 10.87, "E", 16.75, "F", 22, "G", 13.2, "H", 19.3, "I", 17.5, "J", 12.8, "K", 17.3, "L", 17, -1))</f>
        <v>13</v>
      </c>
      <c r="J33" s="9">
        <f>_xlfn.CEILING.MATH(2*F33*(G33+I33+6))</f>
        <v>360</v>
      </c>
      <c r="K33" s="10" t="s">
        <v>52</v>
      </c>
    </row>
    <row r="34" spans="1:11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1"/>
        <v>42.75</v>
      </c>
      <c r="F34" s="6">
        <f t="shared" si="12"/>
        <v>5</v>
      </c>
      <c r="G34" s="7">
        <f t="shared" si="2"/>
        <v>23</v>
      </c>
      <c r="H34" s="7">
        <v>22.5</v>
      </c>
      <c r="I34" s="8" cm="1">
        <f t="array" ref="I34">_xlfn.CEILING.MATH(_xlfn.SWITCH(K34, "A", 13.21, "B", 4.86, "C", 10.56, "D", 10.87, "E", 16.75, "F", 22, "G", 13.2, "H", 19.3, "I", 17.5, "J", 12.8, "K", 17.3, "L", 17, -1))</f>
        <v>13</v>
      </c>
      <c r="J34" s="9">
        <f>_xlfn.CEILING.MATH(2*F34*(G34+I34+6))</f>
        <v>420</v>
      </c>
      <c r="K34" s="10" t="s">
        <v>52</v>
      </c>
    </row>
    <row r="35" spans="1:11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1"/>
        <v>42.75</v>
      </c>
      <c r="F35" s="6">
        <f t="shared" si="12"/>
        <v>5</v>
      </c>
      <c r="G35" s="7">
        <f t="shared" si="2"/>
        <v>28</v>
      </c>
      <c r="H35" s="7">
        <v>28</v>
      </c>
      <c r="I35" s="8" cm="1">
        <f t="array" ref="I35">_xlfn.CEILING.MATH(_xlfn.SWITCH(K35, "A", 13.21, "B", 4.86, "C", 10.56, "D", 10.87, "E", 16.75, "F", 22, "G", 13.2, "H", 19.3, "I", 17.5, "J", 12.8, "K", 17.3, "L", 17, -1))</f>
        <v>13</v>
      </c>
      <c r="J35" s="9">
        <f>_xlfn.CEILING.MATH(2*F35*(G35+I35+6))</f>
        <v>470</v>
      </c>
      <c r="K35" s="10" t="s">
        <v>52</v>
      </c>
    </row>
    <row r="36" spans="1:11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1"/>
        <v>42.75</v>
      </c>
      <c r="F36" s="6">
        <f t="shared" si="12"/>
        <v>5</v>
      </c>
      <c r="G36" s="7">
        <f t="shared" si="2"/>
        <v>34</v>
      </c>
      <c r="H36" s="7">
        <v>33.5</v>
      </c>
      <c r="I36" s="8" cm="1">
        <f t="array" ref="I36">_xlfn.CEILING.MATH(_xlfn.SWITCH(K36, "A", 13.21, "B", 4.86, "C", 10.56, "D", 10.87, "E", 16.75, "F", 22, "G", 13.2, "H", 19.3, "I", 17.5, "J", 12.8, "K", 17.3, "L", 17, -1))</f>
        <v>13</v>
      </c>
      <c r="J36" s="9">
        <f>_xlfn.CEILING.MATH(2*F36*(G36+I36+6))</f>
        <v>530</v>
      </c>
      <c r="K36" s="10" t="s">
        <v>52</v>
      </c>
    </row>
    <row r="37" spans="1:11" ht="14.25" customHeight="1" x14ac:dyDescent="0.3">
      <c r="A37" s="12" t="s">
        <v>57</v>
      </c>
      <c r="B37" s="88" t="s">
        <v>23</v>
      </c>
      <c r="C37" s="108"/>
      <c r="D37" s="108"/>
      <c r="E37" s="108"/>
      <c r="F37" s="108"/>
      <c r="G37" s="108"/>
      <c r="H37" s="108"/>
      <c r="I37" s="108"/>
      <c r="J37" s="108"/>
      <c r="K37" s="109"/>
    </row>
    <row r="38" spans="1:11" ht="14.25" customHeight="1" x14ac:dyDescent="0.3">
      <c r="A38" s="12" t="s">
        <v>58</v>
      </c>
      <c r="B38" s="110"/>
      <c r="C38" s="111"/>
      <c r="D38" s="111"/>
      <c r="E38" s="111"/>
      <c r="F38" s="111"/>
      <c r="G38" s="111"/>
      <c r="H38" s="111"/>
      <c r="I38" s="111"/>
      <c r="J38" s="111"/>
      <c r="K38" s="112"/>
    </row>
    <row r="39" spans="1:11" ht="14.25" customHeight="1" x14ac:dyDescent="0.3">
      <c r="A39" s="4" t="s">
        <v>59</v>
      </c>
      <c r="B39" s="4" t="s">
        <v>39</v>
      </c>
      <c r="C39" s="7">
        <v>6</v>
      </c>
      <c r="D39" s="7">
        <v>12.5</v>
      </c>
      <c r="E39" s="6">
        <f t="shared" ref="E39:E44" si="13">C39*D39</f>
        <v>75</v>
      </c>
      <c r="F39" s="6">
        <f t="shared" ref="F39:F44" si="14">ROUNDUP(E39/10,0)</f>
        <v>8</v>
      </c>
      <c r="G39" s="7">
        <f t="shared" si="2"/>
        <v>11</v>
      </c>
      <c r="H39" s="7">
        <v>10.5</v>
      </c>
      <c r="I39" s="8" cm="1">
        <f t="array" ref="I39">_xlfn.CEILING.MATH(_xlfn.SWITCH(K39, "A", 13.21, "B", 4.86, "C", 10.56, "D", 10.87, "E", 16.75, "F", 22, "G", 13.2, "H", 19.3, "I", 17.5, "J", 12.8, "K", 17.3, "L", 17, -1))</f>
        <v>18</v>
      </c>
      <c r="J39" s="9">
        <f>_xlfn.CEILING.MATH(2*F39*(G39+I39+6))</f>
        <v>560</v>
      </c>
      <c r="K39" s="10" t="s">
        <v>60</v>
      </c>
    </row>
    <row r="40" spans="1:11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3"/>
        <v>68.75</v>
      </c>
      <c r="F40" s="6">
        <f t="shared" si="14"/>
        <v>7</v>
      </c>
      <c r="G40" s="7">
        <f t="shared" si="2"/>
        <v>18</v>
      </c>
      <c r="H40" s="7">
        <v>17.5</v>
      </c>
      <c r="I40" s="8" cm="1">
        <f t="array" ref="I40">_xlfn.CEILING.MATH(_xlfn.SWITCH(K40, "A", 13.21, "B", 4.86, "C", 10.56, "D", 10.87, "E", 16.75, "F", 22, "G", 13.2, "H", 19.3, "I", 17.5, "J", 12.8, "K", 17.3, "L", 17, -1))</f>
        <v>18</v>
      </c>
      <c r="J40" s="9">
        <f>_xlfn.CEILING.MATH(2*F40*(G40+I40+6))</f>
        <v>588</v>
      </c>
      <c r="K40" s="10" t="s">
        <v>60</v>
      </c>
    </row>
    <row r="41" spans="1:11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3"/>
        <v>68.75</v>
      </c>
      <c r="F41" s="6">
        <f t="shared" si="14"/>
        <v>7</v>
      </c>
      <c r="G41" s="7">
        <f t="shared" si="2"/>
        <v>24</v>
      </c>
      <c r="H41" s="7">
        <v>23.5</v>
      </c>
      <c r="I41" s="8" cm="1">
        <f t="array" ref="I41">_xlfn.CEILING.MATH(_xlfn.SWITCH(K41, "A", 13.21, "B", 4.86, "C", 10.56, "D", 10.87, "E", 16.75, "F", 22, "G", 13.2, "H", 19.3, "I", 17.5, "J", 12.8, "K", 17.3, "L", 17, -1))</f>
        <v>18</v>
      </c>
      <c r="J41" s="9">
        <f>_xlfn.CEILING.MATH(2*F41*(G41+I41+6))</f>
        <v>672</v>
      </c>
      <c r="K41" s="10" t="s">
        <v>60</v>
      </c>
    </row>
    <row r="42" spans="1:11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3"/>
        <v>68.75</v>
      </c>
      <c r="F42" s="6">
        <f t="shared" si="14"/>
        <v>7</v>
      </c>
      <c r="G42" s="7">
        <f t="shared" si="2"/>
        <v>30</v>
      </c>
      <c r="H42" s="7">
        <v>29.5</v>
      </c>
      <c r="I42" s="8" cm="1">
        <f t="array" ref="I42">_xlfn.CEILING.MATH(_xlfn.SWITCH(K42, "A", 13.21, "B", 4.86, "C", 10.56, "D", 10.87, "E", 16.75, "F", 22, "G", 13.2, "H", 19.3, "I", 17.5, "J", 12.8, "K", 17.3, "L", 17, -1))</f>
        <v>18</v>
      </c>
      <c r="J42" s="9">
        <f>_xlfn.CEILING.MATH(2*F42*(G42+I42+6))</f>
        <v>756</v>
      </c>
      <c r="K42" s="10" t="s">
        <v>60</v>
      </c>
    </row>
    <row r="43" spans="1:11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3"/>
        <v>68.75</v>
      </c>
      <c r="F43" s="6">
        <f t="shared" si="14"/>
        <v>7</v>
      </c>
      <c r="G43" s="7">
        <f t="shared" si="2"/>
        <v>36</v>
      </c>
      <c r="H43" s="7">
        <v>35.5</v>
      </c>
      <c r="I43" s="8" cm="1">
        <f t="array" ref="I43">_xlfn.CEILING.MATH(_xlfn.SWITCH(K43, "A", 13.21, "B", 4.86, "C", 10.56, "D", 10.87, "E", 16.75, "F", 22, "G", 13.2, "H", 19.3, "I", 17.5, "J", 12.8, "K", 17.3, "L", 17, -1))</f>
        <v>18</v>
      </c>
      <c r="J43" s="9">
        <f>_xlfn.CEILING.MATH(2*F43*(G43+I43+6))</f>
        <v>840</v>
      </c>
      <c r="K43" s="10" t="s">
        <v>60</v>
      </c>
    </row>
    <row r="44" spans="1:11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3"/>
        <v>68.75</v>
      </c>
      <c r="F44" s="6">
        <f t="shared" si="14"/>
        <v>7</v>
      </c>
      <c r="G44" s="7">
        <f t="shared" si="2"/>
        <v>42</v>
      </c>
      <c r="H44" s="7">
        <v>41.5</v>
      </c>
      <c r="I44" s="8" cm="1">
        <f t="array" ref="I44">_xlfn.CEILING.MATH(_xlfn.SWITCH(K44, "A", 13.21, "B", 4.86, "C", 10.56, "D", 10.87, "E", 16.75, "F", 22, "G", 13.2, "H", 19.3, "I", 17.5, "J", 12.8, "K", 17.3, "L", 17, -1))</f>
        <v>18</v>
      </c>
      <c r="J44" s="9">
        <f>_xlfn.CEILING.MATH(2*F44*(G44+I44+6))</f>
        <v>924</v>
      </c>
      <c r="K44" s="10" t="s">
        <v>60</v>
      </c>
    </row>
    <row r="45" spans="1:11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134</v>
      </c>
      <c r="G45" s="13"/>
      <c r="I45" s="14"/>
      <c r="J45" s="13">
        <f>SUM(J22:J44)</f>
        <v>12412</v>
      </c>
      <c r="K45" s="15"/>
    </row>
    <row r="46" spans="1:11" ht="14.25" customHeight="1" x14ac:dyDescent="0.3">
      <c r="A46" s="13"/>
      <c r="B46" s="13"/>
      <c r="C46" s="13"/>
      <c r="D46" s="13"/>
      <c r="E46" s="13"/>
      <c r="F46" s="13"/>
      <c r="G46" s="13"/>
      <c r="I46" s="14"/>
      <c r="J46" s="13"/>
      <c r="K46" s="15"/>
    </row>
    <row r="47" spans="1:11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15">C47*D47</f>
        <v>55.25</v>
      </c>
      <c r="F47" s="6">
        <f t="shared" ref="F47:F48" si="16">ROUNDUP(E47/10,0)</f>
        <v>6</v>
      </c>
      <c r="G47" s="7">
        <f t="shared" si="2"/>
        <v>10</v>
      </c>
      <c r="H47" s="7">
        <v>9.4</v>
      </c>
      <c r="I47" s="16" cm="1">
        <f t="array" ref="I47">_xlfn.CEILING.MATH(_xlfn.SWITCH(K47, "A", 13.21, "B", 4.86, "C", 10.56, "D", 10.87, "E", 16.75, "F", 22, "G", 13.2, "H", 19.3, "I", 17.5, "J", 12.8, "K", 17.3, "L", 17, -1))</f>
        <v>14</v>
      </c>
      <c r="J47" s="9">
        <f>_xlfn.CEILING.MATH(2*F47*(G47+I47+6))</f>
        <v>360</v>
      </c>
      <c r="K47" s="10" t="s">
        <v>12</v>
      </c>
    </row>
    <row r="48" spans="1:11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15"/>
        <v>55.25</v>
      </c>
      <c r="F48" s="6">
        <f t="shared" si="16"/>
        <v>6</v>
      </c>
      <c r="G48" s="7">
        <f t="shared" si="2"/>
        <v>17</v>
      </c>
      <c r="H48" s="7">
        <v>16.11</v>
      </c>
      <c r="I48" s="16" cm="1">
        <f t="array" ref="I48">_xlfn.CEILING.MATH(_xlfn.SWITCH(K48, "A", 13.21, "B", 4.86, "C", 10.56, "D", 10.87, "E", 16.75, "F", 22, "G", 13.2, "H", 19.3, "I", 17.5, "J", 12.8, "K", 17.3, "L", 17, -1))</f>
        <v>5</v>
      </c>
      <c r="J48" s="9">
        <f>_xlfn.CEILING.MATH(2*F48*(G48+I48+6))</f>
        <v>336</v>
      </c>
      <c r="K48" s="10" t="s">
        <v>14</v>
      </c>
    </row>
    <row r="49" spans="1:11" ht="14.25" customHeight="1" x14ac:dyDescent="0.3">
      <c r="A49" s="11" t="s">
        <v>70</v>
      </c>
      <c r="B49" s="85" t="s">
        <v>68</v>
      </c>
      <c r="C49" s="113"/>
      <c r="D49" s="113"/>
      <c r="E49" s="113"/>
      <c r="F49" s="113"/>
      <c r="G49" s="113"/>
      <c r="H49" s="113"/>
      <c r="I49" s="113"/>
      <c r="J49" s="113"/>
      <c r="K49" s="114"/>
    </row>
    <row r="50" spans="1:11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17">C50*D50</f>
        <v>46.75</v>
      </c>
      <c r="F50" s="6">
        <f t="shared" ref="F50:F54" si="18">ROUNDUP(E50/10,0)</f>
        <v>5</v>
      </c>
      <c r="G50" s="7">
        <f t="shared" si="2"/>
        <v>22</v>
      </c>
      <c r="H50" s="7">
        <v>21.82</v>
      </c>
      <c r="I50" s="16" cm="1">
        <f t="array" ref="I50">_xlfn.CEILING.MATH(_xlfn.SWITCH(K50, "A", 13.21, "B", 4.86, "C", 10.56, "D", 10.87, "E", 16.75, "F", 22, "G", 13.2, "H", 19.3, "I", 17.5, "J", 12.8, "K", 17.3, "L", 17, -1))</f>
        <v>11</v>
      </c>
      <c r="J50" s="9">
        <f>_xlfn.CEILING.MATH(2*F50*(G50+I50+6))</f>
        <v>390</v>
      </c>
      <c r="K50" s="10" t="s">
        <v>17</v>
      </c>
    </row>
    <row r="51" spans="1:11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17"/>
        <v>46.75</v>
      </c>
      <c r="F51" s="6">
        <f t="shared" si="18"/>
        <v>5</v>
      </c>
      <c r="G51" s="7">
        <f t="shared" si="2"/>
        <v>28</v>
      </c>
      <c r="H51" s="7">
        <v>27.82</v>
      </c>
      <c r="I51" s="16" cm="1">
        <f t="array" ref="I51">_xlfn.CEILING.MATH(_xlfn.SWITCH(K51, "A", 13.21, "B", 4.86, "C", 10.56, "D", 10.87, "E", 16.75, "F", 22, "G", 13.2, "H", 19.3, "I", 17.5, "J", 12.8, "K", 17.3, "L", 17, -1))</f>
        <v>11</v>
      </c>
      <c r="J51" s="9">
        <f>_xlfn.CEILING.MATH(2*F51*(G51+I51+6))</f>
        <v>450</v>
      </c>
      <c r="K51" s="10" t="s">
        <v>17</v>
      </c>
    </row>
    <row r="52" spans="1:11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17"/>
        <v>46.75</v>
      </c>
      <c r="F52" s="6">
        <f t="shared" si="18"/>
        <v>5</v>
      </c>
      <c r="G52" s="7">
        <f t="shared" si="2"/>
        <v>34</v>
      </c>
      <c r="H52" s="7">
        <v>33.53</v>
      </c>
      <c r="I52" s="16" cm="1">
        <f t="array" ref="I52">_xlfn.CEILING.MATH(_xlfn.SWITCH(K52, "A", 13.21, "B", 4.86, "C", 10.56, "D", 10.87, "E", 16.75, "F", 22, "G", 13.2, "H", 19.3, "I", 17.5, "J", 12.8, "K", 17.3, "L", 17, -1))</f>
        <v>11</v>
      </c>
      <c r="J52" s="9">
        <f>_xlfn.CEILING.MATH(2*F52*(G52+I52+6))</f>
        <v>510</v>
      </c>
      <c r="K52" s="10" t="s">
        <v>17</v>
      </c>
    </row>
    <row r="53" spans="1:11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17"/>
        <v>46.75</v>
      </c>
      <c r="F53" s="6">
        <f t="shared" si="18"/>
        <v>5</v>
      </c>
      <c r="G53" s="7">
        <f t="shared" si="2"/>
        <v>40</v>
      </c>
      <c r="H53" s="7">
        <v>39.53</v>
      </c>
      <c r="I53" s="16" cm="1">
        <f t="array" ref="I53">_xlfn.CEILING.MATH(_xlfn.SWITCH(K53, "A", 13.21, "B", 4.86, "C", 10.56, "D", 10.87, "E", 16.75, "F", 22, "G", 13.2, "H", 19.3, "I", 17.5, "J", 12.8, "K", 17.3, "L", 17, -1))</f>
        <v>11</v>
      </c>
      <c r="J53" s="9">
        <f>_xlfn.CEILING.MATH(2*F53*(G53+I53+6))</f>
        <v>570</v>
      </c>
      <c r="K53" s="10" t="s">
        <v>17</v>
      </c>
    </row>
    <row r="54" spans="1:11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17"/>
        <v>46.75</v>
      </c>
      <c r="F54" s="6">
        <f t="shared" si="18"/>
        <v>5</v>
      </c>
      <c r="G54" s="7">
        <f t="shared" si="2"/>
        <v>46</v>
      </c>
      <c r="H54" s="7">
        <v>45.24</v>
      </c>
      <c r="I54" s="16" cm="1">
        <f t="array" ref="I54">_xlfn.CEILING.MATH(_xlfn.SWITCH(K54, "A", 13.21, "B", 4.86, "C", 10.56, "D", 10.87, "E", 16.75, "F", 22, "G", 13.2, "H", 19.3, "I", 17.5, "J", 12.8, "K", 17.3, "L", 17, -1))</f>
        <v>11</v>
      </c>
      <c r="J54" s="9">
        <f>_xlfn.CEILING.MATH(2*F54*(G54+I54+6))</f>
        <v>630</v>
      </c>
      <c r="K54" s="10" t="s">
        <v>17</v>
      </c>
    </row>
    <row r="55" spans="1:11" ht="14.25" customHeight="1" x14ac:dyDescent="0.3">
      <c r="A55" s="12" t="s">
        <v>76</v>
      </c>
      <c r="B55" s="86" t="s">
        <v>23</v>
      </c>
      <c r="C55" s="101"/>
      <c r="D55" s="101"/>
      <c r="E55" s="101"/>
      <c r="F55" s="101"/>
      <c r="G55" s="101"/>
      <c r="H55" s="101"/>
      <c r="I55" s="101"/>
      <c r="J55" s="101"/>
      <c r="K55" s="102"/>
    </row>
    <row r="56" spans="1:11" ht="14.25" customHeight="1" x14ac:dyDescent="0.3">
      <c r="A56" s="12" t="s">
        <v>77</v>
      </c>
      <c r="B56" s="103"/>
      <c r="C56" s="104"/>
      <c r="D56" s="104"/>
      <c r="E56" s="104"/>
      <c r="F56" s="104"/>
      <c r="G56" s="104"/>
      <c r="H56" s="104"/>
      <c r="I56" s="104"/>
      <c r="J56" s="104"/>
      <c r="K56" s="105"/>
    </row>
    <row r="57" spans="1:11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19">C57*D57</f>
        <v>97.75</v>
      </c>
      <c r="F57" s="6">
        <f t="shared" ref="F57:F64" si="20">ROUNDUP(E57/10,0)</f>
        <v>10</v>
      </c>
      <c r="G57" s="7">
        <f t="shared" si="2"/>
        <v>1</v>
      </c>
      <c r="H57" s="7">
        <v>0.5</v>
      </c>
      <c r="I57" s="16" cm="1">
        <f t="array" ref="I57">_xlfn.CEILING.MATH(_xlfn.SWITCH(K57, "A", 13.21, "B", 4.86, "C", 10.56, "D", 10.87, "E", 16.75, "F", 22, "G", 13.2, "H", 19.3, "I", 17.5, "J", 12.8, "K", 17.3, "L", 17, -1))</f>
        <v>11</v>
      </c>
      <c r="J57" s="9">
        <f>_xlfn.CEILING.MATH(2*F57*(G57+I57+6))</f>
        <v>360</v>
      </c>
      <c r="K57" s="10" t="s">
        <v>26</v>
      </c>
    </row>
    <row r="58" spans="1:11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19"/>
        <v>330</v>
      </c>
      <c r="F58" s="6">
        <f t="shared" si="20"/>
        <v>33</v>
      </c>
      <c r="G58" s="7">
        <f t="shared" si="2"/>
        <v>5</v>
      </c>
      <c r="H58" s="7">
        <v>5</v>
      </c>
      <c r="I58" s="16" cm="1">
        <f t="array" ref="I58">_xlfn.CEILING.MATH(_xlfn.SWITCH(K58, "A", 13.21, "B", 4.86, "C", 10.56, "D", 10.87, "E", 16.75, "F", 22, "G", 13.2, "H", 19.3, "I", 17.5, "J", 12.8, "K", 17.3, "L", 17, -1))</f>
        <v>22</v>
      </c>
      <c r="J58" s="9">
        <f>_xlfn.CEILING.MATH(2*F58*(G58+I58+6))</f>
        <v>2178</v>
      </c>
      <c r="K58" s="10" t="s">
        <v>28</v>
      </c>
    </row>
    <row r="59" spans="1:11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19"/>
        <v>74.75</v>
      </c>
      <c r="F59" s="6">
        <f t="shared" si="20"/>
        <v>8</v>
      </c>
      <c r="G59" s="7">
        <f t="shared" si="2"/>
        <v>85</v>
      </c>
      <c r="H59" s="7">
        <v>84.64</v>
      </c>
      <c r="I59" s="16" cm="1">
        <f t="array" ref="I59">_xlfn.CEILING.MATH(_xlfn.SWITCH(K59, "A", 13.21, "B", 4.86, "C", 10.56, "D", 10.87, "E", 16.75, "F", 22, "G", 13.2, "H", 19.3, "I", 17.5, "J", 12.8, "K", 17.3, "L", 17, -1))</f>
        <v>17</v>
      </c>
      <c r="J59" s="9">
        <f>_xlfn.CEILING.MATH(2*F59*(G59+I59+6))</f>
        <v>1728</v>
      </c>
      <c r="K59" s="10" t="s">
        <v>30</v>
      </c>
    </row>
    <row r="60" spans="1:11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19"/>
        <v>74.75</v>
      </c>
      <c r="F60" s="6">
        <f t="shared" si="20"/>
        <v>8</v>
      </c>
      <c r="G60" s="7">
        <f t="shared" si="2"/>
        <v>92</v>
      </c>
      <c r="H60" s="7">
        <v>91.78</v>
      </c>
      <c r="I60" s="16" cm="1">
        <f t="array" ref="I60">_xlfn.CEILING.MATH(_xlfn.SWITCH(K60, "A", 13.21, "B", 4.86, "C", 10.56, "D", 10.87, "E", 16.75, "F", 22, "G", 13.2, "H", 19.3, "I", 17.5, "J", 12.8, "K", 17.3, "L", 17, -1))</f>
        <v>17</v>
      </c>
      <c r="J60" s="9">
        <f>_xlfn.CEILING.MATH(2*F60*(G60+I60+6))</f>
        <v>1840</v>
      </c>
      <c r="K60" s="10" t="s">
        <v>30</v>
      </c>
    </row>
    <row r="61" spans="1:11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19"/>
        <v>74.75</v>
      </c>
      <c r="F61" s="6">
        <f t="shared" si="20"/>
        <v>8</v>
      </c>
      <c r="G61" s="7">
        <f t="shared" si="2"/>
        <v>99</v>
      </c>
      <c r="H61" s="7">
        <v>98.78</v>
      </c>
      <c r="I61" s="16" cm="1">
        <f t="array" ref="I61">_xlfn.CEILING.MATH(_xlfn.SWITCH(K61, "A", 13.21, "B", 4.86, "C", 10.56, "D", 10.87, "E", 16.75, "F", 22, "G", 13.2, "H", 19.3, "I", 17.5, "J", 12.8, "K", 17.3, "L", 17, -1))</f>
        <v>17</v>
      </c>
      <c r="J61" s="9">
        <f>_xlfn.CEILING.MATH(2*F61*(G61+I61+6))</f>
        <v>1952</v>
      </c>
      <c r="K61" s="10" t="s">
        <v>30</v>
      </c>
    </row>
    <row r="62" spans="1:11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19"/>
        <v>74.75</v>
      </c>
      <c r="F62" s="6">
        <f t="shared" si="20"/>
        <v>8</v>
      </c>
      <c r="G62" s="7">
        <f t="shared" si="2"/>
        <v>106</v>
      </c>
      <c r="H62" s="7">
        <v>105.92</v>
      </c>
      <c r="I62" s="16" cm="1">
        <f t="array" ref="I62">_xlfn.CEILING.MATH(_xlfn.SWITCH(K62, "A", 13.21, "B", 4.86, "C", 10.56, "D", 10.87, "E", 16.75, "F", 22, "G", 13.2, "H", 19.3, "I", 17.5, "J", 12.8, "K", 17.3, "L", 17, -1))</f>
        <v>17</v>
      </c>
      <c r="J62" s="9">
        <f>_xlfn.CEILING.MATH(2*F62*(G62+I62+6))</f>
        <v>2064</v>
      </c>
      <c r="K62" s="10" t="s">
        <v>30</v>
      </c>
    </row>
    <row r="63" spans="1:11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19"/>
        <v>74.75</v>
      </c>
      <c r="F63" s="6">
        <f t="shared" si="20"/>
        <v>8</v>
      </c>
      <c r="G63" s="7">
        <f t="shared" si="2"/>
        <v>113</v>
      </c>
      <c r="H63" s="7">
        <v>112.92</v>
      </c>
      <c r="I63" s="16" cm="1">
        <f t="array" ref="I63">_xlfn.CEILING.MATH(_xlfn.SWITCH(K63, "A", 13.21, "B", 4.86, "C", 10.56, "D", 10.87, "E", 16.75, "F", 22, "G", 13.2, "H", 19.3, "I", 17.5, "J", 12.8, "K", 17.3, "L", 17, -1))</f>
        <v>17</v>
      </c>
      <c r="J63" s="9">
        <f>_xlfn.CEILING.MATH(2*F63*(G63+I63+6))</f>
        <v>2176</v>
      </c>
      <c r="K63" s="10" t="s">
        <v>30</v>
      </c>
    </row>
    <row r="64" spans="1:11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19"/>
        <v>200</v>
      </c>
      <c r="F64" s="6">
        <f t="shared" si="20"/>
        <v>20</v>
      </c>
      <c r="G64" s="7">
        <f t="shared" si="2"/>
        <v>18</v>
      </c>
      <c r="H64" s="7">
        <v>17.5</v>
      </c>
      <c r="I64" s="16" cm="1">
        <f t="array" ref="I64">_xlfn.CEILING.MATH(_xlfn.SWITCH(K64, "A", 13.21, "B", 4.86, "C", 10.56, "D", 10.87, "E", 16.75, "F", 22, "G", 13.2, "H", 19.3, "I", 17.5, "J", 12.8, "K", 17.3, "L", 17, -1))</f>
        <v>14</v>
      </c>
      <c r="J64" s="9">
        <f>_xlfn.CEILING.MATH(2*F64*(G64+I64+6))</f>
        <v>1520</v>
      </c>
      <c r="K64" s="10" t="s">
        <v>36</v>
      </c>
    </row>
    <row r="65" spans="1:11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3"/>
      <c r="I65" s="14"/>
      <c r="J65" s="13">
        <f>SUM(J47:J64)</f>
        <v>17064</v>
      </c>
      <c r="K65" s="15"/>
    </row>
    <row r="66" spans="1:11" ht="14.25" customHeight="1" x14ac:dyDescent="0.3">
      <c r="A66" s="13"/>
      <c r="B66" s="13"/>
      <c r="C66" s="13"/>
      <c r="D66" s="13"/>
      <c r="E66" s="13"/>
      <c r="F66" s="13"/>
      <c r="G66" s="13"/>
      <c r="H66" s="13"/>
      <c r="I66" s="14"/>
      <c r="J66" s="13"/>
      <c r="K66" s="15"/>
    </row>
    <row r="67" spans="1:11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21">C67*D67</f>
        <v>74.75</v>
      </c>
      <c r="F67" s="6">
        <f t="shared" ref="F67:F68" si="22">ROUNDUP(E67/10,0)</f>
        <v>8</v>
      </c>
      <c r="G67" s="7">
        <f t="shared" ref="G67:G80" si="23">_xlfn.CEILING.MATH(H67)</f>
        <v>32</v>
      </c>
      <c r="H67" s="7">
        <v>32</v>
      </c>
      <c r="I67" s="16" cm="1">
        <f t="array" ref="I67">_xlfn.CEILING.MATH(_xlfn.SWITCH(K67, "A", 13.21, "B", 4.86, "C", 10.56, "D", 10.87, "E", 16.75, "F", 22, "G", 13.2, "H", 19.3, "I", 17.5, "J", 12.8, "K", 17.3, "L", 17, -1))</f>
        <v>17</v>
      </c>
      <c r="J67" s="9">
        <f>_xlfn.CEILING.MATH(2*F67*(G67+I67+6))</f>
        <v>880</v>
      </c>
      <c r="K67" s="10" t="s">
        <v>30</v>
      </c>
    </row>
    <row r="68" spans="1:11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21"/>
        <v>74.75</v>
      </c>
      <c r="F68" s="6">
        <f t="shared" si="22"/>
        <v>8</v>
      </c>
      <c r="G68" s="7">
        <f t="shared" si="23"/>
        <v>27</v>
      </c>
      <c r="H68" s="7">
        <v>27</v>
      </c>
      <c r="I68" s="16" cm="1">
        <f t="array" ref="I68">_xlfn.CEILING.MATH(_xlfn.SWITCH(K68, "A", 13.21, "B", 4.86, "C", 10.56, "D", 10.87, "E", 16.75, "F", 22, "G", 13.2, "H", 19.3, "I", 17.5, "J", 12.8, "K", 17.3, "L", 17, -1))</f>
        <v>17</v>
      </c>
      <c r="J68" s="9">
        <f>_xlfn.CEILING.MATH(2*F68*(G68+I68+6))</f>
        <v>800</v>
      </c>
      <c r="K68" s="10" t="s">
        <v>30</v>
      </c>
    </row>
    <row r="69" spans="1:11" ht="14.25" customHeight="1" x14ac:dyDescent="0.3">
      <c r="A69" s="12" t="s">
        <v>90</v>
      </c>
      <c r="B69" s="86" t="s">
        <v>23</v>
      </c>
      <c r="C69" s="101"/>
      <c r="D69" s="101"/>
      <c r="E69" s="101"/>
      <c r="F69" s="101"/>
      <c r="G69" s="101"/>
      <c r="H69" s="101"/>
      <c r="I69" s="101"/>
      <c r="J69" s="101"/>
      <c r="K69" s="102"/>
    </row>
    <row r="70" spans="1:11" ht="14.25" customHeight="1" x14ac:dyDescent="0.3">
      <c r="A70" s="12" t="s">
        <v>91</v>
      </c>
      <c r="B70" s="103"/>
      <c r="C70" s="104"/>
      <c r="D70" s="104"/>
      <c r="E70" s="104"/>
      <c r="F70" s="104"/>
      <c r="G70" s="104"/>
      <c r="H70" s="104"/>
      <c r="I70" s="104"/>
      <c r="J70" s="104"/>
      <c r="K70" s="105"/>
    </row>
    <row r="71" spans="1:11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24">C71*D71</f>
        <v>200</v>
      </c>
      <c r="F71" s="6">
        <f t="shared" ref="F71:F74" si="25">ROUNDUP(E71/10,0)</f>
        <v>20</v>
      </c>
      <c r="G71" s="7">
        <f t="shared" si="23"/>
        <v>1</v>
      </c>
      <c r="H71" s="7">
        <v>0.5</v>
      </c>
      <c r="I71" s="16" cm="1">
        <f t="array" ref="I71">_xlfn.CEILING.MATH(_xlfn.SWITCH(K71, "A", 13.21, "B", 4.86, "C", 10.56, "D", 10.87, "E", 16.75, "F", 22, "G", 13.2, "H", 19.3, "I", 17.5, "J", 12.8, "K", 17.3, "L", 17, -1))</f>
        <v>14</v>
      </c>
      <c r="J71" s="9">
        <f>_xlfn.CEILING.MATH(2*F71*(G71+I71+6))</f>
        <v>840</v>
      </c>
      <c r="K71" s="10" t="s">
        <v>36</v>
      </c>
    </row>
    <row r="72" spans="1:11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24"/>
        <v>70</v>
      </c>
      <c r="F72" s="6">
        <f t="shared" si="25"/>
        <v>7</v>
      </c>
      <c r="G72" s="7">
        <f t="shared" si="23"/>
        <v>57</v>
      </c>
      <c r="H72" s="7">
        <v>56.07</v>
      </c>
      <c r="I72" s="16" cm="1">
        <f t="array" ref="I72">_xlfn.CEILING.MATH(_xlfn.SWITCH(K72, "A", 13.21, "B", 4.86, "C", 10.56, "D", 10.87, "E", 16.75, "F", 22, "G", 13.2, "H", 19.3, "I", 17.5, "J", 12.8, "K", 17.3, "L", 17, -1))</f>
        <v>17</v>
      </c>
      <c r="J72" s="9">
        <f>_xlfn.CEILING.MATH(2*F72*(G72+I72+6))</f>
        <v>1120</v>
      </c>
      <c r="K72" s="10" t="s">
        <v>94</v>
      </c>
    </row>
    <row r="73" spans="1:11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24"/>
        <v>58.5</v>
      </c>
      <c r="F73" s="6">
        <f t="shared" si="25"/>
        <v>6</v>
      </c>
      <c r="G73" s="7">
        <f t="shared" si="23"/>
        <v>13</v>
      </c>
      <c r="H73" s="7">
        <v>12.54</v>
      </c>
      <c r="I73" s="16" cm="1">
        <f t="array" ref="I73">_xlfn.CEILING.MATH(_xlfn.SWITCH(K73, "A", 13.21, "B", 4.86, "C", 10.56, "D", 10.87, "E", 16.75, "F", 22, "G", 13.2, "H", 19.3, "I", 17.5, "J", 12.8, "K", 17.3, "L", 17, -1))</f>
        <v>18</v>
      </c>
      <c r="J73" s="9">
        <f>_xlfn.CEILING.MATH(2*F73*(G73+I73+6))</f>
        <v>444</v>
      </c>
      <c r="K73" s="10" t="s">
        <v>48</v>
      </c>
    </row>
    <row r="74" spans="1:11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24"/>
        <v>58.5</v>
      </c>
      <c r="F74" s="6">
        <f t="shared" si="25"/>
        <v>6</v>
      </c>
      <c r="G74" s="7">
        <f t="shared" si="23"/>
        <v>22</v>
      </c>
      <c r="H74" s="7">
        <v>21.88</v>
      </c>
      <c r="I74" s="16" cm="1">
        <f t="array" ref="I74">_xlfn.CEILING.MATH(_xlfn.SWITCH(K74, "A", 13.21, "B", 4.86, "C", 10.56, "D", 10.87, "E", 16.75, "F", 22, "G", 13.2, "H", 19.3, "I", 17.5, "J", 12.8, "K", 17.3, "L", 17, -1))</f>
        <v>18</v>
      </c>
      <c r="J74" s="9">
        <f>_xlfn.CEILING.MATH(2*F74*(G74+I74+6))</f>
        <v>552</v>
      </c>
      <c r="K74" s="10" t="s">
        <v>48</v>
      </c>
    </row>
    <row r="75" spans="1:11" ht="14.25" customHeight="1" x14ac:dyDescent="0.3">
      <c r="A75" s="11" t="s">
        <v>97</v>
      </c>
      <c r="B75" s="87" t="s">
        <v>88</v>
      </c>
      <c r="C75" s="106"/>
      <c r="D75" s="106"/>
      <c r="E75" s="106"/>
      <c r="F75" s="106"/>
      <c r="G75" s="106"/>
      <c r="H75" s="106"/>
      <c r="I75" s="106"/>
      <c r="J75" s="106"/>
      <c r="K75" s="107"/>
    </row>
    <row r="76" spans="1:11" ht="14.25" customHeight="1" x14ac:dyDescent="0.3">
      <c r="A76" s="4" t="s">
        <v>98</v>
      </c>
      <c r="B76" s="4" t="s">
        <v>88</v>
      </c>
      <c r="C76" s="7">
        <v>4</v>
      </c>
      <c r="D76" s="7">
        <v>4</v>
      </c>
      <c r="E76" s="6">
        <f t="shared" ref="E76:E80" si="26">C76*D76</f>
        <v>16</v>
      </c>
      <c r="F76" s="6">
        <f t="shared" ref="F76:F80" si="27">ROUNDUP(E76/10,0)</f>
        <v>2</v>
      </c>
      <c r="G76" s="7">
        <f t="shared" si="23"/>
        <v>12</v>
      </c>
      <c r="H76" s="7">
        <v>11.5</v>
      </c>
      <c r="I76" s="16" cm="1">
        <f t="array" ref="I76">_xlfn.CEILING.MATH(_xlfn.SWITCH(K76, "A", 13.21, "B", 4.86, "C", 10.56, "D", 10.87, "E", 16.75, "F", 22, "G", 13.2, "H", 19.3, "I", 17.5, "J", 12.8, "K", 17.3, "L", 17, -1))</f>
        <v>13</v>
      </c>
      <c r="J76" s="9">
        <f>_xlfn.CEILING.MATH(2*F76*(G76+I76+6))</f>
        <v>124</v>
      </c>
      <c r="K76" s="10" t="s">
        <v>52</v>
      </c>
    </row>
    <row r="77" spans="1:11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26"/>
        <v>42.75</v>
      </c>
      <c r="F77" s="6">
        <f t="shared" si="27"/>
        <v>5</v>
      </c>
      <c r="G77" s="7">
        <f t="shared" si="23"/>
        <v>17</v>
      </c>
      <c r="H77" s="7">
        <v>17</v>
      </c>
      <c r="I77" s="16" cm="1">
        <f t="array" ref="I77">_xlfn.CEILING.MATH(_xlfn.SWITCH(K77, "A", 13.21, "B", 4.86, "C", 10.56, "D", 10.87, "E", 16.75, "F", 22, "G", 13.2, "H", 19.3, "I", 17.5, "J", 12.8, "K", 17.3, "L", 17, -1))</f>
        <v>13</v>
      </c>
      <c r="J77" s="9">
        <f>_xlfn.CEILING.MATH(2*F77*(G77+I77+6))</f>
        <v>360</v>
      </c>
      <c r="K77" s="10" t="s">
        <v>52</v>
      </c>
    </row>
    <row r="78" spans="1:11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26"/>
        <v>42.75</v>
      </c>
      <c r="F78" s="6">
        <f t="shared" si="27"/>
        <v>5</v>
      </c>
      <c r="G78" s="7">
        <f t="shared" si="23"/>
        <v>23</v>
      </c>
      <c r="H78" s="7">
        <v>22.5</v>
      </c>
      <c r="I78" s="16" cm="1">
        <f t="array" ref="I78">_xlfn.CEILING.MATH(_xlfn.SWITCH(K78, "A", 13.21, "B", 4.86, "C", 10.56, "D", 10.87, "E", 16.75, "F", 22, "G", 13.2, "H", 19.3, "I", 17.5, "J", 12.8, "K", 17.3, "L", 17, -1))</f>
        <v>13</v>
      </c>
      <c r="J78" s="9">
        <f>_xlfn.CEILING.MATH(2*F78*(G78+I78+6))</f>
        <v>420</v>
      </c>
      <c r="K78" s="10" t="s">
        <v>52</v>
      </c>
    </row>
    <row r="79" spans="1:11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26"/>
        <v>42.75</v>
      </c>
      <c r="F79" s="6">
        <f t="shared" si="27"/>
        <v>5</v>
      </c>
      <c r="G79" s="7">
        <f t="shared" si="23"/>
        <v>28</v>
      </c>
      <c r="H79" s="7">
        <v>28</v>
      </c>
      <c r="I79" s="16" cm="1">
        <f t="array" ref="I79">_xlfn.CEILING.MATH(_xlfn.SWITCH(K79, "A", 13.21, "B", 4.86, "C", 10.56, "D", 10.87, "E", 16.75, "F", 22, "G", 13.2, "H", 19.3, "I", 17.5, "J", 12.8, "K", 17.3, "L", 17, -1))</f>
        <v>13</v>
      </c>
      <c r="J79" s="9">
        <f>_xlfn.CEILING.MATH(2*F79*(G79+I79+6))</f>
        <v>470</v>
      </c>
      <c r="K79" s="10" t="s">
        <v>52</v>
      </c>
    </row>
    <row r="80" spans="1:11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26"/>
        <v>42.75</v>
      </c>
      <c r="F80" s="6">
        <f t="shared" si="27"/>
        <v>5</v>
      </c>
      <c r="G80" s="7">
        <f t="shared" si="23"/>
        <v>34</v>
      </c>
      <c r="H80" s="7">
        <v>33.5</v>
      </c>
      <c r="I80" s="16" cm="1">
        <f t="array" ref="I80">_xlfn.CEILING.MATH(_xlfn.SWITCH(K80, "A", 13.21, "B", 4.86, "C", 10.56, "D", 10.87, "E", 16.75, "F", 22, "G", 13.2, "H", 19.3, "I", 17.5, "J", 12.8, "K", 17.3, "L", 17, -1))</f>
        <v>13</v>
      </c>
      <c r="J80" s="9">
        <f>_xlfn.CEILING.MATH(2*F80*(G80+I80+6))</f>
        <v>530</v>
      </c>
      <c r="K80" s="10" t="s">
        <v>52</v>
      </c>
    </row>
    <row r="81" spans="1:11" ht="14.25" customHeight="1" x14ac:dyDescent="0.3">
      <c r="A81" s="12" t="s">
        <v>103</v>
      </c>
      <c r="B81" s="88" t="s">
        <v>23</v>
      </c>
      <c r="C81" s="108"/>
      <c r="D81" s="108"/>
      <c r="E81" s="108"/>
      <c r="F81" s="108"/>
      <c r="G81" s="108"/>
      <c r="H81" s="108"/>
      <c r="I81" s="108"/>
      <c r="J81" s="108"/>
      <c r="K81" s="109"/>
    </row>
    <row r="82" spans="1:11" ht="14.25" customHeight="1" x14ac:dyDescent="0.3">
      <c r="A82" s="12" t="s">
        <v>104</v>
      </c>
      <c r="B82" s="110"/>
      <c r="C82" s="111"/>
      <c r="D82" s="111"/>
      <c r="E82" s="111"/>
      <c r="F82" s="111"/>
      <c r="G82" s="111"/>
      <c r="H82" s="111"/>
      <c r="I82" s="111"/>
      <c r="J82" s="111"/>
      <c r="K82" s="112"/>
    </row>
    <row r="83" spans="1:11" ht="14.25" customHeight="1" x14ac:dyDescent="0.3">
      <c r="A83" s="4" t="s">
        <v>105</v>
      </c>
      <c r="B83" s="4" t="s">
        <v>88</v>
      </c>
      <c r="C83" s="7">
        <v>6.5</v>
      </c>
      <c r="D83" s="7">
        <v>12.5</v>
      </c>
      <c r="E83" s="6">
        <f t="shared" ref="E83:E88" si="28">C83*D83</f>
        <v>81.25</v>
      </c>
      <c r="F83" s="6">
        <f t="shared" ref="F83:F88" si="29">ROUNDUP(E83/10,0)</f>
        <v>9</v>
      </c>
      <c r="G83" s="7">
        <f>_xlfn.CEILING.MATH(H83)</f>
        <v>11</v>
      </c>
      <c r="H83" s="7">
        <v>10.5</v>
      </c>
      <c r="I83" s="16" cm="1">
        <f t="array" ref="I83">_xlfn.CEILING.MATH(_xlfn.SWITCH(K83, "A", 13.21, "B", 4.86, "C", 10.56, "D", 10.87, "E", 16.75, "F", 22, "G", 13.2, "H", 19.3, "I", 17.5, "J", 12.8, "K", 17.3, "L", 17, -1))</f>
        <v>18</v>
      </c>
      <c r="J83" s="9">
        <f>_xlfn.CEILING.MATH(2*F83*(G83+I83+6))</f>
        <v>630</v>
      </c>
      <c r="K83" s="10" t="s">
        <v>60</v>
      </c>
    </row>
    <row r="84" spans="1:11" ht="14.25" customHeight="1" x14ac:dyDescent="0.3">
      <c r="A84" s="4" t="s">
        <v>106</v>
      </c>
      <c r="B84" s="4" t="s">
        <v>88</v>
      </c>
      <c r="C84" s="7">
        <v>6.5</v>
      </c>
      <c r="D84" s="7">
        <v>12.5</v>
      </c>
      <c r="E84" s="6">
        <f t="shared" si="28"/>
        <v>81.25</v>
      </c>
      <c r="F84" s="6">
        <f t="shared" si="29"/>
        <v>9</v>
      </c>
      <c r="G84" s="7">
        <f t="shared" ref="G84:G88" si="30">_xlfn.CEILING.MATH(H84)</f>
        <v>18</v>
      </c>
      <c r="H84" s="7">
        <v>17.5</v>
      </c>
      <c r="I84" s="16" cm="1">
        <f t="array" ref="I84">_xlfn.CEILING.MATH(_xlfn.SWITCH(K84, "A", 13.21, "B", 4.86, "C", 10.56, "D", 10.87, "E", 16.75, "F", 22, "G", 13.2, "H", 19.3, "I", 17.5, "J", 12.8, "K", 17.3, "L", 17, -1))</f>
        <v>18</v>
      </c>
      <c r="J84" s="9">
        <f>_xlfn.CEILING.MATH(2*F84*(G84+I84+6))</f>
        <v>756</v>
      </c>
      <c r="K84" s="10" t="s">
        <v>60</v>
      </c>
    </row>
    <row r="85" spans="1:11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28"/>
        <v>68.75</v>
      </c>
      <c r="F85" s="6">
        <f t="shared" si="29"/>
        <v>7</v>
      </c>
      <c r="G85" s="7">
        <f t="shared" si="30"/>
        <v>24</v>
      </c>
      <c r="H85" s="7">
        <v>23.5</v>
      </c>
      <c r="I85" s="16" cm="1">
        <f t="array" ref="I85">_xlfn.CEILING.MATH(_xlfn.SWITCH(K85, "A", 13.21, "B", 4.86, "C", 10.56, "D", 10.87, "E", 16.75, "F", 22, "G", 13.2, "H", 19.3, "I", 17.5, "J", 12.8, "K", 17.3, "L", 17, -1))</f>
        <v>18</v>
      </c>
      <c r="J85" s="9">
        <f>_xlfn.CEILING.MATH(2*F85*(G85+I85+6))</f>
        <v>672</v>
      </c>
      <c r="K85" s="10" t="s">
        <v>60</v>
      </c>
    </row>
    <row r="86" spans="1:11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28"/>
        <v>68.75</v>
      </c>
      <c r="F86" s="6">
        <f t="shared" si="29"/>
        <v>7</v>
      </c>
      <c r="G86" s="7">
        <f t="shared" si="30"/>
        <v>30</v>
      </c>
      <c r="H86" s="7">
        <v>29.5</v>
      </c>
      <c r="I86" s="16" cm="1">
        <f t="array" ref="I86">_xlfn.CEILING.MATH(_xlfn.SWITCH(K86, "A", 13.21, "B", 4.86, "C", 10.56, "D", 10.87, "E", 16.75, "F", 22, "G", 13.2, "H", 19.3, "I", 17.5, "J", 12.8, "K", 17.3, "L", 17, -1))</f>
        <v>18</v>
      </c>
      <c r="J86" s="9">
        <f>_xlfn.CEILING.MATH(2*F86*(G86+I86+6))</f>
        <v>756</v>
      </c>
      <c r="K86" s="10" t="s">
        <v>60</v>
      </c>
    </row>
    <row r="87" spans="1:11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28"/>
        <v>68.75</v>
      </c>
      <c r="F87" s="6">
        <f t="shared" si="29"/>
        <v>7</v>
      </c>
      <c r="G87" s="7">
        <f t="shared" si="30"/>
        <v>36</v>
      </c>
      <c r="H87" s="7">
        <v>35.5</v>
      </c>
      <c r="I87" s="16" cm="1">
        <f t="array" ref="I87">_xlfn.CEILING.MATH(_xlfn.SWITCH(K87, "A", 13.21, "B", 4.86, "C", 10.56, "D", 10.87, "E", 16.75, "F", 22, "G", 13.2, "H", 19.3, "I", 17.5, "J", 12.8, "K", 17.3, "L", 17, -1))</f>
        <v>18</v>
      </c>
      <c r="J87" s="9">
        <f>_xlfn.CEILING.MATH(2*F87*(G87+I87+6))</f>
        <v>840</v>
      </c>
      <c r="K87" s="10" t="s">
        <v>60</v>
      </c>
    </row>
    <row r="88" spans="1:11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28"/>
        <v>68.75</v>
      </c>
      <c r="F88" s="6">
        <f t="shared" si="29"/>
        <v>7</v>
      </c>
      <c r="G88" s="7">
        <f t="shared" si="30"/>
        <v>42</v>
      </c>
      <c r="H88" s="7">
        <v>41.5</v>
      </c>
      <c r="I88" s="16" cm="1">
        <f t="array" ref="I88">_xlfn.CEILING.MATH(_xlfn.SWITCH(K88, "A", 13.21, "B", 4.86, "C", 10.56, "D", 10.87, "E", 16.75, "F", 22, "G", 13.2, "H", 19.3, "I", 17.5, "J", 12.8, "K", 17.3, "L", 17, -1))</f>
        <v>18</v>
      </c>
      <c r="J88" s="9">
        <f>_xlfn.CEILING.MATH(2*F88*(G88+I88+6))</f>
        <v>924</v>
      </c>
      <c r="K88" s="10" t="s">
        <v>60</v>
      </c>
    </row>
    <row r="89" spans="1:11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123</v>
      </c>
      <c r="G89" s="13"/>
      <c r="H89" s="13"/>
      <c r="I89" s="14"/>
      <c r="J89" s="13">
        <f>SUM(J67:J88)</f>
        <v>11118</v>
      </c>
      <c r="K89" s="15"/>
    </row>
    <row r="90" spans="1:11" ht="14.25" customHeight="1" x14ac:dyDescent="0.3">
      <c r="I90" s="17"/>
      <c r="K90" s="15"/>
    </row>
    <row r="91" spans="1:11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537</v>
      </c>
      <c r="G91" s="18"/>
      <c r="H91" s="18"/>
      <c r="I91" s="19"/>
      <c r="J91" s="18">
        <f>J89+J65+J45+J20</f>
        <v>57658</v>
      </c>
      <c r="K91" s="15"/>
    </row>
    <row r="92" spans="1:11" ht="14.25" customHeight="1" x14ac:dyDescent="0.3">
      <c r="I92" s="17"/>
      <c r="K92" s="15"/>
    </row>
    <row r="93" spans="1:11" ht="14.25" customHeight="1" x14ac:dyDescent="0.3">
      <c r="I93" s="14" t="s">
        <v>113</v>
      </c>
      <c r="J93" s="13">
        <f>ROUNDUP(ROUNDUP($J$91/305,0)*1.1,0)</f>
        <v>209</v>
      </c>
      <c r="K93" s="15"/>
    </row>
    <row r="94" spans="1:11" ht="14.25" customHeight="1" x14ac:dyDescent="0.3">
      <c r="I94" s="14" t="s">
        <v>114</v>
      </c>
      <c r="J94" s="13">
        <f>ROUNDUP($J$91/2000,0)</f>
        <v>29</v>
      </c>
      <c r="K94" s="15"/>
    </row>
    <row r="95" spans="1:11" ht="14.25" customHeight="1" x14ac:dyDescent="0.3">
      <c r="I95" s="17"/>
      <c r="K95" s="15"/>
    </row>
    <row r="96" spans="1:11" ht="14.25" customHeight="1" x14ac:dyDescent="0.3">
      <c r="I96" s="17"/>
      <c r="K96" s="15"/>
    </row>
    <row r="97" spans="1:11" ht="14.25" customHeight="1" x14ac:dyDescent="0.3">
      <c r="A97" s="95" t="s">
        <v>118</v>
      </c>
      <c r="B97" s="96"/>
      <c r="C97" s="18">
        <f>J91/(F91*2)</f>
        <v>53.6852886405959</v>
      </c>
      <c r="I97" s="17"/>
      <c r="K97" s="15"/>
    </row>
    <row r="98" spans="1:11" ht="14.25" customHeight="1" x14ac:dyDescent="0.3">
      <c r="I98" s="17"/>
      <c r="K98" s="15"/>
    </row>
    <row r="99" spans="1:11" ht="14.25" customHeight="1" x14ac:dyDescent="0.3">
      <c r="A99" s="94" t="s">
        <v>119</v>
      </c>
      <c r="B99" s="90"/>
      <c r="C99" s="90"/>
      <c r="D99" s="90"/>
      <c r="E99" s="90"/>
      <c r="F99" s="90"/>
      <c r="G99" s="90"/>
      <c r="H99" s="99"/>
      <c r="I99" s="91"/>
      <c r="K99" s="15"/>
    </row>
    <row r="100" spans="1:11" ht="14.25" customHeight="1" x14ac:dyDescent="0.3">
      <c r="A100" s="93" t="s">
        <v>120</v>
      </c>
      <c r="B100" s="91"/>
      <c r="I100" s="17"/>
      <c r="K100" s="15"/>
    </row>
    <row r="101" spans="1:11" ht="14.25" customHeight="1" x14ac:dyDescent="0.3">
      <c r="A101" s="92" t="s">
        <v>121</v>
      </c>
      <c r="B101" s="91"/>
      <c r="I101" s="17"/>
      <c r="K101" s="15"/>
    </row>
    <row r="102" spans="1:11" ht="14.25" customHeight="1" x14ac:dyDescent="0.3">
      <c r="A102" s="89" t="s">
        <v>122</v>
      </c>
      <c r="B102" s="90"/>
      <c r="C102" s="90"/>
      <c r="D102" s="90"/>
      <c r="E102" s="91"/>
      <c r="I102" s="17"/>
      <c r="K102" s="15"/>
    </row>
    <row r="103" spans="1:11" ht="14.25" customHeight="1" x14ac:dyDescent="0.3">
      <c r="I103" s="17"/>
      <c r="K103" s="15"/>
    </row>
    <row r="104" spans="1:11" ht="14.25" customHeight="1" x14ac:dyDescent="0.3">
      <c r="I104" s="17"/>
      <c r="K104" s="15"/>
    </row>
    <row r="105" spans="1:11" ht="14.25" customHeight="1" x14ac:dyDescent="0.3">
      <c r="I105" s="17"/>
      <c r="K105" s="15"/>
    </row>
    <row r="106" spans="1:11" ht="14.25" customHeight="1" x14ac:dyDescent="0.3">
      <c r="I106" s="17"/>
      <c r="K106" s="15"/>
    </row>
    <row r="107" spans="1:11" ht="14.25" customHeight="1" x14ac:dyDescent="0.3">
      <c r="I107" s="17"/>
      <c r="K107" s="15"/>
    </row>
    <row r="108" spans="1:11" ht="14.25" customHeight="1" x14ac:dyDescent="0.3">
      <c r="I108" s="17"/>
      <c r="K108" s="15"/>
    </row>
    <row r="109" spans="1:11" ht="14.25" customHeight="1" x14ac:dyDescent="0.3">
      <c r="I109" s="17"/>
      <c r="K109" s="15"/>
    </row>
    <row r="110" spans="1:11" ht="14.25" customHeight="1" x14ac:dyDescent="0.3">
      <c r="I110" s="17"/>
      <c r="K110" s="15"/>
    </row>
    <row r="111" spans="1:11" ht="14.25" customHeight="1" x14ac:dyDescent="0.3">
      <c r="I111" s="17"/>
      <c r="K111" s="15"/>
    </row>
    <row r="112" spans="1:11" ht="14.25" customHeight="1" x14ac:dyDescent="0.3">
      <c r="I112" s="17"/>
      <c r="K112" s="15"/>
    </row>
    <row r="113" spans="9:11" ht="14.25" customHeight="1" x14ac:dyDescent="0.3">
      <c r="I113" s="17"/>
      <c r="K113" s="15"/>
    </row>
    <row r="114" spans="9:11" ht="14.25" customHeight="1" x14ac:dyDescent="0.3">
      <c r="I114" s="17"/>
      <c r="K114" s="15"/>
    </row>
    <row r="115" spans="9:11" ht="14.25" customHeight="1" x14ac:dyDescent="0.3">
      <c r="I115" s="17"/>
      <c r="K115" s="15"/>
    </row>
    <row r="116" spans="9:11" ht="14.25" customHeight="1" x14ac:dyDescent="0.3">
      <c r="I116" s="17"/>
      <c r="K116" s="15"/>
    </row>
    <row r="117" spans="9:11" ht="14.25" customHeight="1" x14ac:dyDescent="0.3">
      <c r="I117" s="17"/>
      <c r="K117" s="15"/>
    </row>
    <row r="118" spans="9:11" ht="14.25" customHeight="1" x14ac:dyDescent="0.3">
      <c r="I118" s="17"/>
      <c r="K118" s="15"/>
    </row>
    <row r="119" spans="9:11" ht="14.25" customHeight="1" x14ac:dyDescent="0.3">
      <c r="I119" s="17"/>
      <c r="K119" s="15"/>
    </row>
    <row r="120" spans="9:11" ht="14.25" customHeight="1" x14ac:dyDescent="0.3">
      <c r="I120" s="17"/>
      <c r="K120" s="15"/>
    </row>
    <row r="121" spans="9:11" ht="14.25" customHeight="1" x14ac:dyDescent="0.3">
      <c r="I121" s="17"/>
      <c r="K121" s="15"/>
    </row>
    <row r="122" spans="9:11" ht="14.25" customHeight="1" x14ac:dyDescent="0.3">
      <c r="I122" s="17"/>
      <c r="K122" s="15"/>
    </row>
    <row r="123" spans="9:11" ht="14.25" customHeight="1" x14ac:dyDescent="0.3">
      <c r="I123" s="17"/>
      <c r="K123" s="15"/>
    </row>
    <row r="124" spans="9:11" ht="14.25" customHeight="1" x14ac:dyDescent="0.3">
      <c r="I124" s="17"/>
      <c r="K124" s="15"/>
    </row>
    <row r="125" spans="9:11" ht="14.25" customHeight="1" x14ac:dyDescent="0.3">
      <c r="I125" s="17"/>
      <c r="K125" s="15"/>
    </row>
    <row r="126" spans="9:11" ht="14.25" customHeight="1" x14ac:dyDescent="0.3">
      <c r="I126" s="17"/>
      <c r="K126" s="15"/>
    </row>
    <row r="127" spans="9:11" ht="14.25" customHeight="1" x14ac:dyDescent="0.3">
      <c r="I127" s="17"/>
      <c r="K127" s="15"/>
    </row>
    <row r="128" spans="9:11" ht="14.25" customHeight="1" x14ac:dyDescent="0.3">
      <c r="I128" s="17"/>
      <c r="K128" s="15"/>
    </row>
    <row r="129" spans="9:11" ht="14.25" customHeight="1" x14ac:dyDescent="0.3">
      <c r="I129" s="17"/>
      <c r="K129" s="15"/>
    </row>
    <row r="130" spans="9:11" ht="14.25" customHeight="1" x14ac:dyDescent="0.3">
      <c r="I130" s="17"/>
      <c r="K130" s="15"/>
    </row>
    <row r="131" spans="9:11" ht="14.25" customHeight="1" x14ac:dyDescent="0.3">
      <c r="I131" s="17"/>
      <c r="K131" s="15"/>
    </row>
    <row r="132" spans="9:11" ht="14.25" customHeight="1" x14ac:dyDescent="0.3">
      <c r="I132" s="17"/>
      <c r="K132" s="15"/>
    </row>
    <row r="133" spans="9:11" ht="14.25" customHeight="1" x14ac:dyDescent="0.3">
      <c r="I133" s="17"/>
      <c r="K133" s="15"/>
    </row>
    <row r="134" spans="9:11" ht="14.25" customHeight="1" x14ac:dyDescent="0.3">
      <c r="I134" s="17"/>
      <c r="K134" s="15"/>
    </row>
    <row r="135" spans="9:11" ht="14.25" customHeight="1" x14ac:dyDescent="0.3">
      <c r="I135" s="17"/>
      <c r="K135" s="15"/>
    </row>
    <row r="136" spans="9:11" ht="14.25" customHeight="1" x14ac:dyDescent="0.3">
      <c r="I136" s="17"/>
      <c r="K136" s="15"/>
    </row>
    <row r="137" spans="9:11" ht="14.25" customHeight="1" x14ac:dyDescent="0.3">
      <c r="I137" s="17"/>
      <c r="K137" s="15"/>
    </row>
    <row r="138" spans="9:11" ht="14.25" customHeight="1" x14ac:dyDescent="0.3">
      <c r="I138" s="17"/>
      <c r="K138" s="15"/>
    </row>
    <row r="139" spans="9:11" ht="14.25" customHeight="1" x14ac:dyDescent="0.3">
      <c r="I139" s="17"/>
      <c r="K139" s="15"/>
    </row>
    <row r="140" spans="9:11" ht="14.25" customHeight="1" x14ac:dyDescent="0.3">
      <c r="I140" s="17"/>
      <c r="K140" s="15"/>
    </row>
    <row r="141" spans="9:11" ht="14.25" customHeight="1" x14ac:dyDescent="0.3">
      <c r="I141" s="17"/>
      <c r="K141" s="15"/>
    </row>
    <row r="142" spans="9:11" ht="14.25" customHeight="1" x14ac:dyDescent="0.3">
      <c r="I142" s="17"/>
      <c r="K142" s="15"/>
    </row>
    <row r="143" spans="9:11" ht="14.25" customHeight="1" x14ac:dyDescent="0.3">
      <c r="I143" s="17"/>
      <c r="K143" s="15"/>
    </row>
    <row r="144" spans="9:11" ht="14.25" customHeight="1" x14ac:dyDescent="0.3">
      <c r="I144" s="17"/>
      <c r="K144" s="15"/>
    </row>
    <row r="145" spans="9:11" ht="14.25" customHeight="1" x14ac:dyDescent="0.3">
      <c r="I145" s="17"/>
      <c r="K145" s="15"/>
    </row>
    <row r="146" spans="9:11" ht="14.25" customHeight="1" x14ac:dyDescent="0.3">
      <c r="I146" s="17"/>
      <c r="K146" s="15"/>
    </row>
    <row r="147" spans="9:11" ht="14.25" customHeight="1" x14ac:dyDescent="0.3">
      <c r="I147" s="17"/>
      <c r="K147" s="15"/>
    </row>
    <row r="148" spans="9:11" ht="14.25" customHeight="1" x14ac:dyDescent="0.3">
      <c r="I148" s="17"/>
      <c r="K148" s="15"/>
    </row>
    <row r="149" spans="9:11" ht="14.25" customHeight="1" x14ac:dyDescent="0.3">
      <c r="I149" s="17"/>
      <c r="K149" s="15"/>
    </row>
    <row r="150" spans="9:11" ht="14.25" customHeight="1" x14ac:dyDescent="0.3">
      <c r="I150" s="17"/>
      <c r="K150" s="15"/>
    </row>
    <row r="151" spans="9:11" ht="14.25" customHeight="1" x14ac:dyDescent="0.3">
      <c r="I151" s="17"/>
      <c r="K151" s="15"/>
    </row>
    <row r="152" spans="9:11" ht="14.25" customHeight="1" x14ac:dyDescent="0.3">
      <c r="I152" s="17"/>
      <c r="K152" s="15"/>
    </row>
    <row r="153" spans="9:11" ht="14.25" customHeight="1" x14ac:dyDescent="0.3">
      <c r="I153" s="17"/>
      <c r="K153" s="15"/>
    </row>
    <row r="154" spans="9:11" ht="14.25" customHeight="1" x14ac:dyDescent="0.3">
      <c r="I154" s="17"/>
      <c r="K154" s="15"/>
    </row>
    <row r="155" spans="9:11" ht="14.25" customHeight="1" x14ac:dyDescent="0.3">
      <c r="I155" s="17"/>
      <c r="K155" s="15"/>
    </row>
    <row r="156" spans="9:11" ht="14.25" customHeight="1" x14ac:dyDescent="0.3">
      <c r="I156" s="17"/>
      <c r="K156" s="15"/>
    </row>
    <row r="157" spans="9:11" ht="14.25" customHeight="1" x14ac:dyDescent="0.3">
      <c r="I157" s="17"/>
      <c r="K157" s="15"/>
    </row>
    <row r="158" spans="9:11" ht="14.25" customHeight="1" x14ac:dyDescent="0.3">
      <c r="I158" s="17"/>
      <c r="K158" s="15"/>
    </row>
    <row r="159" spans="9:11" ht="14.25" customHeight="1" x14ac:dyDescent="0.3">
      <c r="I159" s="17"/>
      <c r="K159" s="15"/>
    </row>
    <row r="160" spans="9:11" ht="14.25" customHeight="1" x14ac:dyDescent="0.3">
      <c r="I160" s="17"/>
      <c r="K160" s="15"/>
    </row>
    <row r="161" spans="9:11" ht="14.25" customHeight="1" x14ac:dyDescent="0.3">
      <c r="I161" s="17"/>
      <c r="K161" s="15"/>
    </row>
    <row r="162" spans="9:11" ht="14.25" customHeight="1" x14ac:dyDescent="0.3">
      <c r="I162" s="17"/>
      <c r="K162" s="15"/>
    </row>
    <row r="163" spans="9:11" ht="14.25" customHeight="1" x14ac:dyDescent="0.3">
      <c r="I163" s="17"/>
      <c r="K163" s="15"/>
    </row>
    <row r="164" spans="9:11" ht="14.25" customHeight="1" x14ac:dyDescent="0.3">
      <c r="I164" s="17"/>
      <c r="K164" s="15"/>
    </row>
    <row r="165" spans="9:11" ht="14.25" customHeight="1" x14ac:dyDescent="0.3">
      <c r="I165" s="17"/>
      <c r="K165" s="15"/>
    </row>
    <row r="166" spans="9:11" ht="14.25" customHeight="1" x14ac:dyDescent="0.3">
      <c r="I166" s="17"/>
      <c r="K166" s="15"/>
    </row>
    <row r="167" spans="9:11" ht="14.25" customHeight="1" x14ac:dyDescent="0.3">
      <c r="I167" s="17"/>
      <c r="K167" s="15"/>
    </row>
    <row r="168" spans="9:11" ht="14.25" customHeight="1" x14ac:dyDescent="0.3">
      <c r="I168" s="17"/>
      <c r="K168" s="15"/>
    </row>
    <row r="169" spans="9:11" ht="14.25" customHeight="1" x14ac:dyDescent="0.3">
      <c r="I169" s="17"/>
      <c r="K169" s="15"/>
    </row>
    <row r="170" spans="9:11" ht="14.25" customHeight="1" x14ac:dyDescent="0.3">
      <c r="I170" s="17"/>
      <c r="K170" s="15"/>
    </row>
    <row r="171" spans="9:11" ht="14.25" customHeight="1" x14ac:dyDescent="0.3">
      <c r="I171" s="17"/>
      <c r="K171" s="15"/>
    </row>
    <row r="172" spans="9:11" ht="14.25" customHeight="1" x14ac:dyDescent="0.3">
      <c r="I172" s="17"/>
      <c r="K172" s="15"/>
    </row>
    <row r="173" spans="9:11" ht="14.25" customHeight="1" x14ac:dyDescent="0.3">
      <c r="I173" s="17"/>
      <c r="K173" s="15"/>
    </row>
    <row r="174" spans="9:11" ht="14.25" customHeight="1" x14ac:dyDescent="0.3">
      <c r="I174" s="17"/>
      <c r="K174" s="15"/>
    </row>
    <row r="175" spans="9:11" ht="14.25" customHeight="1" x14ac:dyDescent="0.3">
      <c r="I175" s="17"/>
      <c r="K175" s="15"/>
    </row>
    <row r="176" spans="9:11" ht="14.25" customHeight="1" x14ac:dyDescent="0.3">
      <c r="I176" s="17"/>
      <c r="K176" s="15"/>
    </row>
    <row r="177" spans="9:11" ht="14.25" customHeight="1" x14ac:dyDescent="0.3">
      <c r="I177" s="17"/>
      <c r="K177" s="15"/>
    </row>
    <row r="178" spans="9:11" ht="14.25" customHeight="1" x14ac:dyDescent="0.3">
      <c r="I178" s="17"/>
      <c r="K178" s="15"/>
    </row>
    <row r="179" spans="9:11" ht="14.25" customHeight="1" x14ac:dyDescent="0.3">
      <c r="I179" s="17"/>
      <c r="K179" s="15"/>
    </row>
    <row r="180" spans="9:11" ht="14.25" customHeight="1" x14ac:dyDescent="0.3">
      <c r="I180" s="17"/>
      <c r="K180" s="15"/>
    </row>
    <row r="181" spans="9:11" ht="14.25" customHeight="1" x14ac:dyDescent="0.3">
      <c r="I181" s="17"/>
      <c r="K181" s="15"/>
    </row>
    <row r="182" spans="9:11" ht="14.25" customHeight="1" x14ac:dyDescent="0.3">
      <c r="I182" s="17"/>
      <c r="K182" s="15"/>
    </row>
    <row r="183" spans="9:11" ht="14.25" customHeight="1" x14ac:dyDescent="0.3">
      <c r="I183" s="17"/>
      <c r="K183" s="15"/>
    </row>
    <row r="184" spans="9:11" ht="14.25" customHeight="1" x14ac:dyDescent="0.3">
      <c r="I184" s="17"/>
      <c r="K184" s="15"/>
    </row>
    <row r="185" spans="9:11" ht="14.25" customHeight="1" x14ac:dyDescent="0.3">
      <c r="I185" s="17"/>
      <c r="K185" s="15"/>
    </row>
    <row r="186" spans="9:11" ht="14.25" customHeight="1" x14ac:dyDescent="0.3">
      <c r="I186" s="17"/>
      <c r="K186" s="15"/>
    </row>
    <row r="187" spans="9:11" ht="14.25" customHeight="1" x14ac:dyDescent="0.3">
      <c r="I187" s="17"/>
      <c r="K187" s="15"/>
    </row>
    <row r="188" spans="9:11" ht="14.25" customHeight="1" x14ac:dyDescent="0.3">
      <c r="I188" s="17"/>
      <c r="K188" s="15"/>
    </row>
    <row r="189" spans="9:11" ht="14.25" customHeight="1" x14ac:dyDescent="0.3">
      <c r="I189" s="17"/>
      <c r="K189" s="15"/>
    </row>
    <row r="190" spans="9:11" ht="14.25" customHeight="1" x14ac:dyDescent="0.3">
      <c r="I190" s="17"/>
      <c r="K190" s="15"/>
    </row>
    <row r="191" spans="9:11" ht="14.25" customHeight="1" x14ac:dyDescent="0.3">
      <c r="I191" s="17"/>
      <c r="K191" s="15"/>
    </row>
    <row r="192" spans="9:11" ht="14.25" customHeight="1" x14ac:dyDescent="0.3">
      <c r="I192" s="17"/>
      <c r="K192" s="15"/>
    </row>
    <row r="193" spans="9:11" ht="14.25" customHeight="1" x14ac:dyDescent="0.3">
      <c r="I193" s="17"/>
      <c r="K193" s="15"/>
    </row>
    <row r="194" spans="9:11" ht="14.25" customHeight="1" x14ac:dyDescent="0.3">
      <c r="I194" s="17"/>
      <c r="K194" s="15"/>
    </row>
    <row r="195" spans="9:11" ht="14.25" customHeight="1" x14ac:dyDescent="0.3">
      <c r="I195" s="17"/>
      <c r="K195" s="15"/>
    </row>
    <row r="196" spans="9:11" ht="14.25" customHeight="1" x14ac:dyDescent="0.3">
      <c r="I196" s="17"/>
      <c r="K196" s="15"/>
    </row>
    <row r="197" spans="9:11" ht="14.25" customHeight="1" x14ac:dyDescent="0.3">
      <c r="I197" s="17"/>
      <c r="K197" s="15"/>
    </row>
    <row r="198" spans="9:11" ht="14.25" customHeight="1" x14ac:dyDescent="0.3">
      <c r="I198" s="17"/>
      <c r="K198" s="15"/>
    </row>
    <row r="199" spans="9:11" ht="14.25" customHeight="1" x14ac:dyDescent="0.3">
      <c r="I199" s="17"/>
      <c r="K199" s="15"/>
    </row>
    <row r="200" spans="9:11" ht="14.25" customHeight="1" x14ac:dyDescent="0.3">
      <c r="I200" s="17"/>
      <c r="K200" s="15"/>
    </row>
    <row r="201" spans="9:11" ht="14.25" customHeight="1" x14ac:dyDescent="0.3">
      <c r="I201" s="17"/>
      <c r="K201" s="15"/>
    </row>
    <row r="202" spans="9:11" ht="14.25" customHeight="1" x14ac:dyDescent="0.3">
      <c r="I202" s="17"/>
      <c r="K202" s="15"/>
    </row>
    <row r="203" spans="9:11" ht="14.25" customHeight="1" x14ac:dyDescent="0.3">
      <c r="I203" s="17"/>
      <c r="K203" s="15"/>
    </row>
    <row r="204" spans="9:11" ht="14.25" customHeight="1" x14ac:dyDescent="0.3">
      <c r="I204" s="17"/>
      <c r="K204" s="15"/>
    </row>
    <row r="205" spans="9:11" ht="14.25" customHeight="1" x14ac:dyDescent="0.3">
      <c r="I205" s="17"/>
      <c r="K205" s="15"/>
    </row>
    <row r="206" spans="9:11" ht="14.25" customHeight="1" x14ac:dyDescent="0.3">
      <c r="I206" s="17"/>
      <c r="K206" s="15"/>
    </row>
    <row r="207" spans="9:11" ht="14.25" customHeight="1" x14ac:dyDescent="0.3">
      <c r="I207" s="17"/>
      <c r="K207" s="15"/>
    </row>
    <row r="208" spans="9:11" ht="14.25" customHeight="1" x14ac:dyDescent="0.3">
      <c r="I208" s="17"/>
      <c r="K208" s="15"/>
    </row>
    <row r="209" spans="9:11" ht="14.25" customHeight="1" x14ac:dyDescent="0.3">
      <c r="I209" s="17"/>
      <c r="K209" s="15"/>
    </row>
    <row r="210" spans="9:11" ht="14.25" customHeight="1" x14ac:dyDescent="0.3">
      <c r="I210" s="17"/>
      <c r="K210" s="15"/>
    </row>
    <row r="211" spans="9:11" ht="14.25" customHeight="1" x14ac:dyDescent="0.3">
      <c r="I211" s="17"/>
      <c r="K211" s="15"/>
    </row>
    <row r="212" spans="9:11" ht="14.25" customHeight="1" x14ac:dyDescent="0.3">
      <c r="I212" s="17"/>
      <c r="K212" s="15"/>
    </row>
    <row r="213" spans="9:11" ht="14.25" customHeight="1" x14ac:dyDescent="0.3">
      <c r="I213" s="17"/>
      <c r="K213" s="15"/>
    </row>
    <row r="214" spans="9:11" ht="14.25" customHeight="1" x14ac:dyDescent="0.3">
      <c r="I214" s="17"/>
      <c r="K214" s="15"/>
    </row>
    <row r="215" spans="9:11" ht="14.25" customHeight="1" x14ac:dyDescent="0.3">
      <c r="I215" s="17"/>
      <c r="K215" s="15"/>
    </row>
    <row r="216" spans="9:11" ht="14.25" customHeight="1" x14ac:dyDescent="0.3">
      <c r="I216" s="17"/>
      <c r="K216" s="15"/>
    </row>
    <row r="217" spans="9:11" ht="14.25" customHeight="1" x14ac:dyDescent="0.3">
      <c r="I217" s="17"/>
      <c r="K217" s="15"/>
    </row>
    <row r="218" spans="9:11" ht="14.25" customHeight="1" x14ac:dyDescent="0.3">
      <c r="I218" s="17"/>
      <c r="K218" s="15"/>
    </row>
    <row r="219" spans="9:11" ht="14.25" customHeight="1" x14ac:dyDescent="0.3">
      <c r="I219" s="17"/>
      <c r="K219" s="15"/>
    </row>
    <row r="220" spans="9:11" ht="14.25" customHeight="1" x14ac:dyDescent="0.3">
      <c r="I220" s="17"/>
      <c r="K220" s="15"/>
    </row>
    <row r="221" spans="9:11" ht="14.25" customHeight="1" x14ac:dyDescent="0.3">
      <c r="I221" s="17"/>
      <c r="K221" s="15"/>
    </row>
    <row r="222" spans="9:11" ht="14.25" customHeight="1" x14ac:dyDescent="0.3">
      <c r="I222" s="17"/>
      <c r="K222" s="15"/>
    </row>
    <row r="223" spans="9:11" ht="14.25" customHeight="1" x14ac:dyDescent="0.3">
      <c r="I223" s="17"/>
      <c r="K223" s="15"/>
    </row>
    <row r="224" spans="9:11" ht="14.25" customHeight="1" x14ac:dyDescent="0.3">
      <c r="I224" s="17"/>
      <c r="K224" s="15"/>
    </row>
    <row r="225" spans="9:11" ht="14.25" customHeight="1" x14ac:dyDescent="0.3">
      <c r="I225" s="17"/>
      <c r="K225" s="15"/>
    </row>
    <row r="226" spans="9:11" ht="14.25" customHeight="1" x14ac:dyDescent="0.3">
      <c r="I226" s="17"/>
      <c r="K226" s="15"/>
    </row>
    <row r="227" spans="9:11" ht="14.25" customHeight="1" x14ac:dyDescent="0.3">
      <c r="I227" s="17"/>
      <c r="K227" s="15"/>
    </row>
    <row r="228" spans="9:11" ht="14.25" customHeight="1" x14ac:dyDescent="0.3">
      <c r="I228" s="17"/>
      <c r="K228" s="15"/>
    </row>
    <row r="229" spans="9:11" ht="14.25" customHeight="1" x14ac:dyDescent="0.3">
      <c r="I229" s="17"/>
      <c r="K229" s="15"/>
    </row>
    <row r="230" spans="9:11" ht="14.25" customHeight="1" x14ac:dyDescent="0.3">
      <c r="I230" s="17"/>
      <c r="K230" s="15"/>
    </row>
    <row r="231" spans="9:11" ht="14.25" customHeight="1" x14ac:dyDescent="0.3">
      <c r="I231" s="17"/>
      <c r="K231" s="15"/>
    </row>
    <row r="232" spans="9:11" ht="14.25" customHeight="1" x14ac:dyDescent="0.3">
      <c r="I232" s="17"/>
      <c r="K232" s="15"/>
    </row>
    <row r="233" spans="9:11" ht="14.25" customHeight="1" x14ac:dyDescent="0.3">
      <c r="I233" s="17"/>
      <c r="K233" s="15"/>
    </row>
    <row r="234" spans="9:11" ht="14.25" customHeight="1" x14ac:dyDescent="0.3">
      <c r="I234" s="17"/>
      <c r="K234" s="15"/>
    </row>
    <row r="235" spans="9:11" ht="14.25" customHeight="1" x14ac:dyDescent="0.3">
      <c r="I235" s="17"/>
      <c r="K235" s="15"/>
    </row>
    <row r="236" spans="9:11" ht="14.25" customHeight="1" x14ac:dyDescent="0.3">
      <c r="I236" s="17"/>
      <c r="K236" s="15"/>
    </row>
    <row r="237" spans="9:11" ht="14.25" customHeight="1" x14ac:dyDescent="0.3">
      <c r="I237" s="17"/>
      <c r="K237" s="15"/>
    </row>
    <row r="238" spans="9:11" ht="14.25" customHeight="1" x14ac:dyDescent="0.3">
      <c r="I238" s="17"/>
      <c r="K238" s="15"/>
    </row>
    <row r="239" spans="9:11" ht="14.25" customHeight="1" x14ac:dyDescent="0.3">
      <c r="I239" s="17"/>
      <c r="K239" s="15"/>
    </row>
    <row r="240" spans="9:11" ht="14.25" customHeight="1" x14ac:dyDescent="0.3">
      <c r="I240" s="17"/>
      <c r="K240" s="15"/>
    </row>
    <row r="241" spans="9:11" ht="14.25" customHeight="1" x14ac:dyDescent="0.3">
      <c r="I241" s="17"/>
      <c r="K241" s="15"/>
    </row>
    <row r="242" spans="9:11" ht="14.25" customHeight="1" x14ac:dyDescent="0.3">
      <c r="I242" s="17"/>
      <c r="K242" s="15"/>
    </row>
    <row r="243" spans="9:11" ht="14.25" customHeight="1" x14ac:dyDescent="0.3">
      <c r="I243" s="17"/>
      <c r="K243" s="15"/>
    </row>
    <row r="244" spans="9:11" ht="14.25" customHeight="1" x14ac:dyDescent="0.3">
      <c r="I244" s="17"/>
      <c r="K244" s="15"/>
    </row>
    <row r="245" spans="9:11" ht="14.25" customHeight="1" x14ac:dyDescent="0.3">
      <c r="I245" s="17"/>
      <c r="K245" s="15"/>
    </row>
    <row r="246" spans="9:11" ht="14.25" customHeight="1" x14ac:dyDescent="0.3">
      <c r="I246" s="17"/>
      <c r="K246" s="15"/>
    </row>
    <row r="247" spans="9:11" ht="14.25" customHeight="1" x14ac:dyDescent="0.3">
      <c r="I247" s="17"/>
      <c r="K247" s="15"/>
    </row>
    <row r="248" spans="9:11" ht="14.25" customHeight="1" x14ac:dyDescent="0.3">
      <c r="I248" s="17"/>
      <c r="K248" s="15"/>
    </row>
    <row r="249" spans="9:11" ht="14.25" customHeight="1" x14ac:dyDescent="0.3">
      <c r="I249" s="17"/>
      <c r="K249" s="15"/>
    </row>
    <row r="250" spans="9:11" ht="14.25" customHeight="1" x14ac:dyDescent="0.3">
      <c r="I250" s="17"/>
      <c r="K250" s="15"/>
    </row>
    <row r="251" spans="9:11" ht="14.25" customHeight="1" x14ac:dyDescent="0.3">
      <c r="I251" s="17"/>
      <c r="K251" s="15"/>
    </row>
    <row r="252" spans="9:11" ht="14.25" customHeight="1" x14ac:dyDescent="0.3">
      <c r="I252" s="17"/>
      <c r="K252" s="15"/>
    </row>
    <row r="253" spans="9:11" ht="14.25" customHeight="1" x14ac:dyDescent="0.3">
      <c r="I253" s="17"/>
      <c r="K253" s="15"/>
    </row>
    <row r="254" spans="9:11" ht="14.25" customHeight="1" x14ac:dyDescent="0.3">
      <c r="I254" s="17"/>
      <c r="K254" s="15"/>
    </row>
    <row r="255" spans="9:11" ht="14.25" customHeight="1" x14ac:dyDescent="0.3">
      <c r="I255" s="17"/>
      <c r="K255" s="15"/>
    </row>
    <row r="256" spans="9:11" ht="14.25" customHeight="1" x14ac:dyDescent="0.3">
      <c r="I256" s="17"/>
      <c r="K256" s="15"/>
    </row>
    <row r="257" spans="9:11" ht="14.25" customHeight="1" x14ac:dyDescent="0.3">
      <c r="I257" s="17"/>
      <c r="K257" s="15"/>
    </row>
    <row r="258" spans="9:11" ht="14.25" customHeight="1" x14ac:dyDescent="0.3">
      <c r="I258" s="17"/>
      <c r="K258" s="15"/>
    </row>
    <row r="259" spans="9:11" ht="14.25" customHeight="1" x14ac:dyDescent="0.3">
      <c r="I259" s="17"/>
      <c r="K259" s="15"/>
    </row>
    <row r="260" spans="9:11" ht="14.25" customHeight="1" x14ac:dyDescent="0.3">
      <c r="I260" s="17"/>
      <c r="K260" s="15"/>
    </row>
    <row r="261" spans="9:11" ht="14.25" customHeight="1" x14ac:dyDescent="0.3">
      <c r="I261" s="17"/>
      <c r="K261" s="15"/>
    </row>
    <row r="262" spans="9:11" ht="14.25" customHeight="1" x14ac:dyDescent="0.3">
      <c r="I262" s="17"/>
      <c r="K262" s="15"/>
    </row>
    <row r="263" spans="9:11" ht="14.25" customHeight="1" x14ac:dyDescent="0.3">
      <c r="I263" s="17"/>
      <c r="K263" s="15"/>
    </row>
    <row r="264" spans="9:11" ht="14.25" customHeight="1" x14ac:dyDescent="0.3">
      <c r="I264" s="17"/>
      <c r="K264" s="15"/>
    </row>
    <row r="265" spans="9:11" ht="14.25" customHeight="1" x14ac:dyDescent="0.3">
      <c r="I265" s="17"/>
      <c r="K265" s="15"/>
    </row>
    <row r="266" spans="9:11" ht="14.25" customHeight="1" x14ac:dyDescent="0.3">
      <c r="I266" s="17"/>
      <c r="K266" s="15"/>
    </row>
    <row r="267" spans="9:11" ht="14.25" customHeight="1" x14ac:dyDescent="0.3">
      <c r="I267" s="17"/>
      <c r="K267" s="15"/>
    </row>
    <row r="268" spans="9:11" ht="14.25" customHeight="1" x14ac:dyDescent="0.3">
      <c r="I268" s="17"/>
      <c r="K268" s="15"/>
    </row>
    <row r="269" spans="9:11" ht="14.25" customHeight="1" x14ac:dyDescent="0.3">
      <c r="I269" s="17"/>
      <c r="K269" s="15"/>
    </row>
    <row r="270" spans="9:11" ht="14.25" customHeight="1" x14ac:dyDescent="0.3">
      <c r="I270" s="17"/>
      <c r="K270" s="15"/>
    </row>
    <row r="271" spans="9:11" ht="14.25" customHeight="1" x14ac:dyDescent="0.3">
      <c r="I271" s="17"/>
      <c r="K271" s="15"/>
    </row>
    <row r="272" spans="9:11" ht="14.25" customHeight="1" x14ac:dyDescent="0.3">
      <c r="I272" s="17"/>
      <c r="K272" s="15"/>
    </row>
    <row r="273" spans="9:11" ht="14.25" customHeight="1" x14ac:dyDescent="0.3">
      <c r="I273" s="17"/>
      <c r="K273" s="15"/>
    </row>
    <row r="274" spans="9:11" ht="14.25" customHeight="1" x14ac:dyDescent="0.3">
      <c r="I274" s="17"/>
      <c r="K274" s="15"/>
    </row>
    <row r="275" spans="9:11" ht="14.25" customHeight="1" x14ac:dyDescent="0.3">
      <c r="I275" s="17"/>
      <c r="K275" s="15"/>
    </row>
    <row r="276" spans="9:11" ht="14.25" customHeight="1" x14ac:dyDescent="0.3">
      <c r="I276" s="17"/>
      <c r="K276" s="15"/>
    </row>
    <row r="277" spans="9:11" ht="14.25" customHeight="1" x14ac:dyDescent="0.3">
      <c r="I277" s="17"/>
      <c r="K277" s="15"/>
    </row>
    <row r="278" spans="9:11" ht="14.25" customHeight="1" x14ac:dyDescent="0.3">
      <c r="I278" s="17"/>
      <c r="K278" s="15"/>
    </row>
    <row r="279" spans="9:11" ht="14.25" customHeight="1" x14ac:dyDescent="0.3">
      <c r="I279" s="17"/>
      <c r="K279" s="15"/>
    </row>
    <row r="280" spans="9:11" ht="14.25" customHeight="1" x14ac:dyDescent="0.3">
      <c r="I280" s="17"/>
      <c r="K280" s="15"/>
    </row>
    <row r="281" spans="9:11" ht="14.25" customHeight="1" x14ac:dyDescent="0.3">
      <c r="I281" s="17"/>
      <c r="K281" s="15"/>
    </row>
    <row r="282" spans="9:11" ht="14.25" customHeight="1" x14ac:dyDescent="0.3">
      <c r="I282" s="17"/>
      <c r="K282" s="15"/>
    </row>
    <row r="283" spans="9:11" ht="14.25" customHeight="1" x14ac:dyDescent="0.3">
      <c r="I283" s="17"/>
      <c r="K283" s="15"/>
    </row>
    <row r="284" spans="9:11" ht="14.25" customHeight="1" x14ac:dyDescent="0.3">
      <c r="I284" s="17"/>
      <c r="K284" s="15"/>
    </row>
    <row r="285" spans="9:11" ht="14.25" customHeight="1" x14ac:dyDescent="0.3">
      <c r="I285" s="17"/>
      <c r="K285" s="15"/>
    </row>
    <row r="286" spans="9:11" ht="14.25" customHeight="1" x14ac:dyDescent="0.3">
      <c r="I286" s="17"/>
      <c r="K286" s="15"/>
    </row>
    <row r="287" spans="9:11" ht="14.25" customHeight="1" x14ac:dyDescent="0.3">
      <c r="I287" s="17"/>
      <c r="K287" s="15"/>
    </row>
    <row r="288" spans="9:11" ht="14.25" customHeight="1" x14ac:dyDescent="0.3">
      <c r="I288" s="17"/>
      <c r="K288" s="15"/>
    </row>
    <row r="289" spans="9:11" ht="14.25" customHeight="1" x14ac:dyDescent="0.3">
      <c r="I289" s="17"/>
      <c r="K289" s="15"/>
    </row>
    <row r="290" spans="9:11" ht="14.25" customHeight="1" x14ac:dyDescent="0.3">
      <c r="I290" s="17"/>
      <c r="K290" s="15"/>
    </row>
    <row r="291" spans="9:11" ht="14.25" customHeight="1" x14ac:dyDescent="0.3">
      <c r="I291" s="17"/>
      <c r="K291" s="15"/>
    </row>
    <row r="292" spans="9:11" ht="14.25" customHeight="1" x14ac:dyDescent="0.3">
      <c r="I292" s="17"/>
      <c r="K292" s="15"/>
    </row>
    <row r="293" spans="9:11" ht="14.25" customHeight="1" x14ac:dyDescent="0.3">
      <c r="I293" s="17"/>
      <c r="K293" s="15"/>
    </row>
    <row r="294" spans="9:11" ht="14.25" customHeight="1" x14ac:dyDescent="0.3">
      <c r="I294" s="17"/>
      <c r="K294" s="15"/>
    </row>
    <row r="295" spans="9:11" ht="14.25" customHeight="1" x14ac:dyDescent="0.3">
      <c r="I295" s="17"/>
      <c r="K295" s="15"/>
    </row>
    <row r="296" spans="9:11" ht="14.25" customHeight="1" x14ac:dyDescent="0.3">
      <c r="I296" s="17"/>
      <c r="K296" s="15"/>
    </row>
    <row r="297" spans="9:11" ht="14.25" customHeight="1" x14ac:dyDescent="0.3">
      <c r="I297" s="17"/>
      <c r="K297" s="15"/>
    </row>
    <row r="298" spans="9:11" ht="14.25" customHeight="1" x14ac:dyDescent="0.3">
      <c r="I298" s="17"/>
      <c r="K298" s="15"/>
    </row>
    <row r="299" spans="9:11" ht="14.25" customHeight="1" x14ac:dyDescent="0.3">
      <c r="I299" s="17"/>
      <c r="K299" s="15"/>
    </row>
    <row r="300" spans="9:11" ht="14.25" customHeight="1" x14ac:dyDescent="0.3">
      <c r="I300" s="17"/>
      <c r="K300" s="15"/>
    </row>
    <row r="301" spans="9:11" ht="14.25" customHeight="1" x14ac:dyDescent="0.3">
      <c r="I301" s="17"/>
      <c r="K301" s="15"/>
    </row>
    <row r="302" spans="9:11" ht="14.25" customHeight="1" x14ac:dyDescent="0.3">
      <c r="I302" s="17"/>
      <c r="K302" s="15"/>
    </row>
    <row r="303" spans="9:11" ht="14.25" customHeight="1" x14ac:dyDescent="0.3">
      <c r="I303" s="17"/>
      <c r="K303" s="15"/>
    </row>
    <row r="304" spans="9:11" ht="14.25" customHeight="1" x14ac:dyDescent="0.3">
      <c r="I304" s="17"/>
      <c r="K304" s="15"/>
    </row>
    <row r="305" spans="9:11" ht="14.25" customHeight="1" x14ac:dyDescent="0.3">
      <c r="I305" s="17"/>
      <c r="K305" s="15"/>
    </row>
    <row r="306" spans="9:11" ht="14.25" customHeight="1" x14ac:dyDescent="0.3">
      <c r="I306" s="17"/>
      <c r="K306" s="15"/>
    </row>
    <row r="307" spans="9:11" ht="14.25" customHeight="1" x14ac:dyDescent="0.3">
      <c r="I307" s="17"/>
      <c r="K307" s="15"/>
    </row>
    <row r="308" spans="9:11" ht="14.25" customHeight="1" x14ac:dyDescent="0.3">
      <c r="I308" s="17"/>
      <c r="K308" s="15"/>
    </row>
    <row r="309" spans="9:11" ht="14.25" customHeight="1" x14ac:dyDescent="0.3">
      <c r="I309" s="17"/>
      <c r="K309" s="15"/>
    </row>
    <row r="310" spans="9:11" ht="14.25" customHeight="1" x14ac:dyDescent="0.3">
      <c r="I310" s="17"/>
      <c r="K310" s="15"/>
    </row>
    <row r="311" spans="9:11" ht="14.25" customHeight="1" x14ac:dyDescent="0.3">
      <c r="I311" s="17"/>
      <c r="K311" s="15"/>
    </row>
    <row r="312" spans="9:11" ht="14.25" customHeight="1" x14ac:dyDescent="0.3">
      <c r="I312" s="17"/>
      <c r="K312" s="15"/>
    </row>
    <row r="313" spans="9:11" ht="14.25" customHeight="1" x14ac:dyDescent="0.3">
      <c r="I313" s="17"/>
      <c r="K313" s="15"/>
    </row>
    <row r="314" spans="9:11" ht="14.25" customHeight="1" x14ac:dyDescent="0.3">
      <c r="I314" s="17"/>
      <c r="K314" s="15"/>
    </row>
    <row r="315" spans="9:11" ht="14.25" customHeight="1" x14ac:dyDescent="0.3">
      <c r="I315" s="17"/>
      <c r="K315" s="15"/>
    </row>
    <row r="316" spans="9:11" ht="14.25" customHeight="1" x14ac:dyDescent="0.3">
      <c r="I316" s="17"/>
      <c r="K316" s="15"/>
    </row>
    <row r="317" spans="9:11" ht="14.25" customHeight="1" x14ac:dyDescent="0.3">
      <c r="I317" s="17"/>
      <c r="K317" s="15"/>
    </row>
    <row r="318" spans="9:11" ht="14.25" customHeight="1" x14ac:dyDescent="0.3">
      <c r="I318" s="17"/>
      <c r="K318" s="15"/>
    </row>
    <row r="319" spans="9:11" ht="14.25" customHeight="1" x14ac:dyDescent="0.3">
      <c r="I319" s="17"/>
      <c r="K319" s="15"/>
    </row>
    <row r="320" spans="9:11" ht="14.25" customHeight="1" x14ac:dyDescent="0.3">
      <c r="I320" s="17"/>
      <c r="K320" s="15"/>
    </row>
    <row r="321" spans="9:11" ht="14.25" customHeight="1" x14ac:dyDescent="0.3">
      <c r="I321" s="17"/>
      <c r="K321" s="15"/>
    </row>
    <row r="322" spans="9:11" ht="14.25" customHeight="1" x14ac:dyDescent="0.3">
      <c r="I322" s="17"/>
      <c r="K322" s="15"/>
    </row>
    <row r="323" spans="9:11" ht="14.25" customHeight="1" x14ac:dyDescent="0.3">
      <c r="I323" s="17"/>
      <c r="K323" s="15"/>
    </row>
    <row r="324" spans="9:11" ht="14.25" customHeight="1" x14ac:dyDescent="0.3">
      <c r="I324" s="17"/>
      <c r="K324" s="15"/>
    </row>
    <row r="325" spans="9:11" ht="14.25" customHeight="1" x14ac:dyDescent="0.3">
      <c r="I325" s="17"/>
      <c r="K325" s="15"/>
    </row>
    <row r="326" spans="9:11" ht="14.25" customHeight="1" x14ac:dyDescent="0.3">
      <c r="I326" s="17"/>
      <c r="K326" s="15"/>
    </row>
    <row r="327" spans="9:11" ht="14.25" customHeight="1" x14ac:dyDescent="0.3">
      <c r="I327" s="17"/>
      <c r="K327" s="15"/>
    </row>
    <row r="328" spans="9:11" ht="14.25" customHeight="1" x14ac:dyDescent="0.3">
      <c r="I328" s="17"/>
      <c r="K328" s="15"/>
    </row>
    <row r="329" spans="9:11" ht="14.25" customHeight="1" x14ac:dyDescent="0.3">
      <c r="I329" s="17"/>
      <c r="K329" s="15"/>
    </row>
    <row r="330" spans="9:11" ht="14.25" customHeight="1" x14ac:dyDescent="0.3">
      <c r="I330" s="17"/>
      <c r="K330" s="15"/>
    </row>
    <row r="331" spans="9:11" ht="14.25" customHeight="1" x14ac:dyDescent="0.3">
      <c r="I331" s="17"/>
      <c r="K331" s="15"/>
    </row>
    <row r="332" spans="9:11" ht="14.25" customHeight="1" x14ac:dyDescent="0.3">
      <c r="I332" s="17"/>
      <c r="K332" s="15"/>
    </row>
    <row r="333" spans="9:11" ht="14.25" customHeight="1" x14ac:dyDescent="0.3">
      <c r="I333" s="17"/>
      <c r="K333" s="15"/>
    </row>
    <row r="334" spans="9:11" ht="14.25" customHeight="1" x14ac:dyDescent="0.3">
      <c r="I334" s="17"/>
      <c r="K334" s="15"/>
    </row>
    <row r="335" spans="9:11" ht="14.25" customHeight="1" x14ac:dyDescent="0.3">
      <c r="I335" s="17"/>
      <c r="K335" s="15"/>
    </row>
    <row r="336" spans="9:11" ht="14.25" customHeight="1" x14ac:dyDescent="0.3">
      <c r="I336" s="17"/>
      <c r="K336" s="15"/>
    </row>
    <row r="337" spans="9:11" ht="14.25" customHeight="1" x14ac:dyDescent="0.3">
      <c r="I337" s="17"/>
      <c r="K337" s="15"/>
    </row>
    <row r="338" spans="9:11" ht="14.25" customHeight="1" x14ac:dyDescent="0.3">
      <c r="I338" s="17"/>
      <c r="K338" s="15"/>
    </row>
    <row r="339" spans="9:11" ht="14.25" customHeight="1" x14ac:dyDescent="0.3">
      <c r="I339" s="17"/>
      <c r="K339" s="15"/>
    </row>
    <row r="340" spans="9:11" ht="14.25" customHeight="1" x14ac:dyDescent="0.3">
      <c r="I340" s="17"/>
      <c r="K340" s="15"/>
    </row>
    <row r="341" spans="9:11" ht="14.25" customHeight="1" x14ac:dyDescent="0.3">
      <c r="I341" s="17"/>
      <c r="K341" s="15"/>
    </row>
    <row r="342" spans="9:11" ht="14.25" customHeight="1" x14ac:dyDescent="0.3">
      <c r="I342" s="17"/>
      <c r="K342" s="15"/>
    </row>
    <row r="343" spans="9:11" ht="14.25" customHeight="1" x14ac:dyDescent="0.3">
      <c r="I343" s="17"/>
      <c r="K343" s="15"/>
    </row>
    <row r="344" spans="9:11" ht="14.25" customHeight="1" x14ac:dyDescent="0.3">
      <c r="I344" s="17"/>
      <c r="K344" s="15"/>
    </row>
    <row r="345" spans="9:11" ht="14.25" customHeight="1" x14ac:dyDescent="0.3">
      <c r="I345" s="17"/>
      <c r="K345" s="15"/>
    </row>
    <row r="346" spans="9:11" ht="14.25" customHeight="1" x14ac:dyDescent="0.3">
      <c r="I346" s="17"/>
      <c r="K346" s="15"/>
    </row>
    <row r="347" spans="9:11" ht="14.25" customHeight="1" x14ac:dyDescent="0.3">
      <c r="I347" s="17"/>
      <c r="K347" s="15"/>
    </row>
    <row r="348" spans="9:11" ht="14.25" customHeight="1" x14ac:dyDescent="0.3">
      <c r="I348" s="17"/>
      <c r="K348" s="15"/>
    </row>
    <row r="349" spans="9:11" ht="14.25" customHeight="1" x14ac:dyDescent="0.3">
      <c r="I349" s="17"/>
      <c r="K349" s="15"/>
    </row>
    <row r="350" spans="9:11" ht="14.25" customHeight="1" x14ac:dyDescent="0.3">
      <c r="I350" s="17"/>
      <c r="K350" s="15"/>
    </row>
    <row r="351" spans="9:11" ht="14.25" customHeight="1" x14ac:dyDescent="0.3">
      <c r="I351" s="17"/>
      <c r="K351" s="15"/>
    </row>
    <row r="352" spans="9:11" ht="14.25" customHeight="1" x14ac:dyDescent="0.3">
      <c r="I352" s="17"/>
      <c r="K352" s="15"/>
    </row>
    <row r="353" spans="9:11" ht="14.25" customHeight="1" x14ac:dyDescent="0.3">
      <c r="I353" s="17"/>
      <c r="K353" s="15"/>
    </row>
    <row r="354" spans="9:11" ht="14.25" customHeight="1" x14ac:dyDescent="0.3">
      <c r="I354" s="17"/>
      <c r="K354" s="15"/>
    </row>
    <row r="355" spans="9:11" ht="14.25" customHeight="1" x14ac:dyDescent="0.3">
      <c r="I355" s="17"/>
      <c r="K355" s="15"/>
    </row>
    <row r="356" spans="9:11" ht="14.25" customHeight="1" x14ac:dyDescent="0.3">
      <c r="I356" s="17"/>
      <c r="K356" s="15"/>
    </row>
    <row r="357" spans="9:11" ht="14.25" customHeight="1" x14ac:dyDescent="0.3">
      <c r="I357" s="17"/>
      <c r="K357" s="15"/>
    </row>
    <row r="358" spans="9:11" ht="14.25" customHeight="1" x14ac:dyDescent="0.3">
      <c r="I358" s="17"/>
      <c r="K358" s="15"/>
    </row>
    <row r="359" spans="9:11" ht="14.25" customHeight="1" x14ac:dyDescent="0.3">
      <c r="I359" s="17"/>
      <c r="K359" s="15"/>
    </row>
    <row r="360" spans="9:11" ht="14.25" customHeight="1" x14ac:dyDescent="0.3">
      <c r="I360" s="17"/>
      <c r="K360" s="15"/>
    </row>
    <row r="361" spans="9:11" ht="14.25" customHeight="1" x14ac:dyDescent="0.3">
      <c r="I361" s="17"/>
      <c r="K361" s="15"/>
    </row>
    <row r="362" spans="9:11" ht="14.25" customHeight="1" x14ac:dyDescent="0.3">
      <c r="I362" s="17"/>
      <c r="K362" s="15"/>
    </row>
    <row r="363" spans="9:11" ht="14.25" customHeight="1" x14ac:dyDescent="0.3">
      <c r="I363" s="17"/>
      <c r="K363" s="15"/>
    </row>
    <row r="364" spans="9:11" ht="14.25" customHeight="1" x14ac:dyDescent="0.3">
      <c r="I364" s="17"/>
      <c r="K364" s="15"/>
    </row>
    <row r="365" spans="9:11" ht="14.25" customHeight="1" x14ac:dyDescent="0.3">
      <c r="I365" s="17"/>
      <c r="K365" s="15"/>
    </row>
    <row r="366" spans="9:11" ht="14.25" customHeight="1" x14ac:dyDescent="0.3">
      <c r="I366" s="17"/>
      <c r="K366" s="15"/>
    </row>
    <row r="367" spans="9:11" ht="14.25" customHeight="1" x14ac:dyDescent="0.3">
      <c r="I367" s="17"/>
      <c r="K367" s="15"/>
    </row>
    <row r="368" spans="9:11" ht="14.25" customHeight="1" x14ac:dyDescent="0.3">
      <c r="I368" s="17"/>
      <c r="K368" s="15"/>
    </row>
    <row r="369" spans="9:11" ht="14.25" customHeight="1" x14ac:dyDescent="0.3">
      <c r="I369" s="17"/>
      <c r="K369" s="15"/>
    </row>
    <row r="370" spans="9:11" ht="14.25" customHeight="1" x14ac:dyDescent="0.3">
      <c r="I370" s="17"/>
      <c r="K370" s="15"/>
    </row>
    <row r="371" spans="9:11" ht="14.25" customHeight="1" x14ac:dyDescent="0.3">
      <c r="I371" s="17"/>
      <c r="K371" s="15"/>
    </row>
    <row r="372" spans="9:11" ht="14.25" customHeight="1" x14ac:dyDescent="0.3">
      <c r="I372" s="17"/>
      <c r="K372" s="15"/>
    </row>
    <row r="373" spans="9:11" ht="14.25" customHeight="1" x14ac:dyDescent="0.3">
      <c r="I373" s="17"/>
      <c r="K373" s="15"/>
    </row>
    <row r="374" spans="9:11" ht="14.25" customHeight="1" x14ac:dyDescent="0.3">
      <c r="I374" s="17"/>
      <c r="K374" s="15"/>
    </row>
    <row r="375" spans="9:11" ht="14.25" customHeight="1" x14ac:dyDescent="0.3">
      <c r="I375" s="17"/>
      <c r="K375" s="15"/>
    </row>
    <row r="376" spans="9:11" ht="14.25" customHeight="1" x14ac:dyDescent="0.3">
      <c r="I376" s="17"/>
      <c r="K376" s="15"/>
    </row>
    <row r="377" spans="9:11" ht="14.25" customHeight="1" x14ac:dyDescent="0.3">
      <c r="I377" s="17"/>
      <c r="K377" s="15"/>
    </row>
    <row r="378" spans="9:11" ht="14.25" customHeight="1" x14ac:dyDescent="0.3">
      <c r="I378" s="17"/>
      <c r="K378" s="15"/>
    </row>
    <row r="379" spans="9:11" ht="14.25" customHeight="1" x14ac:dyDescent="0.3">
      <c r="I379" s="17"/>
      <c r="K379" s="15"/>
    </row>
    <row r="380" spans="9:11" ht="14.25" customHeight="1" x14ac:dyDescent="0.3">
      <c r="I380" s="17"/>
      <c r="K380" s="15"/>
    </row>
    <row r="381" spans="9:11" ht="14.25" customHeight="1" x14ac:dyDescent="0.3">
      <c r="I381" s="17"/>
      <c r="K381" s="15"/>
    </row>
    <row r="382" spans="9:11" ht="14.25" customHeight="1" x14ac:dyDescent="0.3">
      <c r="I382" s="17"/>
      <c r="K382" s="15"/>
    </row>
    <row r="383" spans="9:11" ht="14.25" customHeight="1" x14ac:dyDescent="0.3">
      <c r="I383" s="17"/>
      <c r="K383" s="15"/>
    </row>
    <row r="384" spans="9:11" ht="14.25" customHeight="1" x14ac:dyDescent="0.3">
      <c r="I384" s="17"/>
      <c r="K384" s="15"/>
    </row>
    <row r="385" spans="9:11" ht="14.25" customHeight="1" x14ac:dyDescent="0.3">
      <c r="I385" s="17"/>
      <c r="K385" s="15"/>
    </row>
    <row r="386" spans="9:11" ht="14.25" customHeight="1" x14ac:dyDescent="0.3">
      <c r="I386" s="17"/>
      <c r="K386" s="15"/>
    </row>
    <row r="387" spans="9:11" ht="14.25" customHeight="1" x14ac:dyDescent="0.3">
      <c r="I387" s="17"/>
      <c r="K387" s="15"/>
    </row>
    <row r="388" spans="9:11" ht="14.25" customHeight="1" x14ac:dyDescent="0.3">
      <c r="I388" s="17"/>
      <c r="K388" s="15"/>
    </row>
    <row r="389" spans="9:11" ht="14.25" customHeight="1" x14ac:dyDescent="0.3">
      <c r="I389" s="17"/>
      <c r="K389" s="15"/>
    </row>
    <row r="390" spans="9:11" ht="14.25" customHeight="1" x14ac:dyDescent="0.3">
      <c r="I390" s="17"/>
      <c r="K390" s="15"/>
    </row>
    <row r="391" spans="9:11" ht="14.25" customHeight="1" x14ac:dyDescent="0.3">
      <c r="I391" s="17"/>
      <c r="K391" s="15"/>
    </row>
    <row r="392" spans="9:11" ht="14.25" customHeight="1" x14ac:dyDescent="0.3">
      <c r="I392" s="17"/>
      <c r="K392" s="15"/>
    </row>
    <row r="393" spans="9:11" ht="14.25" customHeight="1" x14ac:dyDescent="0.3">
      <c r="I393" s="17"/>
      <c r="K393" s="15"/>
    </row>
    <row r="394" spans="9:11" ht="14.25" customHeight="1" x14ac:dyDescent="0.3">
      <c r="I394" s="17"/>
      <c r="K394" s="15"/>
    </row>
    <row r="395" spans="9:11" ht="14.25" customHeight="1" x14ac:dyDescent="0.3">
      <c r="I395" s="17"/>
      <c r="K395" s="15"/>
    </row>
    <row r="396" spans="9:11" ht="14.25" customHeight="1" x14ac:dyDescent="0.3">
      <c r="I396" s="17"/>
      <c r="K396" s="15"/>
    </row>
    <row r="397" spans="9:11" ht="14.25" customHeight="1" x14ac:dyDescent="0.3">
      <c r="I397" s="17"/>
      <c r="K397" s="15"/>
    </row>
    <row r="398" spans="9:11" ht="14.25" customHeight="1" x14ac:dyDescent="0.3">
      <c r="I398" s="17"/>
      <c r="K398" s="15"/>
    </row>
    <row r="399" spans="9:11" ht="14.25" customHeight="1" x14ac:dyDescent="0.3">
      <c r="I399" s="17"/>
      <c r="K399" s="15"/>
    </row>
    <row r="400" spans="9:11" ht="14.25" customHeight="1" x14ac:dyDescent="0.3">
      <c r="I400" s="17"/>
      <c r="K400" s="15"/>
    </row>
    <row r="401" spans="9:11" ht="14.25" customHeight="1" x14ac:dyDescent="0.3">
      <c r="I401" s="17"/>
      <c r="K401" s="15"/>
    </row>
    <row r="402" spans="9:11" ht="14.25" customHeight="1" x14ac:dyDescent="0.3">
      <c r="I402" s="17"/>
      <c r="K402" s="15"/>
    </row>
    <row r="403" spans="9:11" ht="14.25" customHeight="1" x14ac:dyDescent="0.3">
      <c r="I403" s="17"/>
      <c r="K403" s="15"/>
    </row>
    <row r="404" spans="9:11" ht="14.25" customHeight="1" x14ac:dyDescent="0.3">
      <c r="I404" s="17"/>
      <c r="K404" s="15"/>
    </row>
    <row r="405" spans="9:11" ht="14.25" customHeight="1" x14ac:dyDescent="0.3">
      <c r="I405" s="17"/>
      <c r="K405" s="15"/>
    </row>
    <row r="406" spans="9:11" ht="14.25" customHeight="1" x14ac:dyDescent="0.3">
      <c r="I406" s="17"/>
      <c r="K406" s="15"/>
    </row>
    <row r="407" spans="9:11" ht="14.25" customHeight="1" x14ac:dyDescent="0.3">
      <c r="I407" s="17"/>
      <c r="K407" s="15"/>
    </row>
    <row r="408" spans="9:11" ht="14.25" customHeight="1" x14ac:dyDescent="0.3">
      <c r="I408" s="17"/>
      <c r="K408" s="15"/>
    </row>
    <row r="409" spans="9:11" ht="14.25" customHeight="1" x14ac:dyDescent="0.3">
      <c r="I409" s="17"/>
      <c r="K409" s="15"/>
    </row>
    <row r="410" spans="9:11" ht="14.25" customHeight="1" x14ac:dyDescent="0.3">
      <c r="I410" s="17"/>
      <c r="K410" s="15"/>
    </row>
    <row r="411" spans="9:11" ht="14.25" customHeight="1" x14ac:dyDescent="0.3">
      <c r="I411" s="17"/>
      <c r="K411" s="15"/>
    </row>
    <row r="412" spans="9:11" ht="14.25" customHeight="1" x14ac:dyDescent="0.3">
      <c r="I412" s="17"/>
      <c r="K412" s="15"/>
    </row>
    <row r="413" spans="9:11" ht="14.25" customHeight="1" x14ac:dyDescent="0.3">
      <c r="I413" s="17"/>
      <c r="K413" s="15"/>
    </row>
    <row r="414" spans="9:11" ht="14.25" customHeight="1" x14ac:dyDescent="0.3">
      <c r="I414" s="17"/>
      <c r="K414" s="15"/>
    </row>
    <row r="415" spans="9:11" ht="14.25" customHeight="1" x14ac:dyDescent="0.3">
      <c r="I415" s="17"/>
      <c r="K415" s="15"/>
    </row>
    <row r="416" spans="9:11" ht="14.25" customHeight="1" x14ac:dyDescent="0.3">
      <c r="I416" s="17"/>
      <c r="K416" s="15"/>
    </row>
    <row r="417" spans="9:11" ht="14.25" customHeight="1" x14ac:dyDescent="0.3">
      <c r="I417" s="17"/>
      <c r="K417" s="15"/>
    </row>
    <row r="418" spans="9:11" ht="14.25" customHeight="1" x14ac:dyDescent="0.3">
      <c r="I418" s="17"/>
      <c r="K418" s="15"/>
    </row>
    <row r="419" spans="9:11" ht="14.25" customHeight="1" x14ac:dyDescent="0.3">
      <c r="I419" s="17"/>
      <c r="K419" s="15"/>
    </row>
    <row r="420" spans="9:11" ht="14.25" customHeight="1" x14ac:dyDescent="0.3">
      <c r="I420" s="17"/>
      <c r="K420" s="15"/>
    </row>
    <row r="421" spans="9:11" ht="14.25" customHeight="1" x14ac:dyDescent="0.3">
      <c r="I421" s="17"/>
      <c r="K421" s="15"/>
    </row>
    <row r="422" spans="9:11" ht="14.25" customHeight="1" x14ac:dyDescent="0.3">
      <c r="I422" s="17"/>
      <c r="K422" s="15"/>
    </row>
    <row r="423" spans="9:11" ht="14.25" customHeight="1" x14ac:dyDescent="0.3">
      <c r="I423" s="17"/>
      <c r="K423" s="15"/>
    </row>
    <row r="424" spans="9:11" ht="14.25" customHeight="1" x14ac:dyDescent="0.3">
      <c r="I424" s="17"/>
      <c r="K424" s="15"/>
    </row>
    <row r="425" spans="9:11" ht="14.25" customHeight="1" x14ac:dyDescent="0.3">
      <c r="I425" s="17"/>
      <c r="K425" s="15"/>
    </row>
    <row r="426" spans="9:11" ht="14.25" customHeight="1" x14ac:dyDescent="0.3">
      <c r="I426" s="17"/>
      <c r="K426" s="15"/>
    </row>
    <row r="427" spans="9:11" ht="14.25" customHeight="1" x14ac:dyDescent="0.3">
      <c r="I427" s="17"/>
      <c r="K427" s="15"/>
    </row>
    <row r="428" spans="9:11" ht="14.25" customHeight="1" x14ac:dyDescent="0.3">
      <c r="I428" s="17"/>
      <c r="K428" s="15"/>
    </row>
    <row r="429" spans="9:11" ht="14.25" customHeight="1" x14ac:dyDescent="0.3">
      <c r="I429" s="17"/>
      <c r="K429" s="15"/>
    </row>
    <row r="430" spans="9:11" ht="14.25" customHeight="1" x14ac:dyDescent="0.3">
      <c r="I430" s="17"/>
      <c r="K430" s="15"/>
    </row>
    <row r="431" spans="9:11" ht="14.25" customHeight="1" x14ac:dyDescent="0.3">
      <c r="I431" s="17"/>
      <c r="K431" s="15"/>
    </row>
    <row r="432" spans="9:11" ht="14.25" customHeight="1" x14ac:dyDescent="0.3">
      <c r="I432" s="17"/>
      <c r="K432" s="15"/>
    </row>
    <row r="433" spans="9:11" ht="14.25" customHeight="1" x14ac:dyDescent="0.3">
      <c r="I433" s="17"/>
      <c r="K433" s="15"/>
    </row>
    <row r="434" spans="9:11" ht="14.25" customHeight="1" x14ac:dyDescent="0.3">
      <c r="I434" s="17"/>
      <c r="K434" s="15"/>
    </row>
    <row r="435" spans="9:11" ht="14.25" customHeight="1" x14ac:dyDescent="0.3">
      <c r="I435" s="17"/>
      <c r="K435" s="15"/>
    </row>
    <row r="436" spans="9:11" ht="14.25" customHeight="1" x14ac:dyDescent="0.3">
      <c r="I436" s="17"/>
      <c r="K436" s="15"/>
    </row>
    <row r="437" spans="9:11" ht="14.25" customHeight="1" x14ac:dyDescent="0.3">
      <c r="I437" s="17"/>
      <c r="K437" s="15"/>
    </row>
    <row r="438" spans="9:11" ht="14.25" customHeight="1" x14ac:dyDescent="0.3">
      <c r="I438" s="17"/>
      <c r="K438" s="15"/>
    </row>
    <row r="439" spans="9:11" ht="14.25" customHeight="1" x14ac:dyDescent="0.3">
      <c r="I439" s="17"/>
      <c r="K439" s="15"/>
    </row>
    <row r="440" spans="9:11" ht="14.25" customHeight="1" x14ac:dyDescent="0.3">
      <c r="I440" s="17"/>
      <c r="K440" s="15"/>
    </row>
    <row r="441" spans="9:11" ht="14.25" customHeight="1" x14ac:dyDescent="0.3">
      <c r="I441" s="17"/>
      <c r="K441" s="15"/>
    </row>
    <row r="442" spans="9:11" ht="14.25" customHeight="1" x14ac:dyDescent="0.3">
      <c r="I442" s="17"/>
      <c r="K442" s="15"/>
    </row>
    <row r="443" spans="9:11" ht="14.25" customHeight="1" x14ac:dyDescent="0.3">
      <c r="I443" s="17"/>
      <c r="K443" s="15"/>
    </row>
    <row r="444" spans="9:11" ht="14.25" customHeight="1" x14ac:dyDescent="0.3">
      <c r="I444" s="17"/>
      <c r="K444" s="15"/>
    </row>
    <row r="445" spans="9:11" ht="14.25" customHeight="1" x14ac:dyDescent="0.3">
      <c r="I445" s="17"/>
      <c r="K445" s="15"/>
    </row>
    <row r="446" spans="9:11" ht="14.25" customHeight="1" x14ac:dyDescent="0.3">
      <c r="I446" s="17"/>
      <c r="K446" s="15"/>
    </row>
    <row r="447" spans="9:11" ht="14.25" customHeight="1" x14ac:dyDescent="0.3">
      <c r="I447" s="17"/>
      <c r="K447" s="15"/>
    </row>
    <row r="448" spans="9:11" ht="14.25" customHeight="1" x14ac:dyDescent="0.3">
      <c r="I448" s="17"/>
      <c r="K448" s="15"/>
    </row>
    <row r="449" spans="9:11" ht="14.25" customHeight="1" x14ac:dyDescent="0.3">
      <c r="I449" s="17"/>
      <c r="K449" s="15"/>
    </row>
    <row r="450" spans="9:11" ht="14.25" customHeight="1" x14ac:dyDescent="0.3">
      <c r="I450" s="17"/>
      <c r="K450" s="15"/>
    </row>
    <row r="451" spans="9:11" ht="14.25" customHeight="1" x14ac:dyDescent="0.3">
      <c r="I451" s="17"/>
      <c r="K451" s="15"/>
    </row>
    <row r="452" spans="9:11" ht="14.25" customHeight="1" x14ac:dyDescent="0.3">
      <c r="I452" s="17"/>
      <c r="K452" s="15"/>
    </row>
    <row r="453" spans="9:11" ht="14.25" customHeight="1" x14ac:dyDescent="0.3">
      <c r="I453" s="17"/>
      <c r="K453" s="15"/>
    </row>
    <row r="454" spans="9:11" ht="14.25" customHeight="1" x14ac:dyDescent="0.3">
      <c r="I454" s="17"/>
      <c r="K454" s="15"/>
    </row>
    <row r="455" spans="9:11" ht="14.25" customHeight="1" x14ac:dyDescent="0.3">
      <c r="I455" s="17"/>
      <c r="K455" s="15"/>
    </row>
    <row r="456" spans="9:11" ht="14.25" customHeight="1" x14ac:dyDescent="0.3">
      <c r="I456" s="17"/>
      <c r="K456" s="15"/>
    </row>
    <row r="457" spans="9:11" ht="14.25" customHeight="1" x14ac:dyDescent="0.3">
      <c r="I457" s="17"/>
      <c r="K457" s="15"/>
    </row>
    <row r="458" spans="9:11" ht="14.25" customHeight="1" x14ac:dyDescent="0.3">
      <c r="I458" s="17"/>
      <c r="K458" s="15"/>
    </row>
    <row r="459" spans="9:11" ht="14.25" customHeight="1" x14ac:dyDescent="0.3">
      <c r="I459" s="17"/>
      <c r="K459" s="15"/>
    </row>
    <row r="460" spans="9:11" ht="14.25" customHeight="1" x14ac:dyDescent="0.3">
      <c r="I460" s="17"/>
      <c r="K460" s="15"/>
    </row>
    <row r="461" spans="9:11" ht="14.25" customHeight="1" x14ac:dyDescent="0.3">
      <c r="I461" s="17"/>
      <c r="K461" s="15"/>
    </row>
    <row r="462" spans="9:11" ht="14.25" customHeight="1" x14ac:dyDescent="0.3">
      <c r="I462" s="17"/>
      <c r="K462" s="15"/>
    </row>
    <row r="463" spans="9:11" ht="14.25" customHeight="1" x14ac:dyDescent="0.3">
      <c r="I463" s="17"/>
      <c r="K463" s="15"/>
    </row>
    <row r="464" spans="9:11" ht="14.25" customHeight="1" x14ac:dyDescent="0.3">
      <c r="I464" s="17"/>
      <c r="K464" s="15"/>
    </row>
    <row r="465" spans="9:11" ht="14.25" customHeight="1" x14ac:dyDescent="0.3">
      <c r="I465" s="17"/>
      <c r="K465" s="15"/>
    </row>
    <row r="466" spans="9:11" ht="14.25" customHeight="1" x14ac:dyDescent="0.3">
      <c r="I466" s="17"/>
      <c r="K466" s="15"/>
    </row>
    <row r="467" spans="9:11" ht="14.25" customHeight="1" x14ac:dyDescent="0.3">
      <c r="I467" s="17"/>
      <c r="K467" s="15"/>
    </row>
    <row r="468" spans="9:11" ht="14.25" customHeight="1" x14ac:dyDescent="0.3">
      <c r="I468" s="17"/>
      <c r="K468" s="15"/>
    </row>
    <row r="469" spans="9:11" ht="14.25" customHeight="1" x14ac:dyDescent="0.3">
      <c r="I469" s="17"/>
      <c r="K469" s="15"/>
    </row>
    <row r="470" spans="9:11" ht="14.25" customHeight="1" x14ac:dyDescent="0.3">
      <c r="I470" s="17"/>
      <c r="K470" s="15"/>
    </row>
    <row r="471" spans="9:11" ht="14.25" customHeight="1" x14ac:dyDescent="0.3">
      <c r="I471" s="17"/>
      <c r="K471" s="15"/>
    </row>
    <row r="472" spans="9:11" ht="14.25" customHeight="1" x14ac:dyDescent="0.3">
      <c r="I472" s="17"/>
      <c r="K472" s="15"/>
    </row>
    <row r="473" spans="9:11" ht="14.25" customHeight="1" x14ac:dyDescent="0.3">
      <c r="I473" s="17"/>
      <c r="K473" s="15"/>
    </row>
    <row r="474" spans="9:11" ht="14.25" customHeight="1" x14ac:dyDescent="0.3">
      <c r="I474" s="17"/>
      <c r="K474" s="15"/>
    </row>
    <row r="475" spans="9:11" ht="14.25" customHeight="1" x14ac:dyDescent="0.3">
      <c r="I475" s="17"/>
      <c r="K475" s="15"/>
    </row>
    <row r="476" spans="9:11" ht="14.25" customHeight="1" x14ac:dyDescent="0.3">
      <c r="I476" s="17"/>
      <c r="K476" s="15"/>
    </row>
    <row r="477" spans="9:11" ht="14.25" customHeight="1" x14ac:dyDescent="0.3">
      <c r="I477" s="17"/>
      <c r="K477" s="15"/>
    </row>
    <row r="478" spans="9:11" ht="14.25" customHeight="1" x14ac:dyDescent="0.3">
      <c r="I478" s="17"/>
      <c r="K478" s="15"/>
    </row>
    <row r="479" spans="9:11" ht="14.25" customHeight="1" x14ac:dyDescent="0.3">
      <c r="I479" s="17"/>
      <c r="K479" s="15"/>
    </row>
    <row r="480" spans="9:11" ht="14.25" customHeight="1" x14ac:dyDescent="0.3">
      <c r="I480" s="17"/>
      <c r="K480" s="15"/>
    </row>
    <row r="481" spans="9:11" ht="14.25" customHeight="1" x14ac:dyDescent="0.3">
      <c r="I481" s="17"/>
      <c r="K481" s="15"/>
    </row>
    <row r="482" spans="9:11" ht="14.25" customHeight="1" x14ac:dyDescent="0.3">
      <c r="I482" s="17"/>
      <c r="K482" s="15"/>
    </row>
    <row r="483" spans="9:11" ht="14.25" customHeight="1" x14ac:dyDescent="0.3">
      <c r="I483" s="17"/>
      <c r="K483" s="15"/>
    </row>
    <row r="484" spans="9:11" ht="14.25" customHeight="1" x14ac:dyDescent="0.3">
      <c r="I484" s="17"/>
      <c r="K484" s="15"/>
    </row>
    <row r="485" spans="9:11" ht="14.25" customHeight="1" x14ac:dyDescent="0.3">
      <c r="I485" s="17"/>
      <c r="K485" s="15"/>
    </row>
    <row r="486" spans="9:11" ht="14.25" customHeight="1" x14ac:dyDescent="0.3">
      <c r="I486" s="17"/>
      <c r="K486" s="15"/>
    </row>
    <row r="487" spans="9:11" ht="14.25" customHeight="1" x14ac:dyDescent="0.3">
      <c r="I487" s="17"/>
      <c r="K487" s="15"/>
    </row>
    <row r="488" spans="9:11" ht="14.25" customHeight="1" x14ac:dyDescent="0.3">
      <c r="I488" s="17"/>
      <c r="K488" s="15"/>
    </row>
    <row r="489" spans="9:11" ht="14.25" customHeight="1" x14ac:dyDescent="0.3">
      <c r="I489" s="17"/>
      <c r="K489" s="15"/>
    </row>
    <row r="490" spans="9:11" ht="14.25" customHeight="1" x14ac:dyDescent="0.3">
      <c r="I490" s="17"/>
      <c r="K490" s="15"/>
    </row>
    <row r="491" spans="9:11" ht="14.25" customHeight="1" x14ac:dyDescent="0.3">
      <c r="I491" s="17"/>
      <c r="K491" s="15"/>
    </row>
    <row r="492" spans="9:11" ht="14.25" customHeight="1" x14ac:dyDescent="0.3">
      <c r="I492" s="17"/>
      <c r="K492" s="15"/>
    </row>
    <row r="493" spans="9:11" ht="14.25" customHeight="1" x14ac:dyDescent="0.3">
      <c r="I493" s="17"/>
      <c r="K493" s="15"/>
    </row>
    <row r="494" spans="9:11" ht="14.25" customHeight="1" x14ac:dyDescent="0.3">
      <c r="I494" s="17"/>
      <c r="K494" s="15"/>
    </row>
    <row r="495" spans="9:11" ht="14.25" customHeight="1" x14ac:dyDescent="0.3">
      <c r="I495" s="17"/>
      <c r="K495" s="15"/>
    </row>
    <row r="496" spans="9:11" ht="14.25" customHeight="1" x14ac:dyDescent="0.3">
      <c r="I496" s="17"/>
      <c r="K496" s="15"/>
    </row>
    <row r="497" spans="9:11" ht="14.25" customHeight="1" x14ac:dyDescent="0.3">
      <c r="I497" s="17"/>
      <c r="K497" s="15"/>
    </row>
    <row r="498" spans="9:11" ht="14.25" customHeight="1" x14ac:dyDescent="0.3">
      <c r="I498" s="17"/>
      <c r="K498" s="15"/>
    </row>
    <row r="499" spans="9:11" ht="14.25" customHeight="1" x14ac:dyDescent="0.3">
      <c r="I499" s="17"/>
      <c r="K499" s="15"/>
    </row>
    <row r="500" spans="9:11" ht="14.25" customHeight="1" x14ac:dyDescent="0.3">
      <c r="I500" s="17"/>
      <c r="K500" s="15"/>
    </row>
    <row r="501" spans="9:11" ht="14.25" customHeight="1" x14ac:dyDescent="0.3">
      <c r="I501" s="17"/>
      <c r="K501" s="15"/>
    </row>
    <row r="502" spans="9:11" ht="14.25" customHeight="1" x14ac:dyDescent="0.3">
      <c r="I502" s="17"/>
      <c r="K502" s="15"/>
    </row>
    <row r="503" spans="9:11" ht="14.25" customHeight="1" x14ac:dyDescent="0.3">
      <c r="I503" s="17"/>
      <c r="K503" s="15"/>
    </row>
    <row r="504" spans="9:11" ht="14.25" customHeight="1" x14ac:dyDescent="0.3">
      <c r="I504" s="17"/>
      <c r="K504" s="15"/>
    </row>
    <row r="505" spans="9:11" ht="14.25" customHeight="1" x14ac:dyDescent="0.3">
      <c r="I505" s="17"/>
      <c r="K505" s="15"/>
    </row>
    <row r="506" spans="9:11" ht="14.25" customHeight="1" x14ac:dyDescent="0.3">
      <c r="I506" s="17"/>
      <c r="K506" s="15"/>
    </row>
    <row r="507" spans="9:11" ht="14.25" customHeight="1" x14ac:dyDescent="0.3">
      <c r="I507" s="17"/>
      <c r="K507" s="15"/>
    </row>
    <row r="508" spans="9:11" ht="14.25" customHeight="1" x14ac:dyDescent="0.3">
      <c r="I508" s="17"/>
      <c r="K508" s="15"/>
    </row>
    <row r="509" spans="9:11" ht="14.25" customHeight="1" x14ac:dyDescent="0.3">
      <c r="I509" s="17"/>
      <c r="K509" s="15"/>
    </row>
    <row r="510" spans="9:11" ht="14.25" customHeight="1" x14ac:dyDescent="0.3">
      <c r="I510" s="17"/>
      <c r="K510" s="15"/>
    </row>
    <row r="511" spans="9:11" ht="14.25" customHeight="1" x14ac:dyDescent="0.3">
      <c r="I511" s="17"/>
      <c r="K511" s="15"/>
    </row>
    <row r="512" spans="9:11" ht="14.25" customHeight="1" x14ac:dyDescent="0.3">
      <c r="I512" s="17"/>
      <c r="K512" s="15"/>
    </row>
    <row r="513" spans="9:11" ht="14.25" customHeight="1" x14ac:dyDescent="0.3">
      <c r="I513" s="17"/>
      <c r="K513" s="15"/>
    </row>
    <row r="514" spans="9:11" ht="14.25" customHeight="1" x14ac:dyDescent="0.3">
      <c r="I514" s="17"/>
      <c r="K514" s="15"/>
    </row>
    <row r="515" spans="9:11" ht="14.25" customHeight="1" x14ac:dyDescent="0.3">
      <c r="I515" s="17"/>
      <c r="K515" s="15"/>
    </row>
    <row r="516" spans="9:11" ht="14.25" customHeight="1" x14ac:dyDescent="0.3">
      <c r="I516" s="17"/>
      <c r="K516" s="15"/>
    </row>
    <row r="517" spans="9:11" ht="14.25" customHeight="1" x14ac:dyDescent="0.3">
      <c r="I517" s="17"/>
      <c r="K517" s="15"/>
    </row>
    <row r="518" spans="9:11" ht="14.25" customHeight="1" x14ac:dyDescent="0.3">
      <c r="I518" s="17"/>
      <c r="K518" s="15"/>
    </row>
    <row r="519" spans="9:11" ht="14.25" customHeight="1" x14ac:dyDescent="0.3">
      <c r="I519" s="17"/>
      <c r="K519" s="15"/>
    </row>
    <row r="520" spans="9:11" ht="14.25" customHeight="1" x14ac:dyDescent="0.3">
      <c r="I520" s="17"/>
      <c r="K520" s="15"/>
    </row>
    <row r="521" spans="9:11" ht="14.25" customHeight="1" x14ac:dyDescent="0.3">
      <c r="I521" s="17"/>
      <c r="K521" s="15"/>
    </row>
    <row r="522" spans="9:11" ht="14.25" customHeight="1" x14ac:dyDescent="0.3">
      <c r="I522" s="17"/>
      <c r="K522" s="15"/>
    </row>
    <row r="523" spans="9:11" ht="14.25" customHeight="1" x14ac:dyDescent="0.3">
      <c r="I523" s="17"/>
      <c r="K523" s="15"/>
    </row>
    <row r="524" spans="9:11" ht="14.25" customHeight="1" x14ac:dyDescent="0.3">
      <c r="I524" s="17"/>
      <c r="K524" s="15"/>
    </row>
    <row r="525" spans="9:11" ht="14.25" customHeight="1" x14ac:dyDescent="0.3">
      <c r="I525" s="17"/>
      <c r="K525" s="15"/>
    </row>
    <row r="526" spans="9:11" ht="14.25" customHeight="1" x14ac:dyDescent="0.3">
      <c r="I526" s="17"/>
      <c r="K526" s="15"/>
    </row>
    <row r="527" spans="9:11" ht="14.25" customHeight="1" x14ac:dyDescent="0.3">
      <c r="I527" s="17"/>
      <c r="K527" s="15"/>
    </row>
    <row r="528" spans="9:11" ht="14.25" customHeight="1" x14ac:dyDescent="0.3">
      <c r="I528" s="17"/>
      <c r="K528" s="15"/>
    </row>
    <row r="529" spans="9:11" ht="14.25" customHeight="1" x14ac:dyDescent="0.3">
      <c r="I529" s="17"/>
      <c r="K529" s="15"/>
    </row>
    <row r="530" spans="9:11" ht="14.25" customHeight="1" x14ac:dyDescent="0.3">
      <c r="I530" s="17"/>
      <c r="K530" s="15"/>
    </row>
    <row r="531" spans="9:11" ht="14.25" customHeight="1" x14ac:dyDescent="0.3">
      <c r="I531" s="17"/>
      <c r="K531" s="15"/>
    </row>
    <row r="532" spans="9:11" ht="14.25" customHeight="1" x14ac:dyDescent="0.3">
      <c r="I532" s="17"/>
      <c r="K532" s="15"/>
    </row>
    <row r="533" spans="9:11" ht="14.25" customHeight="1" x14ac:dyDescent="0.3">
      <c r="I533" s="17"/>
      <c r="K533" s="15"/>
    </row>
    <row r="534" spans="9:11" ht="14.25" customHeight="1" x14ac:dyDescent="0.3">
      <c r="I534" s="17"/>
      <c r="K534" s="15"/>
    </row>
    <row r="535" spans="9:11" ht="14.25" customHeight="1" x14ac:dyDescent="0.3">
      <c r="I535" s="17"/>
      <c r="K535" s="15"/>
    </row>
    <row r="536" spans="9:11" ht="14.25" customHeight="1" x14ac:dyDescent="0.3">
      <c r="I536" s="17"/>
      <c r="K536" s="15"/>
    </row>
    <row r="537" spans="9:11" ht="14.25" customHeight="1" x14ac:dyDescent="0.3">
      <c r="I537" s="17"/>
      <c r="K537" s="15"/>
    </row>
    <row r="538" spans="9:11" ht="14.25" customHeight="1" x14ac:dyDescent="0.3">
      <c r="I538" s="17"/>
      <c r="K538" s="15"/>
    </row>
    <row r="539" spans="9:11" ht="14.25" customHeight="1" x14ac:dyDescent="0.3">
      <c r="I539" s="17"/>
      <c r="K539" s="15"/>
    </row>
    <row r="540" spans="9:11" ht="14.25" customHeight="1" x14ac:dyDescent="0.3">
      <c r="I540" s="17"/>
      <c r="K540" s="15"/>
    </row>
    <row r="541" spans="9:11" ht="14.25" customHeight="1" x14ac:dyDescent="0.3">
      <c r="I541" s="17"/>
      <c r="K541" s="15"/>
    </row>
    <row r="542" spans="9:11" ht="14.25" customHeight="1" x14ac:dyDescent="0.3">
      <c r="I542" s="17"/>
      <c r="K542" s="15"/>
    </row>
    <row r="543" spans="9:11" ht="14.25" customHeight="1" x14ac:dyDescent="0.3">
      <c r="I543" s="17"/>
      <c r="K543" s="15"/>
    </row>
    <row r="544" spans="9:11" ht="14.25" customHeight="1" x14ac:dyDescent="0.3">
      <c r="I544" s="17"/>
      <c r="K544" s="15"/>
    </row>
    <row r="545" spans="9:11" ht="14.25" customHeight="1" x14ac:dyDescent="0.3">
      <c r="I545" s="17"/>
      <c r="K545" s="15"/>
    </row>
    <row r="546" spans="9:11" ht="14.25" customHeight="1" x14ac:dyDescent="0.3">
      <c r="I546" s="17"/>
      <c r="K546" s="15"/>
    </row>
    <row r="547" spans="9:11" ht="14.25" customHeight="1" x14ac:dyDescent="0.3">
      <c r="I547" s="17"/>
      <c r="K547" s="15"/>
    </row>
    <row r="548" spans="9:11" ht="14.25" customHeight="1" x14ac:dyDescent="0.3">
      <c r="I548" s="17"/>
      <c r="K548" s="15"/>
    </row>
    <row r="549" spans="9:11" ht="14.25" customHeight="1" x14ac:dyDescent="0.3">
      <c r="I549" s="17"/>
      <c r="K549" s="15"/>
    </row>
    <row r="550" spans="9:11" ht="14.25" customHeight="1" x14ac:dyDescent="0.3">
      <c r="I550" s="17"/>
      <c r="K550" s="15"/>
    </row>
    <row r="551" spans="9:11" ht="14.25" customHeight="1" x14ac:dyDescent="0.3">
      <c r="I551" s="17"/>
      <c r="K551" s="15"/>
    </row>
    <row r="552" spans="9:11" ht="14.25" customHeight="1" x14ac:dyDescent="0.3">
      <c r="I552" s="17"/>
      <c r="K552" s="15"/>
    </row>
    <row r="553" spans="9:11" ht="14.25" customHeight="1" x14ac:dyDescent="0.3">
      <c r="I553" s="17"/>
      <c r="K553" s="15"/>
    </row>
    <row r="554" spans="9:11" ht="14.25" customHeight="1" x14ac:dyDescent="0.3">
      <c r="I554" s="17"/>
      <c r="K554" s="15"/>
    </row>
    <row r="555" spans="9:11" ht="14.25" customHeight="1" x14ac:dyDescent="0.3">
      <c r="I555" s="17"/>
      <c r="K555" s="15"/>
    </row>
    <row r="556" spans="9:11" ht="14.25" customHeight="1" x14ac:dyDescent="0.3">
      <c r="I556" s="17"/>
      <c r="K556" s="15"/>
    </row>
    <row r="557" spans="9:11" ht="14.25" customHeight="1" x14ac:dyDescent="0.3">
      <c r="I557" s="17"/>
      <c r="K557" s="15"/>
    </row>
    <row r="558" spans="9:11" ht="14.25" customHeight="1" x14ac:dyDescent="0.3">
      <c r="I558" s="17"/>
      <c r="K558" s="15"/>
    </row>
    <row r="559" spans="9:11" ht="14.25" customHeight="1" x14ac:dyDescent="0.3">
      <c r="I559" s="17"/>
      <c r="K559" s="15"/>
    </row>
    <row r="560" spans="9:11" ht="14.25" customHeight="1" x14ac:dyDescent="0.3">
      <c r="I560" s="17"/>
      <c r="K560" s="15"/>
    </row>
    <row r="561" spans="9:11" ht="14.25" customHeight="1" x14ac:dyDescent="0.3">
      <c r="I561" s="17"/>
      <c r="K561" s="15"/>
    </row>
    <row r="562" spans="9:11" ht="14.25" customHeight="1" x14ac:dyDescent="0.3">
      <c r="I562" s="17"/>
      <c r="K562" s="15"/>
    </row>
    <row r="563" spans="9:11" ht="14.25" customHeight="1" x14ac:dyDescent="0.3">
      <c r="I563" s="17"/>
      <c r="K563" s="15"/>
    </row>
    <row r="564" spans="9:11" ht="14.25" customHeight="1" x14ac:dyDescent="0.3">
      <c r="I564" s="17"/>
      <c r="K564" s="15"/>
    </row>
    <row r="565" spans="9:11" ht="14.25" customHeight="1" x14ac:dyDescent="0.3">
      <c r="I565" s="17"/>
      <c r="K565" s="15"/>
    </row>
    <row r="566" spans="9:11" ht="14.25" customHeight="1" x14ac:dyDescent="0.3">
      <c r="I566" s="17"/>
      <c r="K566" s="15"/>
    </row>
    <row r="567" spans="9:11" ht="14.25" customHeight="1" x14ac:dyDescent="0.3">
      <c r="I567" s="17"/>
      <c r="K567" s="15"/>
    </row>
    <row r="568" spans="9:11" ht="14.25" customHeight="1" x14ac:dyDescent="0.3">
      <c r="I568" s="17"/>
      <c r="K568" s="15"/>
    </row>
    <row r="569" spans="9:11" ht="14.25" customHeight="1" x14ac:dyDescent="0.3">
      <c r="I569" s="17"/>
      <c r="K569" s="15"/>
    </row>
    <row r="570" spans="9:11" ht="14.25" customHeight="1" x14ac:dyDescent="0.3">
      <c r="I570" s="17"/>
      <c r="K570" s="15"/>
    </row>
    <row r="571" spans="9:11" ht="14.25" customHeight="1" x14ac:dyDescent="0.3">
      <c r="I571" s="17"/>
      <c r="K571" s="15"/>
    </row>
    <row r="572" spans="9:11" ht="14.25" customHeight="1" x14ac:dyDescent="0.3">
      <c r="I572" s="17"/>
      <c r="K572" s="15"/>
    </row>
    <row r="573" spans="9:11" ht="14.25" customHeight="1" x14ac:dyDescent="0.3">
      <c r="I573" s="17"/>
      <c r="K573" s="15"/>
    </row>
    <row r="574" spans="9:11" ht="14.25" customHeight="1" x14ac:dyDescent="0.3">
      <c r="I574" s="17"/>
      <c r="K574" s="15"/>
    </row>
    <row r="575" spans="9:11" ht="14.25" customHeight="1" x14ac:dyDescent="0.3">
      <c r="I575" s="17"/>
      <c r="K575" s="15"/>
    </row>
    <row r="576" spans="9:11" ht="14.25" customHeight="1" x14ac:dyDescent="0.3">
      <c r="I576" s="17"/>
      <c r="K576" s="15"/>
    </row>
    <row r="577" spans="9:11" ht="14.25" customHeight="1" x14ac:dyDescent="0.3">
      <c r="I577" s="17"/>
      <c r="K577" s="15"/>
    </row>
    <row r="578" spans="9:11" ht="14.25" customHeight="1" x14ac:dyDescent="0.3">
      <c r="I578" s="17"/>
      <c r="K578" s="15"/>
    </row>
    <row r="579" spans="9:11" ht="14.25" customHeight="1" x14ac:dyDescent="0.3">
      <c r="I579" s="17"/>
      <c r="K579" s="15"/>
    </row>
    <row r="580" spans="9:11" ht="14.25" customHeight="1" x14ac:dyDescent="0.3">
      <c r="I580" s="17"/>
      <c r="K580" s="15"/>
    </row>
    <row r="581" spans="9:11" ht="14.25" customHeight="1" x14ac:dyDescent="0.3">
      <c r="I581" s="17"/>
      <c r="K581" s="15"/>
    </row>
    <row r="582" spans="9:11" ht="14.25" customHeight="1" x14ac:dyDescent="0.3">
      <c r="I582" s="17"/>
      <c r="K582" s="15"/>
    </row>
    <row r="583" spans="9:11" ht="14.25" customHeight="1" x14ac:dyDescent="0.3">
      <c r="I583" s="17"/>
      <c r="K583" s="15"/>
    </row>
    <row r="584" spans="9:11" ht="14.25" customHeight="1" x14ac:dyDescent="0.3">
      <c r="I584" s="17"/>
      <c r="K584" s="15"/>
    </row>
    <row r="585" spans="9:11" ht="14.25" customHeight="1" x14ac:dyDescent="0.3">
      <c r="I585" s="17"/>
      <c r="K585" s="15"/>
    </row>
    <row r="586" spans="9:11" ht="14.25" customHeight="1" x14ac:dyDescent="0.3">
      <c r="I586" s="17"/>
      <c r="K586" s="15"/>
    </row>
    <row r="587" spans="9:11" ht="14.25" customHeight="1" x14ac:dyDescent="0.3">
      <c r="I587" s="17"/>
      <c r="K587" s="15"/>
    </row>
    <row r="588" spans="9:11" ht="14.25" customHeight="1" x14ac:dyDescent="0.3">
      <c r="I588" s="17"/>
      <c r="K588" s="15"/>
    </row>
    <row r="589" spans="9:11" ht="14.25" customHeight="1" x14ac:dyDescent="0.3">
      <c r="I589" s="17"/>
      <c r="K589" s="15"/>
    </row>
    <row r="590" spans="9:11" ht="14.25" customHeight="1" x14ac:dyDescent="0.3">
      <c r="I590" s="17"/>
      <c r="K590" s="15"/>
    </row>
    <row r="591" spans="9:11" ht="14.25" customHeight="1" x14ac:dyDescent="0.3">
      <c r="I591" s="17"/>
      <c r="K591" s="15"/>
    </row>
    <row r="592" spans="9:11" ht="14.25" customHeight="1" x14ac:dyDescent="0.3">
      <c r="I592" s="17"/>
      <c r="K592" s="15"/>
    </row>
    <row r="593" spans="9:11" ht="14.25" customHeight="1" x14ac:dyDescent="0.3">
      <c r="I593" s="17"/>
      <c r="K593" s="15"/>
    </row>
    <row r="594" spans="9:11" ht="14.25" customHeight="1" x14ac:dyDescent="0.3">
      <c r="I594" s="17"/>
      <c r="K594" s="15"/>
    </row>
    <row r="595" spans="9:11" ht="14.25" customHeight="1" x14ac:dyDescent="0.3">
      <c r="I595" s="17"/>
      <c r="K595" s="15"/>
    </row>
    <row r="596" spans="9:11" ht="14.25" customHeight="1" x14ac:dyDescent="0.3">
      <c r="I596" s="17"/>
      <c r="K596" s="15"/>
    </row>
    <row r="597" spans="9:11" ht="14.25" customHeight="1" x14ac:dyDescent="0.3">
      <c r="I597" s="17"/>
      <c r="K597" s="15"/>
    </row>
    <row r="598" spans="9:11" ht="14.25" customHeight="1" x14ac:dyDescent="0.3">
      <c r="I598" s="17"/>
      <c r="K598" s="15"/>
    </row>
    <row r="599" spans="9:11" ht="14.25" customHeight="1" x14ac:dyDescent="0.3">
      <c r="I599" s="17"/>
      <c r="K599" s="15"/>
    </row>
    <row r="600" spans="9:11" ht="14.25" customHeight="1" x14ac:dyDescent="0.3">
      <c r="I600" s="17"/>
      <c r="K600" s="15"/>
    </row>
    <row r="601" spans="9:11" ht="14.25" customHeight="1" x14ac:dyDescent="0.3">
      <c r="I601" s="17"/>
      <c r="K601" s="15"/>
    </row>
    <row r="602" spans="9:11" ht="14.25" customHeight="1" x14ac:dyDescent="0.3">
      <c r="I602" s="17"/>
      <c r="K602" s="15"/>
    </row>
    <row r="603" spans="9:11" ht="14.25" customHeight="1" x14ac:dyDescent="0.3">
      <c r="I603" s="17"/>
      <c r="K603" s="15"/>
    </row>
    <row r="604" spans="9:11" ht="14.25" customHeight="1" x14ac:dyDescent="0.3">
      <c r="I604" s="17"/>
      <c r="K604" s="15"/>
    </row>
    <row r="605" spans="9:11" ht="14.25" customHeight="1" x14ac:dyDescent="0.3">
      <c r="I605" s="17"/>
      <c r="K605" s="15"/>
    </row>
    <row r="606" spans="9:11" ht="14.25" customHeight="1" x14ac:dyDescent="0.3">
      <c r="I606" s="17"/>
      <c r="K606" s="15"/>
    </row>
    <row r="607" spans="9:11" ht="14.25" customHeight="1" x14ac:dyDescent="0.3">
      <c r="I607" s="17"/>
      <c r="K607" s="15"/>
    </row>
    <row r="608" spans="9:11" ht="14.25" customHeight="1" x14ac:dyDescent="0.3">
      <c r="I608" s="17"/>
      <c r="K608" s="15"/>
    </row>
    <row r="609" spans="9:11" ht="14.25" customHeight="1" x14ac:dyDescent="0.3">
      <c r="I609" s="17"/>
      <c r="K609" s="15"/>
    </row>
    <row r="610" spans="9:11" ht="14.25" customHeight="1" x14ac:dyDescent="0.3">
      <c r="I610" s="17"/>
      <c r="K610" s="15"/>
    </row>
    <row r="611" spans="9:11" ht="14.25" customHeight="1" x14ac:dyDescent="0.3">
      <c r="I611" s="17"/>
      <c r="K611" s="15"/>
    </row>
    <row r="612" spans="9:11" ht="14.25" customHeight="1" x14ac:dyDescent="0.3">
      <c r="I612" s="17"/>
      <c r="K612" s="15"/>
    </row>
    <row r="613" spans="9:11" ht="14.25" customHeight="1" x14ac:dyDescent="0.3">
      <c r="I613" s="17"/>
      <c r="K613" s="15"/>
    </row>
    <row r="614" spans="9:11" ht="14.25" customHeight="1" x14ac:dyDescent="0.3">
      <c r="I614" s="17"/>
      <c r="K614" s="15"/>
    </row>
    <row r="615" spans="9:11" ht="14.25" customHeight="1" x14ac:dyDescent="0.3">
      <c r="I615" s="17"/>
      <c r="K615" s="15"/>
    </row>
    <row r="616" spans="9:11" ht="14.25" customHeight="1" x14ac:dyDescent="0.3">
      <c r="I616" s="17"/>
      <c r="K616" s="15"/>
    </row>
    <row r="617" spans="9:11" ht="14.25" customHeight="1" x14ac:dyDescent="0.3">
      <c r="I617" s="17"/>
      <c r="K617" s="15"/>
    </row>
    <row r="618" spans="9:11" ht="14.25" customHeight="1" x14ac:dyDescent="0.3">
      <c r="I618" s="17"/>
      <c r="K618" s="15"/>
    </row>
    <row r="619" spans="9:11" ht="14.25" customHeight="1" x14ac:dyDescent="0.3">
      <c r="I619" s="17"/>
      <c r="K619" s="15"/>
    </row>
    <row r="620" spans="9:11" ht="14.25" customHeight="1" x14ac:dyDescent="0.3">
      <c r="I620" s="17"/>
      <c r="K620" s="15"/>
    </row>
    <row r="621" spans="9:11" ht="14.25" customHeight="1" x14ac:dyDescent="0.3">
      <c r="I621" s="17"/>
      <c r="K621" s="15"/>
    </row>
    <row r="622" spans="9:11" ht="14.25" customHeight="1" x14ac:dyDescent="0.3">
      <c r="I622" s="17"/>
      <c r="K622" s="15"/>
    </row>
    <row r="623" spans="9:11" ht="14.25" customHeight="1" x14ac:dyDescent="0.3">
      <c r="I623" s="17"/>
      <c r="K623" s="15"/>
    </row>
    <row r="624" spans="9:11" ht="14.25" customHeight="1" x14ac:dyDescent="0.3">
      <c r="I624" s="17"/>
      <c r="K624" s="15"/>
    </row>
    <row r="625" spans="9:11" ht="14.25" customHeight="1" x14ac:dyDescent="0.3">
      <c r="I625" s="17"/>
      <c r="K625" s="15"/>
    </row>
    <row r="626" spans="9:11" ht="14.25" customHeight="1" x14ac:dyDescent="0.3">
      <c r="I626" s="17"/>
      <c r="K626" s="15"/>
    </row>
    <row r="627" spans="9:11" ht="14.25" customHeight="1" x14ac:dyDescent="0.3">
      <c r="I627" s="17"/>
      <c r="K627" s="15"/>
    </row>
    <row r="628" spans="9:11" ht="14.25" customHeight="1" x14ac:dyDescent="0.3">
      <c r="I628" s="17"/>
      <c r="K628" s="15"/>
    </row>
    <row r="629" spans="9:11" ht="14.25" customHeight="1" x14ac:dyDescent="0.3">
      <c r="I629" s="17"/>
      <c r="K629" s="15"/>
    </row>
    <row r="630" spans="9:11" ht="14.25" customHeight="1" x14ac:dyDescent="0.3">
      <c r="I630" s="17"/>
      <c r="K630" s="15"/>
    </row>
    <row r="631" spans="9:11" ht="14.25" customHeight="1" x14ac:dyDescent="0.3">
      <c r="I631" s="17"/>
      <c r="K631" s="15"/>
    </row>
    <row r="632" spans="9:11" ht="14.25" customHeight="1" x14ac:dyDescent="0.3">
      <c r="I632" s="17"/>
      <c r="K632" s="15"/>
    </row>
    <row r="633" spans="9:11" ht="14.25" customHeight="1" x14ac:dyDescent="0.3">
      <c r="I633" s="17"/>
      <c r="K633" s="15"/>
    </row>
    <row r="634" spans="9:11" ht="14.25" customHeight="1" x14ac:dyDescent="0.3">
      <c r="I634" s="17"/>
      <c r="K634" s="15"/>
    </row>
    <row r="635" spans="9:11" ht="14.25" customHeight="1" x14ac:dyDescent="0.3">
      <c r="I635" s="17"/>
      <c r="K635" s="15"/>
    </row>
    <row r="636" spans="9:11" ht="14.25" customHeight="1" x14ac:dyDescent="0.3">
      <c r="I636" s="17"/>
      <c r="K636" s="15"/>
    </row>
    <row r="637" spans="9:11" ht="14.25" customHeight="1" x14ac:dyDescent="0.3">
      <c r="I637" s="17"/>
      <c r="K637" s="15"/>
    </row>
    <row r="638" spans="9:11" ht="14.25" customHeight="1" x14ac:dyDescent="0.3">
      <c r="I638" s="17"/>
      <c r="K638" s="15"/>
    </row>
    <row r="639" spans="9:11" ht="14.25" customHeight="1" x14ac:dyDescent="0.3">
      <c r="I639" s="17"/>
      <c r="K639" s="15"/>
    </row>
    <row r="640" spans="9:11" ht="14.25" customHeight="1" x14ac:dyDescent="0.3">
      <c r="I640" s="17"/>
      <c r="K640" s="15"/>
    </row>
    <row r="641" spans="9:11" ht="14.25" customHeight="1" x14ac:dyDescent="0.3">
      <c r="I641" s="17"/>
      <c r="K641" s="15"/>
    </row>
    <row r="642" spans="9:11" ht="14.25" customHeight="1" x14ac:dyDescent="0.3">
      <c r="I642" s="17"/>
      <c r="K642" s="15"/>
    </row>
    <row r="643" spans="9:11" ht="14.25" customHeight="1" x14ac:dyDescent="0.3">
      <c r="I643" s="17"/>
      <c r="K643" s="15"/>
    </row>
    <row r="644" spans="9:11" ht="14.25" customHeight="1" x14ac:dyDescent="0.3">
      <c r="I644" s="17"/>
      <c r="K644" s="15"/>
    </row>
    <row r="645" spans="9:11" ht="14.25" customHeight="1" x14ac:dyDescent="0.3">
      <c r="I645" s="17"/>
      <c r="K645" s="15"/>
    </row>
    <row r="646" spans="9:11" ht="14.25" customHeight="1" x14ac:dyDescent="0.3">
      <c r="I646" s="17"/>
      <c r="K646" s="15"/>
    </row>
    <row r="647" spans="9:11" ht="14.25" customHeight="1" x14ac:dyDescent="0.3">
      <c r="I647" s="17"/>
      <c r="K647" s="15"/>
    </row>
    <row r="648" spans="9:11" ht="14.25" customHeight="1" x14ac:dyDescent="0.3">
      <c r="I648" s="17"/>
      <c r="K648" s="15"/>
    </row>
    <row r="649" spans="9:11" ht="14.25" customHeight="1" x14ac:dyDescent="0.3">
      <c r="I649" s="17"/>
      <c r="K649" s="15"/>
    </row>
    <row r="650" spans="9:11" ht="14.25" customHeight="1" x14ac:dyDescent="0.3">
      <c r="I650" s="17"/>
      <c r="K650" s="15"/>
    </row>
    <row r="651" spans="9:11" ht="14.25" customHeight="1" x14ac:dyDescent="0.3">
      <c r="I651" s="17"/>
      <c r="K651" s="15"/>
    </row>
    <row r="652" spans="9:11" ht="14.25" customHeight="1" x14ac:dyDescent="0.3">
      <c r="I652" s="17"/>
      <c r="K652" s="15"/>
    </row>
    <row r="653" spans="9:11" ht="14.25" customHeight="1" x14ac:dyDescent="0.3">
      <c r="I653" s="17"/>
      <c r="K653" s="15"/>
    </row>
    <row r="654" spans="9:11" ht="14.25" customHeight="1" x14ac:dyDescent="0.3">
      <c r="I654" s="17"/>
      <c r="K654" s="15"/>
    </row>
    <row r="655" spans="9:11" ht="14.25" customHeight="1" x14ac:dyDescent="0.3">
      <c r="I655" s="17"/>
      <c r="K655" s="15"/>
    </row>
    <row r="656" spans="9:11" ht="14.25" customHeight="1" x14ac:dyDescent="0.3">
      <c r="I656" s="17"/>
      <c r="K656" s="15"/>
    </row>
    <row r="657" spans="9:11" ht="14.25" customHeight="1" x14ac:dyDescent="0.3">
      <c r="I657" s="17"/>
      <c r="K657" s="15"/>
    </row>
    <row r="658" spans="9:11" ht="14.25" customHeight="1" x14ac:dyDescent="0.3">
      <c r="I658" s="17"/>
      <c r="K658" s="15"/>
    </row>
    <row r="659" spans="9:11" ht="14.25" customHeight="1" x14ac:dyDescent="0.3">
      <c r="I659" s="17"/>
      <c r="K659" s="15"/>
    </row>
    <row r="660" spans="9:11" ht="14.25" customHeight="1" x14ac:dyDescent="0.3">
      <c r="I660" s="17"/>
      <c r="K660" s="15"/>
    </row>
    <row r="661" spans="9:11" ht="14.25" customHeight="1" x14ac:dyDescent="0.3">
      <c r="I661" s="17"/>
      <c r="K661" s="15"/>
    </row>
    <row r="662" spans="9:11" ht="14.25" customHeight="1" x14ac:dyDescent="0.3">
      <c r="I662" s="17"/>
      <c r="K662" s="15"/>
    </row>
    <row r="663" spans="9:11" ht="14.25" customHeight="1" x14ac:dyDescent="0.3">
      <c r="I663" s="17"/>
      <c r="K663" s="15"/>
    </row>
    <row r="664" spans="9:11" ht="14.25" customHeight="1" x14ac:dyDescent="0.3">
      <c r="I664" s="17"/>
      <c r="K664" s="15"/>
    </row>
    <row r="665" spans="9:11" ht="14.25" customHeight="1" x14ac:dyDescent="0.3">
      <c r="I665" s="17"/>
      <c r="K665" s="15"/>
    </row>
    <row r="666" spans="9:11" ht="14.25" customHeight="1" x14ac:dyDescent="0.3">
      <c r="I666" s="17"/>
      <c r="K666" s="15"/>
    </row>
    <row r="667" spans="9:11" ht="14.25" customHeight="1" x14ac:dyDescent="0.3">
      <c r="I667" s="17"/>
      <c r="K667" s="15"/>
    </row>
    <row r="668" spans="9:11" ht="14.25" customHeight="1" x14ac:dyDescent="0.3">
      <c r="I668" s="17"/>
      <c r="K668" s="15"/>
    </row>
    <row r="669" spans="9:11" ht="14.25" customHeight="1" x14ac:dyDescent="0.3">
      <c r="I669" s="17"/>
      <c r="K669" s="15"/>
    </row>
    <row r="670" spans="9:11" ht="14.25" customHeight="1" x14ac:dyDescent="0.3">
      <c r="I670" s="17"/>
      <c r="K670" s="15"/>
    </row>
    <row r="671" spans="9:11" ht="14.25" customHeight="1" x14ac:dyDescent="0.3">
      <c r="I671" s="17"/>
      <c r="K671" s="15"/>
    </row>
    <row r="672" spans="9:11" ht="14.25" customHeight="1" x14ac:dyDescent="0.3">
      <c r="I672" s="17"/>
      <c r="K672" s="15"/>
    </row>
    <row r="673" spans="9:11" ht="14.25" customHeight="1" x14ac:dyDescent="0.3">
      <c r="I673" s="17"/>
      <c r="K673" s="15"/>
    </row>
    <row r="674" spans="9:11" ht="14.25" customHeight="1" x14ac:dyDescent="0.3">
      <c r="I674" s="17"/>
      <c r="K674" s="15"/>
    </row>
    <row r="675" spans="9:11" ht="14.25" customHeight="1" x14ac:dyDescent="0.3">
      <c r="I675" s="17"/>
      <c r="K675" s="15"/>
    </row>
    <row r="676" spans="9:11" ht="14.25" customHeight="1" x14ac:dyDescent="0.3">
      <c r="I676" s="17"/>
      <c r="K676" s="15"/>
    </row>
    <row r="677" spans="9:11" ht="14.25" customHeight="1" x14ac:dyDescent="0.3">
      <c r="I677" s="17"/>
      <c r="K677" s="15"/>
    </row>
    <row r="678" spans="9:11" ht="14.25" customHeight="1" x14ac:dyDescent="0.3">
      <c r="I678" s="17"/>
      <c r="K678" s="15"/>
    </row>
    <row r="679" spans="9:11" ht="14.25" customHeight="1" x14ac:dyDescent="0.3">
      <c r="I679" s="17"/>
      <c r="K679" s="15"/>
    </row>
    <row r="680" spans="9:11" ht="14.25" customHeight="1" x14ac:dyDescent="0.3">
      <c r="I680" s="17"/>
      <c r="K680" s="15"/>
    </row>
    <row r="681" spans="9:11" ht="14.25" customHeight="1" x14ac:dyDescent="0.3">
      <c r="I681" s="17"/>
      <c r="K681" s="15"/>
    </row>
    <row r="682" spans="9:11" ht="14.25" customHeight="1" x14ac:dyDescent="0.3">
      <c r="I682" s="17"/>
      <c r="K682" s="15"/>
    </row>
    <row r="683" spans="9:11" ht="14.25" customHeight="1" x14ac:dyDescent="0.3">
      <c r="I683" s="17"/>
      <c r="K683" s="15"/>
    </row>
    <row r="684" spans="9:11" ht="14.25" customHeight="1" x14ac:dyDescent="0.3">
      <c r="I684" s="17"/>
      <c r="K684" s="15"/>
    </row>
    <row r="685" spans="9:11" ht="14.25" customHeight="1" x14ac:dyDescent="0.3">
      <c r="I685" s="17"/>
      <c r="K685" s="15"/>
    </row>
    <row r="686" spans="9:11" ht="14.25" customHeight="1" x14ac:dyDescent="0.3">
      <c r="I686" s="17"/>
      <c r="K686" s="15"/>
    </row>
    <row r="687" spans="9:11" ht="14.25" customHeight="1" x14ac:dyDescent="0.3">
      <c r="I687" s="17"/>
      <c r="K687" s="15"/>
    </row>
    <row r="688" spans="9:11" ht="14.25" customHeight="1" x14ac:dyDescent="0.3">
      <c r="I688" s="17"/>
      <c r="K688" s="15"/>
    </row>
    <row r="689" spans="9:11" ht="14.25" customHeight="1" x14ac:dyDescent="0.3">
      <c r="I689" s="17"/>
      <c r="K689" s="15"/>
    </row>
    <row r="690" spans="9:11" ht="14.25" customHeight="1" x14ac:dyDescent="0.3">
      <c r="I690" s="17"/>
      <c r="K690" s="15"/>
    </row>
    <row r="691" spans="9:11" ht="14.25" customHeight="1" x14ac:dyDescent="0.3">
      <c r="I691" s="17"/>
      <c r="K691" s="15"/>
    </row>
    <row r="692" spans="9:11" ht="14.25" customHeight="1" x14ac:dyDescent="0.3">
      <c r="I692" s="17"/>
      <c r="K692" s="15"/>
    </row>
    <row r="693" spans="9:11" ht="14.25" customHeight="1" x14ac:dyDescent="0.3">
      <c r="I693" s="17"/>
      <c r="K693" s="15"/>
    </row>
    <row r="694" spans="9:11" ht="14.25" customHeight="1" x14ac:dyDescent="0.3">
      <c r="I694" s="17"/>
      <c r="K694" s="15"/>
    </row>
    <row r="695" spans="9:11" ht="14.25" customHeight="1" x14ac:dyDescent="0.3">
      <c r="I695" s="17"/>
      <c r="K695" s="15"/>
    </row>
    <row r="696" spans="9:11" ht="14.25" customHeight="1" x14ac:dyDescent="0.3">
      <c r="I696" s="17"/>
      <c r="K696" s="15"/>
    </row>
    <row r="697" spans="9:11" ht="14.25" customHeight="1" x14ac:dyDescent="0.3">
      <c r="I697" s="17"/>
      <c r="K697" s="15"/>
    </row>
    <row r="698" spans="9:11" ht="14.25" customHeight="1" x14ac:dyDescent="0.3">
      <c r="I698" s="17"/>
      <c r="K698" s="15"/>
    </row>
    <row r="699" spans="9:11" ht="14.25" customHeight="1" x14ac:dyDescent="0.3">
      <c r="I699" s="17"/>
      <c r="K699" s="15"/>
    </row>
    <row r="700" spans="9:11" ht="14.25" customHeight="1" x14ac:dyDescent="0.3">
      <c r="I700" s="17"/>
      <c r="K700" s="15"/>
    </row>
    <row r="701" spans="9:11" ht="14.25" customHeight="1" x14ac:dyDescent="0.3">
      <c r="I701" s="17"/>
      <c r="K701" s="15"/>
    </row>
    <row r="702" spans="9:11" ht="14.25" customHeight="1" x14ac:dyDescent="0.3">
      <c r="I702" s="17"/>
      <c r="K702" s="15"/>
    </row>
    <row r="703" spans="9:11" ht="14.25" customHeight="1" x14ac:dyDescent="0.3">
      <c r="I703" s="17"/>
      <c r="K703" s="15"/>
    </row>
    <row r="704" spans="9:11" ht="14.25" customHeight="1" x14ac:dyDescent="0.3">
      <c r="I704" s="17"/>
      <c r="K704" s="15"/>
    </row>
    <row r="705" spans="9:11" ht="14.25" customHeight="1" x14ac:dyDescent="0.3">
      <c r="I705" s="17"/>
      <c r="K705" s="15"/>
    </row>
    <row r="706" spans="9:11" ht="14.25" customHeight="1" x14ac:dyDescent="0.3">
      <c r="I706" s="17"/>
      <c r="K706" s="15"/>
    </row>
    <row r="707" spans="9:11" ht="14.25" customHeight="1" x14ac:dyDescent="0.3">
      <c r="I707" s="17"/>
      <c r="K707" s="15"/>
    </row>
    <row r="708" spans="9:11" ht="14.25" customHeight="1" x14ac:dyDescent="0.3">
      <c r="I708" s="17"/>
      <c r="K708" s="15"/>
    </row>
    <row r="709" spans="9:11" ht="14.25" customHeight="1" x14ac:dyDescent="0.3">
      <c r="I709" s="17"/>
      <c r="K709" s="15"/>
    </row>
    <row r="710" spans="9:11" ht="14.25" customHeight="1" x14ac:dyDescent="0.3">
      <c r="I710" s="17"/>
      <c r="K710" s="15"/>
    </row>
    <row r="711" spans="9:11" ht="14.25" customHeight="1" x14ac:dyDescent="0.3">
      <c r="I711" s="17"/>
      <c r="K711" s="15"/>
    </row>
    <row r="712" spans="9:11" ht="14.25" customHeight="1" x14ac:dyDescent="0.3">
      <c r="I712" s="17"/>
      <c r="K712" s="15"/>
    </row>
    <row r="713" spans="9:11" ht="14.25" customHeight="1" x14ac:dyDescent="0.3">
      <c r="I713" s="17"/>
      <c r="K713" s="15"/>
    </row>
    <row r="714" spans="9:11" ht="14.25" customHeight="1" x14ac:dyDescent="0.3">
      <c r="I714" s="17"/>
      <c r="K714" s="15"/>
    </row>
    <row r="715" spans="9:11" ht="14.25" customHeight="1" x14ac:dyDescent="0.3">
      <c r="I715" s="17"/>
      <c r="K715" s="15"/>
    </row>
    <row r="716" spans="9:11" ht="14.25" customHeight="1" x14ac:dyDescent="0.3">
      <c r="I716" s="17"/>
      <c r="K716" s="15"/>
    </row>
    <row r="717" spans="9:11" ht="14.25" customHeight="1" x14ac:dyDescent="0.3">
      <c r="I717" s="17"/>
      <c r="K717" s="15"/>
    </row>
    <row r="718" spans="9:11" ht="14.25" customHeight="1" x14ac:dyDescent="0.3">
      <c r="I718" s="17"/>
      <c r="K718" s="15"/>
    </row>
    <row r="719" spans="9:11" ht="14.25" customHeight="1" x14ac:dyDescent="0.3">
      <c r="I719" s="17"/>
      <c r="K719" s="15"/>
    </row>
    <row r="720" spans="9:11" ht="14.25" customHeight="1" x14ac:dyDescent="0.3">
      <c r="I720" s="17"/>
      <c r="K720" s="15"/>
    </row>
    <row r="721" spans="9:11" ht="14.25" customHeight="1" x14ac:dyDescent="0.3">
      <c r="I721" s="17"/>
      <c r="K721" s="15"/>
    </row>
    <row r="722" spans="9:11" ht="14.25" customHeight="1" x14ac:dyDescent="0.3">
      <c r="I722" s="17"/>
      <c r="K722" s="15"/>
    </row>
    <row r="723" spans="9:11" ht="14.25" customHeight="1" x14ac:dyDescent="0.3">
      <c r="I723" s="17"/>
      <c r="K723" s="15"/>
    </row>
    <row r="724" spans="9:11" ht="14.25" customHeight="1" x14ac:dyDescent="0.3">
      <c r="I724" s="17"/>
      <c r="K724" s="15"/>
    </row>
    <row r="725" spans="9:11" ht="14.25" customHeight="1" x14ac:dyDescent="0.3">
      <c r="I725" s="17"/>
      <c r="K725" s="15"/>
    </row>
    <row r="726" spans="9:11" ht="14.25" customHeight="1" x14ac:dyDescent="0.3">
      <c r="I726" s="17"/>
      <c r="K726" s="15"/>
    </row>
    <row r="727" spans="9:11" ht="14.25" customHeight="1" x14ac:dyDescent="0.3">
      <c r="I727" s="17"/>
      <c r="K727" s="15"/>
    </row>
    <row r="728" spans="9:11" ht="14.25" customHeight="1" x14ac:dyDescent="0.3">
      <c r="I728" s="17"/>
      <c r="K728" s="15"/>
    </row>
    <row r="729" spans="9:11" ht="14.25" customHeight="1" x14ac:dyDescent="0.3">
      <c r="I729" s="17"/>
      <c r="K729" s="15"/>
    </row>
    <row r="730" spans="9:11" ht="14.25" customHeight="1" x14ac:dyDescent="0.3">
      <c r="I730" s="17"/>
      <c r="K730" s="15"/>
    </row>
    <row r="731" spans="9:11" ht="14.25" customHeight="1" x14ac:dyDescent="0.3">
      <c r="I731" s="17"/>
      <c r="K731" s="15"/>
    </row>
    <row r="732" spans="9:11" ht="14.25" customHeight="1" x14ac:dyDescent="0.3">
      <c r="I732" s="17"/>
      <c r="K732" s="15"/>
    </row>
    <row r="733" spans="9:11" ht="14.25" customHeight="1" x14ac:dyDescent="0.3">
      <c r="I733" s="17"/>
      <c r="K733" s="15"/>
    </row>
    <row r="734" spans="9:11" ht="14.25" customHeight="1" x14ac:dyDescent="0.3">
      <c r="I734" s="17"/>
      <c r="K734" s="15"/>
    </row>
    <row r="735" spans="9:11" ht="14.25" customHeight="1" x14ac:dyDescent="0.3">
      <c r="I735" s="17"/>
      <c r="K735" s="15"/>
    </row>
    <row r="736" spans="9:11" ht="14.25" customHeight="1" x14ac:dyDescent="0.3">
      <c r="I736" s="17"/>
      <c r="K736" s="15"/>
    </row>
    <row r="737" spans="9:11" ht="14.25" customHeight="1" x14ac:dyDescent="0.3">
      <c r="I737" s="17"/>
      <c r="K737" s="15"/>
    </row>
    <row r="738" spans="9:11" ht="14.25" customHeight="1" x14ac:dyDescent="0.3">
      <c r="I738" s="17"/>
      <c r="K738" s="15"/>
    </row>
    <row r="739" spans="9:11" ht="14.25" customHeight="1" x14ac:dyDescent="0.3">
      <c r="I739" s="17"/>
      <c r="K739" s="15"/>
    </row>
    <row r="740" spans="9:11" ht="14.25" customHeight="1" x14ac:dyDescent="0.3">
      <c r="I740" s="17"/>
      <c r="K740" s="15"/>
    </row>
    <row r="741" spans="9:11" ht="14.25" customHeight="1" x14ac:dyDescent="0.3">
      <c r="I741" s="17"/>
      <c r="K741" s="15"/>
    </row>
    <row r="742" spans="9:11" ht="14.25" customHeight="1" x14ac:dyDescent="0.3">
      <c r="I742" s="17"/>
      <c r="K742" s="15"/>
    </row>
    <row r="743" spans="9:11" ht="14.25" customHeight="1" x14ac:dyDescent="0.3">
      <c r="I743" s="17"/>
      <c r="K743" s="15"/>
    </row>
    <row r="744" spans="9:11" ht="14.25" customHeight="1" x14ac:dyDescent="0.3">
      <c r="I744" s="17"/>
      <c r="K744" s="15"/>
    </row>
    <row r="745" spans="9:11" ht="14.25" customHeight="1" x14ac:dyDescent="0.3">
      <c r="I745" s="17"/>
      <c r="K745" s="15"/>
    </row>
    <row r="746" spans="9:11" ht="14.25" customHeight="1" x14ac:dyDescent="0.3">
      <c r="I746" s="17"/>
      <c r="K746" s="15"/>
    </row>
    <row r="747" spans="9:11" ht="14.25" customHeight="1" x14ac:dyDescent="0.3">
      <c r="I747" s="17"/>
      <c r="K747" s="15"/>
    </row>
    <row r="748" spans="9:11" ht="14.25" customHeight="1" x14ac:dyDescent="0.3">
      <c r="I748" s="17"/>
      <c r="K748" s="15"/>
    </row>
    <row r="749" spans="9:11" ht="14.25" customHeight="1" x14ac:dyDescent="0.3">
      <c r="I749" s="17"/>
      <c r="K749" s="15"/>
    </row>
    <row r="750" spans="9:11" ht="14.25" customHeight="1" x14ac:dyDescent="0.3">
      <c r="I750" s="17"/>
      <c r="K750" s="15"/>
    </row>
    <row r="751" spans="9:11" ht="14.25" customHeight="1" x14ac:dyDescent="0.3">
      <c r="I751" s="17"/>
      <c r="K751" s="15"/>
    </row>
    <row r="752" spans="9:11" ht="14.25" customHeight="1" x14ac:dyDescent="0.3">
      <c r="I752" s="17"/>
      <c r="K752" s="15"/>
    </row>
    <row r="753" spans="9:11" ht="14.25" customHeight="1" x14ac:dyDescent="0.3">
      <c r="I753" s="17"/>
      <c r="K753" s="15"/>
    </row>
    <row r="754" spans="9:11" ht="14.25" customHeight="1" x14ac:dyDescent="0.3">
      <c r="I754" s="17"/>
      <c r="K754" s="15"/>
    </row>
    <row r="755" spans="9:11" ht="14.25" customHeight="1" x14ac:dyDescent="0.3">
      <c r="I755" s="17"/>
      <c r="K755" s="15"/>
    </row>
    <row r="756" spans="9:11" ht="14.25" customHeight="1" x14ac:dyDescent="0.3">
      <c r="I756" s="17"/>
      <c r="K756" s="15"/>
    </row>
    <row r="757" spans="9:11" ht="14.25" customHeight="1" x14ac:dyDescent="0.3">
      <c r="I757" s="17"/>
      <c r="K757" s="15"/>
    </row>
    <row r="758" spans="9:11" ht="14.25" customHeight="1" x14ac:dyDescent="0.3">
      <c r="I758" s="17"/>
      <c r="K758" s="15"/>
    </row>
    <row r="759" spans="9:11" ht="14.25" customHeight="1" x14ac:dyDescent="0.3">
      <c r="I759" s="17"/>
      <c r="K759" s="15"/>
    </row>
    <row r="760" spans="9:11" ht="14.25" customHeight="1" x14ac:dyDescent="0.3">
      <c r="I760" s="17"/>
      <c r="K760" s="15"/>
    </row>
    <row r="761" spans="9:11" ht="14.25" customHeight="1" x14ac:dyDescent="0.3">
      <c r="I761" s="17"/>
      <c r="K761" s="15"/>
    </row>
    <row r="762" spans="9:11" ht="14.25" customHeight="1" x14ac:dyDescent="0.3">
      <c r="I762" s="17"/>
      <c r="K762" s="15"/>
    </row>
    <row r="763" spans="9:11" ht="14.25" customHeight="1" x14ac:dyDescent="0.3">
      <c r="I763" s="17"/>
      <c r="K763" s="15"/>
    </row>
    <row r="764" spans="9:11" ht="14.25" customHeight="1" x14ac:dyDescent="0.3">
      <c r="I764" s="17"/>
      <c r="K764" s="15"/>
    </row>
    <row r="765" spans="9:11" ht="14.25" customHeight="1" x14ac:dyDescent="0.3">
      <c r="I765" s="17"/>
      <c r="K765" s="15"/>
    </row>
    <row r="766" spans="9:11" ht="14.25" customHeight="1" x14ac:dyDescent="0.3">
      <c r="I766" s="17"/>
      <c r="K766" s="15"/>
    </row>
    <row r="767" spans="9:11" ht="14.25" customHeight="1" x14ac:dyDescent="0.3">
      <c r="I767" s="17"/>
      <c r="K767" s="15"/>
    </row>
    <row r="768" spans="9:11" ht="14.25" customHeight="1" x14ac:dyDescent="0.3">
      <c r="I768" s="17"/>
      <c r="K768" s="15"/>
    </row>
    <row r="769" spans="9:11" ht="14.25" customHeight="1" x14ac:dyDescent="0.3">
      <c r="I769" s="17"/>
      <c r="K769" s="15"/>
    </row>
    <row r="770" spans="9:11" ht="14.25" customHeight="1" x14ac:dyDescent="0.3">
      <c r="I770" s="17"/>
      <c r="K770" s="15"/>
    </row>
    <row r="771" spans="9:11" ht="14.25" customHeight="1" x14ac:dyDescent="0.3">
      <c r="I771" s="17"/>
      <c r="K771" s="15"/>
    </row>
    <row r="772" spans="9:11" ht="14.25" customHeight="1" x14ac:dyDescent="0.3">
      <c r="I772" s="17"/>
      <c r="K772" s="15"/>
    </row>
    <row r="773" spans="9:11" ht="14.25" customHeight="1" x14ac:dyDescent="0.3">
      <c r="I773" s="17"/>
      <c r="K773" s="15"/>
    </row>
    <row r="774" spans="9:11" ht="14.25" customHeight="1" x14ac:dyDescent="0.3">
      <c r="I774" s="17"/>
      <c r="K774" s="15"/>
    </row>
    <row r="775" spans="9:11" ht="14.25" customHeight="1" x14ac:dyDescent="0.3">
      <c r="I775" s="17"/>
      <c r="K775" s="15"/>
    </row>
    <row r="776" spans="9:11" ht="14.25" customHeight="1" x14ac:dyDescent="0.3">
      <c r="I776" s="17"/>
      <c r="K776" s="15"/>
    </row>
    <row r="777" spans="9:11" ht="14.25" customHeight="1" x14ac:dyDescent="0.3">
      <c r="I777" s="17"/>
      <c r="K777" s="15"/>
    </row>
    <row r="778" spans="9:11" ht="14.25" customHeight="1" x14ac:dyDescent="0.3">
      <c r="I778" s="17"/>
      <c r="K778" s="15"/>
    </row>
    <row r="779" spans="9:11" ht="14.25" customHeight="1" x14ac:dyDescent="0.3">
      <c r="I779" s="17"/>
      <c r="K779" s="15"/>
    </row>
    <row r="780" spans="9:11" ht="14.25" customHeight="1" x14ac:dyDescent="0.3">
      <c r="I780" s="17"/>
      <c r="K780" s="15"/>
    </row>
    <row r="781" spans="9:11" ht="14.25" customHeight="1" x14ac:dyDescent="0.3">
      <c r="I781" s="17"/>
      <c r="K781" s="15"/>
    </row>
    <row r="782" spans="9:11" ht="14.25" customHeight="1" x14ac:dyDescent="0.3">
      <c r="I782" s="17"/>
      <c r="K782" s="15"/>
    </row>
    <row r="783" spans="9:11" ht="14.25" customHeight="1" x14ac:dyDescent="0.3">
      <c r="I783" s="17"/>
      <c r="K783" s="15"/>
    </row>
    <row r="784" spans="9:11" ht="14.25" customHeight="1" x14ac:dyDescent="0.3">
      <c r="I784" s="17"/>
      <c r="K784" s="15"/>
    </row>
    <row r="785" spans="9:11" ht="14.25" customHeight="1" x14ac:dyDescent="0.3">
      <c r="I785" s="17"/>
      <c r="K785" s="15"/>
    </row>
    <row r="786" spans="9:11" ht="14.25" customHeight="1" x14ac:dyDescent="0.3">
      <c r="I786" s="17"/>
      <c r="K786" s="15"/>
    </row>
    <row r="787" spans="9:11" ht="14.25" customHeight="1" x14ac:dyDescent="0.3">
      <c r="I787" s="17"/>
      <c r="K787" s="15"/>
    </row>
    <row r="788" spans="9:11" ht="14.25" customHeight="1" x14ac:dyDescent="0.3">
      <c r="I788" s="17"/>
      <c r="K788" s="15"/>
    </row>
    <row r="789" spans="9:11" ht="14.25" customHeight="1" x14ac:dyDescent="0.3">
      <c r="I789" s="17"/>
      <c r="K789" s="15"/>
    </row>
    <row r="790" spans="9:11" ht="14.25" customHeight="1" x14ac:dyDescent="0.3">
      <c r="I790" s="17"/>
      <c r="K790" s="15"/>
    </row>
    <row r="791" spans="9:11" ht="14.25" customHeight="1" x14ac:dyDescent="0.3">
      <c r="I791" s="17"/>
      <c r="K791" s="15"/>
    </row>
    <row r="792" spans="9:11" ht="14.25" customHeight="1" x14ac:dyDescent="0.3">
      <c r="I792" s="17"/>
      <c r="K792" s="15"/>
    </row>
    <row r="793" spans="9:11" ht="14.25" customHeight="1" x14ac:dyDescent="0.3">
      <c r="I793" s="17"/>
      <c r="K793" s="15"/>
    </row>
    <row r="794" spans="9:11" ht="14.25" customHeight="1" x14ac:dyDescent="0.3">
      <c r="I794" s="17"/>
      <c r="K794" s="15"/>
    </row>
    <row r="795" spans="9:11" ht="14.25" customHeight="1" x14ac:dyDescent="0.3">
      <c r="I795" s="17"/>
      <c r="K795" s="15"/>
    </row>
    <row r="796" spans="9:11" ht="14.25" customHeight="1" x14ac:dyDescent="0.3">
      <c r="I796" s="17"/>
      <c r="K796" s="15"/>
    </row>
    <row r="797" spans="9:11" ht="14.25" customHeight="1" x14ac:dyDescent="0.3">
      <c r="I797" s="17"/>
      <c r="K797" s="15"/>
    </row>
    <row r="798" spans="9:11" ht="14.25" customHeight="1" x14ac:dyDescent="0.3">
      <c r="I798" s="17"/>
      <c r="K798" s="15"/>
    </row>
    <row r="799" spans="9:11" ht="14.25" customHeight="1" x14ac:dyDescent="0.3">
      <c r="I799" s="17"/>
      <c r="K799" s="15"/>
    </row>
    <row r="800" spans="9:11" ht="14.25" customHeight="1" x14ac:dyDescent="0.3">
      <c r="I800" s="17"/>
      <c r="K800" s="15"/>
    </row>
    <row r="801" spans="9:11" ht="14.25" customHeight="1" x14ac:dyDescent="0.3">
      <c r="I801" s="17"/>
      <c r="K801" s="15"/>
    </row>
    <row r="802" spans="9:11" ht="14.25" customHeight="1" x14ac:dyDescent="0.3">
      <c r="I802" s="17"/>
      <c r="K802" s="15"/>
    </row>
    <row r="803" spans="9:11" ht="14.25" customHeight="1" x14ac:dyDescent="0.3">
      <c r="I803" s="17"/>
      <c r="K803" s="15"/>
    </row>
    <row r="804" spans="9:11" ht="14.25" customHeight="1" x14ac:dyDescent="0.3">
      <c r="I804" s="17"/>
      <c r="K804" s="15"/>
    </row>
    <row r="805" spans="9:11" ht="14.25" customHeight="1" x14ac:dyDescent="0.3">
      <c r="I805" s="17"/>
      <c r="K805" s="15"/>
    </row>
    <row r="806" spans="9:11" ht="14.25" customHeight="1" x14ac:dyDescent="0.3">
      <c r="I806" s="17"/>
      <c r="K806" s="15"/>
    </row>
    <row r="807" spans="9:11" ht="14.25" customHeight="1" x14ac:dyDescent="0.3">
      <c r="I807" s="17"/>
      <c r="K807" s="15"/>
    </row>
    <row r="808" spans="9:11" ht="14.25" customHeight="1" x14ac:dyDescent="0.3">
      <c r="I808" s="17"/>
      <c r="K808" s="15"/>
    </row>
    <row r="809" spans="9:11" ht="14.25" customHeight="1" x14ac:dyDescent="0.3">
      <c r="I809" s="17"/>
      <c r="K809" s="15"/>
    </row>
    <row r="810" spans="9:11" ht="14.25" customHeight="1" x14ac:dyDescent="0.3">
      <c r="I810" s="17"/>
      <c r="K810" s="15"/>
    </row>
    <row r="811" spans="9:11" ht="14.25" customHeight="1" x14ac:dyDescent="0.3">
      <c r="I811" s="17"/>
      <c r="K811" s="15"/>
    </row>
    <row r="812" spans="9:11" ht="14.25" customHeight="1" x14ac:dyDescent="0.3">
      <c r="I812" s="17"/>
      <c r="K812" s="15"/>
    </row>
    <row r="813" spans="9:11" ht="14.25" customHeight="1" x14ac:dyDescent="0.3">
      <c r="I813" s="17"/>
      <c r="K813" s="15"/>
    </row>
    <row r="814" spans="9:11" ht="14.25" customHeight="1" x14ac:dyDescent="0.3">
      <c r="I814" s="17"/>
      <c r="K814" s="15"/>
    </row>
    <row r="815" spans="9:11" ht="14.25" customHeight="1" x14ac:dyDescent="0.3">
      <c r="I815" s="17"/>
      <c r="K815" s="15"/>
    </row>
    <row r="816" spans="9:11" ht="14.25" customHeight="1" x14ac:dyDescent="0.3">
      <c r="I816" s="17"/>
      <c r="K816" s="15"/>
    </row>
    <row r="817" spans="9:11" ht="14.25" customHeight="1" x14ac:dyDescent="0.3">
      <c r="I817" s="17"/>
      <c r="K817" s="15"/>
    </row>
    <row r="818" spans="9:11" ht="14.25" customHeight="1" x14ac:dyDescent="0.3">
      <c r="I818" s="17"/>
      <c r="K818" s="15"/>
    </row>
    <row r="819" spans="9:11" ht="14.25" customHeight="1" x14ac:dyDescent="0.3">
      <c r="I819" s="17"/>
      <c r="K819" s="15"/>
    </row>
    <row r="820" spans="9:11" ht="14.25" customHeight="1" x14ac:dyDescent="0.3">
      <c r="I820" s="17"/>
      <c r="K820" s="15"/>
    </row>
    <row r="821" spans="9:11" ht="14.25" customHeight="1" x14ac:dyDescent="0.3">
      <c r="I821" s="17"/>
      <c r="K821" s="15"/>
    </row>
    <row r="822" spans="9:11" ht="14.25" customHeight="1" x14ac:dyDescent="0.3">
      <c r="I822" s="17"/>
      <c r="K822" s="15"/>
    </row>
    <row r="823" spans="9:11" ht="14.25" customHeight="1" x14ac:dyDescent="0.3">
      <c r="I823" s="17"/>
      <c r="K823" s="15"/>
    </row>
    <row r="824" spans="9:11" ht="14.25" customHeight="1" x14ac:dyDescent="0.3">
      <c r="I824" s="17"/>
      <c r="K824" s="15"/>
    </row>
    <row r="825" spans="9:11" ht="14.25" customHeight="1" x14ac:dyDescent="0.3">
      <c r="I825" s="17"/>
      <c r="K825" s="15"/>
    </row>
    <row r="826" spans="9:11" ht="14.25" customHeight="1" x14ac:dyDescent="0.3">
      <c r="I826" s="17"/>
      <c r="K826" s="15"/>
    </row>
    <row r="827" spans="9:11" ht="14.25" customHeight="1" x14ac:dyDescent="0.3">
      <c r="I827" s="17"/>
      <c r="K827" s="15"/>
    </row>
    <row r="828" spans="9:11" ht="14.25" customHeight="1" x14ac:dyDescent="0.3">
      <c r="I828" s="17"/>
      <c r="K828" s="15"/>
    </row>
    <row r="829" spans="9:11" ht="14.25" customHeight="1" x14ac:dyDescent="0.3">
      <c r="I829" s="17"/>
      <c r="K829" s="15"/>
    </row>
    <row r="830" spans="9:11" ht="14.25" customHeight="1" x14ac:dyDescent="0.3">
      <c r="I830" s="17"/>
      <c r="K830" s="15"/>
    </row>
    <row r="831" spans="9:11" ht="14.25" customHeight="1" x14ac:dyDescent="0.3">
      <c r="I831" s="17"/>
      <c r="K831" s="15"/>
    </row>
    <row r="832" spans="9:11" ht="14.25" customHeight="1" x14ac:dyDescent="0.3">
      <c r="I832" s="17"/>
      <c r="K832" s="15"/>
    </row>
    <row r="833" spans="9:11" ht="14.25" customHeight="1" x14ac:dyDescent="0.3">
      <c r="I833" s="17"/>
      <c r="K833" s="15"/>
    </row>
    <row r="834" spans="9:11" ht="14.25" customHeight="1" x14ac:dyDescent="0.3">
      <c r="I834" s="17"/>
      <c r="K834" s="15"/>
    </row>
    <row r="835" spans="9:11" ht="14.25" customHeight="1" x14ac:dyDescent="0.3">
      <c r="I835" s="17"/>
      <c r="K835" s="15"/>
    </row>
    <row r="836" spans="9:11" ht="14.25" customHeight="1" x14ac:dyDescent="0.3">
      <c r="I836" s="17"/>
      <c r="K836" s="15"/>
    </row>
    <row r="837" spans="9:11" ht="14.25" customHeight="1" x14ac:dyDescent="0.3">
      <c r="I837" s="17"/>
      <c r="K837" s="15"/>
    </row>
    <row r="838" spans="9:11" ht="14.25" customHeight="1" x14ac:dyDescent="0.3">
      <c r="I838" s="17"/>
      <c r="K838" s="15"/>
    </row>
    <row r="839" spans="9:11" ht="14.25" customHeight="1" x14ac:dyDescent="0.3">
      <c r="I839" s="17"/>
      <c r="K839" s="15"/>
    </row>
    <row r="840" spans="9:11" ht="14.25" customHeight="1" x14ac:dyDescent="0.3">
      <c r="I840" s="17"/>
      <c r="K840" s="15"/>
    </row>
    <row r="841" spans="9:11" ht="14.25" customHeight="1" x14ac:dyDescent="0.3">
      <c r="I841" s="17"/>
      <c r="K841" s="15"/>
    </row>
    <row r="842" spans="9:11" ht="14.25" customHeight="1" x14ac:dyDescent="0.3">
      <c r="I842" s="17"/>
      <c r="K842" s="15"/>
    </row>
    <row r="843" spans="9:11" ht="14.25" customHeight="1" x14ac:dyDescent="0.3">
      <c r="I843" s="17"/>
      <c r="K843" s="15"/>
    </row>
    <row r="844" spans="9:11" ht="14.25" customHeight="1" x14ac:dyDescent="0.3">
      <c r="I844" s="17"/>
      <c r="K844" s="15"/>
    </row>
    <row r="845" spans="9:11" ht="14.25" customHeight="1" x14ac:dyDescent="0.3">
      <c r="I845" s="17"/>
      <c r="K845" s="15"/>
    </row>
    <row r="846" spans="9:11" ht="14.25" customHeight="1" x14ac:dyDescent="0.3">
      <c r="I846" s="17"/>
      <c r="K846" s="15"/>
    </row>
    <row r="847" spans="9:11" ht="14.25" customHeight="1" x14ac:dyDescent="0.3">
      <c r="I847" s="17"/>
      <c r="K847" s="15"/>
    </row>
    <row r="848" spans="9:11" ht="14.25" customHeight="1" x14ac:dyDescent="0.3">
      <c r="I848" s="17"/>
      <c r="K848" s="15"/>
    </row>
    <row r="849" spans="9:11" ht="14.25" customHeight="1" x14ac:dyDescent="0.3">
      <c r="I849" s="17"/>
      <c r="K849" s="15"/>
    </row>
    <row r="850" spans="9:11" ht="14.25" customHeight="1" x14ac:dyDescent="0.3">
      <c r="I850" s="17"/>
      <c r="K850" s="15"/>
    </row>
    <row r="851" spans="9:11" ht="14.25" customHeight="1" x14ac:dyDescent="0.3">
      <c r="I851" s="17"/>
      <c r="K851" s="15"/>
    </row>
    <row r="852" spans="9:11" ht="14.25" customHeight="1" x14ac:dyDescent="0.3">
      <c r="I852" s="17"/>
      <c r="K852" s="15"/>
    </row>
    <row r="853" spans="9:11" ht="14.25" customHeight="1" x14ac:dyDescent="0.3">
      <c r="I853" s="17"/>
      <c r="K853" s="15"/>
    </row>
    <row r="854" spans="9:11" ht="14.25" customHeight="1" x14ac:dyDescent="0.3">
      <c r="I854" s="17"/>
      <c r="K854" s="15"/>
    </row>
    <row r="855" spans="9:11" ht="14.25" customHeight="1" x14ac:dyDescent="0.3">
      <c r="I855" s="17"/>
      <c r="K855" s="15"/>
    </row>
    <row r="856" spans="9:11" ht="14.25" customHeight="1" x14ac:dyDescent="0.3">
      <c r="I856" s="17"/>
      <c r="K856" s="15"/>
    </row>
    <row r="857" spans="9:11" ht="14.25" customHeight="1" x14ac:dyDescent="0.3">
      <c r="I857" s="17"/>
      <c r="K857" s="15"/>
    </row>
    <row r="858" spans="9:11" ht="14.25" customHeight="1" x14ac:dyDescent="0.3">
      <c r="I858" s="17"/>
      <c r="K858" s="15"/>
    </row>
    <row r="859" spans="9:11" ht="14.25" customHeight="1" x14ac:dyDescent="0.3">
      <c r="I859" s="17"/>
      <c r="K859" s="15"/>
    </row>
    <row r="860" spans="9:11" ht="14.25" customHeight="1" x14ac:dyDescent="0.3">
      <c r="I860" s="17"/>
      <c r="K860" s="15"/>
    </row>
    <row r="861" spans="9:11" ht="14.25" customHeight="1" x14ac:dyDescent="0.3">
      <c r="I861" s="17"/>
      <c r="K861" s="15"/>
    </row>
    <row r="862" spans="9:11" ht="14.25" customHeight="1" x14ac:dyDescent="0.3">
      <c r="I862" s="17"/>
      <c r="K862" s="15"/>
    </row>
    <row r="863" spans="9:11" ht="14.25" customHeight="1" x14ac:dyDescent="0.3">
      <c r="I863" s="17"/>
      <c r="K863" s="15"/>
    </row>
    <row r="864" spans="9:11" ht="14.25" customHeight="1" x14ac:dyDescent="0.3">
      <c r="I864" s="17"/>
      <c r="K864" s="15"/>
    </row>
    <row r="865" spans="9:11" ht="14.25" customHeight="1" x14ac:dyDescent="0.3">
      <c r="I865" s="17"/>
      <c r="K865" s="15"/>
    </row>
    <row r="866" spans="9:11" ht="14.25" customHeight="1" x14ac:dyDescent="0.3">
      <c r="I866" s="17"/>
      <c r="K866" s="15"/>
    </row>
    <row r="867" spans="9:11" ht="14.25" customHeight="1" x14ac:dyDescent="0.3">
      <c r="I867" s="17"/>
      <c r="K867" s="15"/>
    </row>
    <row r="868" spans="9:11" ht="14.25" customHeight="1" x14ac:dyDescent="0.3">
      <c r="I868" s="17"/>
      <c r="K868" s="15"/>
    </row>
    <row r="869" spans="9:11" ht="14.25" customHeight="1" x14ac:dyDescent="0.3">
      <c r="I869" s="17"/>
      <c r="K869" s="15"/>
    </row>
    <row r="870" spans="9:11" ht="14.25" customHeight="1" x14ac:dyDescent="0.3">
      <c r="I870" s="17"/>
      <c r="K870" s="15"/>
    </row>
    <row r="871" spans="9:11" ht="14.25" customHeight="1" x14ac:dyDescent="0.3">
      <c r="I871" s="17"/>
      <c r="K871" s="15"/>
    </row>
    <row r="872" spans="9:11" ht="14.25" customHeight="1" x14ac:dyDescent="0.3">
      <c r="I872" s="17"/>
      <c r="K872" s="15"/>
    </row>
    <row r="873" spans="9:11" ht="14.25" customHeight="1" x14ac:dyDescent="0.3">
      <c r="I873" s="17"/>
      <c r="K873" s="15"/>
    </row>
    <row r="874" spans="9:11" ht="14.25" customHeight="1" x14ac:dyDescent="0.3">
      <c r="I874" s="17"/>
      <c r="K874" s="15"/>
    </row>
    <row r="875" spans="9:11" ht="14.25" customHeight="1" x14ac:dyDescent="0.3">
      <c r="I875" s="17"/>
      <c r="K875" s="15"/>
    </row>
    <row r="876" spans="9:11" ht="14.25" customHeight="1" x14ac:dyDescent="0.3">
      <c r="I876" s="17"/>
      <c r="K876" s="15"/>
    </row>
    <row r="877" spans="9:11" ht="14.25" customHeight="1" x14ac:dyDescent="0.3">
      <c r="I877" s="17"/>
      <c r="K877" s="15"/>
    </row>
    <row r="878" spans="9:11" ht="14.25" customHeight="1" x14ac:dyDescent="0.3">
      <c r="I878" s="17"/>
      <c r="K878" s="15"/>
    </row>
    <row r="879" spans="9:11" ht="14.25" customHeight="1" x14ac:dyDescent="0.3">
      <c r="I879" s="17"/>
      <c r="K879" s="15"/>
    </row>
    <row r="880" spans="9:11" ht="14.25" customHeight="1" x14ac:dyDescent="0.3">
      <c r="I880" s="17"/>
      <c r="K880" s="15"/>
    </row>
    <row r="881" spans="9:11" ht="14.25" customHeight="1" x14ac:dyDescent="0.3">
      <c r="I881" s="17"/>
      <c r="K881" s="15"/>
    </row>
    <row r="882" spans="9:11" ht="14.25" customHeight="1" x14ac:dyDescent="0.3">
      <c r="I882" s="17"/>
      <c r="K882" s="15"/>
    </row>
    <row r="883" spans="9:11" ht="14.25" customHeight="1" x14ac:dyDescent="0.3">
      <c r="I883" s="17"/>
      <c r="K883" s="15"/>
    </row>
    <row r="884" spans="9:11" ht="14.25" customHeight="1" x14ac:dyDescent="0.3">
      <c r="I884" s="17"/>
      <c r="K884" s="15"/>
    </row>
    <row r="885" spans="9:11" ht="14.25" customHeight="1" x14ac:dyDescent="0.3">
      <c r="I885" s="17"/>
      <c r="K885" s="15"/>
    </row>
    <row r="886" spans="9:11" ht="14.25" customHeight="1" x14ac:dyDescent="0.3">
      <c r="I886" s="17"/>
      <c r="K886" s="15"/>
    </row>
    <row r="887" spans="9:11" ht="14.25" customHeight="1" x14ac:dyDescent="0.3">
      <c r="I887" s="17"/>
      <c r="K887" s="15"/>
    </row>
    <row r="888" spans="9:11" ht="14.25" customHeight="1" x14ac:dyDescent="0.3">
      <c r="I888" s="17"/>
      <c r="K888" s="15"/>
    </row>
    <row r="889" spans="9:11" ht="14.25" customHeight="1" x14ac:dyDescent="0.3">
      <c r="I889" s="17"/>
      <c r="K889" s="15"/>
    </row>
    <row r="890" spans="9:11" ht="14.25" customHeight="1" x14ac:dyDescent="0.3">
      <c r="I890" s="17"/>
      <c r="K890" s="15"/>
    </row>
    <row r="891" spans="9:11" ht="14.25" customHeight="1" x14ac:dyDescent="0.3">
      <c r="I891" s="17"/>
      <c r="K891" s="15"/>
    </row>
    <row r="892" spans="9:11" ht="14.25" customHeight="1" x14ac:dyDescent="0.3">
      <c r="I892" s="17"/>
      <c r="K892" s="15"/>
    </row>
    <row r="893" spans="9:11" ht="14.25" customHeight="1" x14ac:dyDescent="0.3">
      <c r="I893" s="17"/>
      <c r="K893" s="15"/>
    </row>
    <row r="894" spans="9:11" ht="14.25" customHeight="1" x14ac:dyDescent="0.3">
      <c r="I894" s="17"/>
      <c r="K894" s="15"/>
    </row>
    <row r="895" spans="9:11" ht="14.25" customHeight="1" x14ac:dyDescent="0.3">
      <c r="I895" s="17"/>
      <c r="K895" s="15"/>
    </row>
    <row r="896" spans="9:11" ht="14.25" customHeight="1" x14ac:dyDescent="0.3">
      <c r="I896" s="17"/>
      <c r="K896" s="15"/>
    </row>
    <row r="897" spans="9:11" ht="14.25" customHeight="1" x14ac:dyDescent="0.3">
      <c r="I897" s="17"/>
      <c r="K897" s="15"/>
    </row>
    <row r="898" spans="9:11" ht="14.25" customHeight="1" x14ac:dyDescent="0.3">
      <c r="I898" s="17"/>
      <c r="K898" s="15"/>
    </row>
    <row r="899" spans="9:11" ht="14.25" customHeight="1" x14ac:dyDescent="0.3">
      <c r="I899" s="17"/>
      <c r="K899" s="15"/>
    </row>
    <row r="900" spans="9:11" ht="14.25" customHeight="1" x14ac:dyDescent="0.3">
      <c r="I900" s="17"/>
      <c r="K900" s="15"/>
    </row>
    <row r="901" spans="9:11" ht="14.25" customHeight="1" x14ac:dyDescent="0.3">
      <c r="I901" s="17"/>
      <c r="K901" s="15"/>
    </row>
    <row r="902" spans="9:11" ht="14.25" customHeight="1" x14ac:dyDescent="0.3">
      <c r="I902" s="17"/>
      <c r="K902" s="15"/>
    </row>
    <row r="903" spans="9:11" ht="14.25" customHeight="1" x14ac:dyDescent="0.3">
      <c r="I903" s="17"/>
      <c r="K903" s="15"/>
    </row>
    <row r="904" spans="9:11" ht="14.25" customHeight="1" x14ac:dyDescent="0.3">
      <c r="I904" s="17"/>
      <c r="K904" s="15"/>
    </row>
    <row r="905" spans="9:11" ht="14.25" customHeight="1" x14ac:dyDescent="0.3">
      <c r="I905" s="17"/>
      <c r="K905" s="15"/>
    </row>
    <row r="906" spans="9:11" ht="14.25" customHeight="1" x14ac:dyDescent="0.3">
      <c r="I906" s="17"/>
      <c r="K906" s="15"/>
    </row>
    <row r="907" spans="9:11" ht="14.25" customHeight="1" x14ac:dyDescent="0.3">
      <c r="I907" s="17"/>
      <c r="K907" s="15"/>
    </row>
    <row r="908" spans="9:11" ht="14.25" customHeight="1" x14ac:dyDescent="0.3">
      <c r="I908" s="17"/>
      <c r="K908" s="15"/>
    </row>
    <row r="909" spans="9:11" ht="14.25" customHeight="1" x14ac:dyDescent="0.3">
      <c r="I909" s="17"/>
      <c r="K909" s="15"/>
    </row>
    <row r="910" spans="9:11" ht="14.25" customHeight="1" x14ac:dyDescent="0.3">
      <c r="I910" s="17"/>
      <c r="K910" s="15"/>
    </row>
    <row r="911" spans="9:11" ht="14.25" customHeight="1" x14ac:dyDescent="0.3">
      <c r="I911" s="17"/>
      <c r="K911" s="15"/>
    </row>
    <row r="912" spans="9:11" ht="14.25" customHeight="1" x14ac:dyDescent="0.3">
      <c r="I912" s="17"/>
      <c r="K912" s="15"/>
    </row>
    <row r="913" spans="9:11" ht="14.25" customHeight="1" x14ac:dyDescent="0.3">
      <c r="I913" s="17"/>
      <c r="K913" s="15"/>
    </row>
    <row r="914" spans="9:11" ht="14.25" customHeight="1" x14ac:dyDescent="0.3">
      <c r="I914" s="17"/>
      <c r="K914" s="15"/>
    </row>
    <row r="915" spans="9:11" ht="14.25" customHeight="1" x14ac:dyDescent="0.3">
      <c r="I915" s="17"/>
      <c r="K915" s="15"/>
    </row>
    <row r="916" spans="9:11" ht="14.25" customHeight="1" x14ac:dyDescent="0.3">
      <c r="I916" s="17"/>
      <c r="K916" s="15"/>
    </row>
    <row r="917" spans="9:11" ht="14.25" customHeight="1" x14ac:dyDescent="0.3">
      <c r="I917" s="17"/>
      <c r="K917" s="15"/>
    </row>
    <row r="918" spans="9:11" ht="14.25" customHeight="1" x14ac:dyDescent="0.3">
      <c r="I918" s="17"/>
      <c r="K918" s="15"/>
    </row>
    <row r="919" spans="9:11" ht="14.25" customHeight="1" x14ac:dyDescent="0.3">
      <c r="I919" s="17"/>
      <c r="K919" s="15"/>
    </row>
    <row r="920" spans="9:11" ht="14.25" customHeight="1" x14ac:dyDescent="0.3">
      <c r="I920" s="17"/>
      <c r="K920" s="15"/>
    </row>
    <row r="921" spans="9:11" ht="14.25" customHeight="1" x14ac:dyDescent="0.3">
      <c r="I921" s="17"/>
      <c r="K921" s="15"/>
    </row>
    <row r="922" spans="9:11" ht="14.25" customHeight="1" x14ac:dyDescent="0.3">
      <c r="I922" s="17"/>
      <c r="K922" s="15"/>
    </row>
    <row r="923" spans="9:11" ht="14.25" customHeight="1" x14ac:dyDescent="0.3">
      <c r="I923" s="17"/>
      <c r="K923" s="15"/>
    </row>
    <row r="924" spans="9:11" ht="14.25" customHeight="1" x14ac:dyDescent="0.3">
      <c r="I924" s="17"/>
      <c r="K924" s="15"/>
    </row>
    <row r="925" spans="9:11" ht="14.25" customHeight="1" x14ac:dyDescent="0.3">
      <c r="I925" s="17"/>
      <c r="K925" s="15"/>
    </row>
    <row r="926" spans="9:11" ht="14.25" customHeight="1" x14ac:dyDescent="0.3">
      <c r="I926" s="17"/>
      <c r="K926" s="15"/>
    </row>
    <row r="927" spans="9:11" ht="14.25" customHeight="1" x14ac:dyDescent="0.3">
      <c r="I927" s="17"/>
      <c r="K927" s="15"/>
    </row>
    <row r="928" spans="9:11" ht="14.25" customHeight="1" x14ac:dyDescent="0.3">
      <c r="I928" s="17"/>
      <c r="K928" s="15"/>
    </row>
    <row r="929" spans="9:11" ht="14.25" customHeight="1" x14ac:dyDescent="0.3">
      <c r="I929" s="17"/>
      <c r="K929" s="15"/>
    </row>
    <row r="930" spans="9:11" ht="14.25" customHeight="1" x14ac:dyDescent="0.3">
      <c r="I930" s="17"/>
      <c r="K930" s="15"/>
    </row>
    <row r="931" spans="9:11" ht="14.25" customHeight="1" x14ac:dyDescent="0.3">
      <c r="I931" s="17"/>
      <c r="K931" s="15"/>
    </row>
    <row r="932" spans="9:11" ht="14.25" customHeight="1" x14ac:dyDescent="0.3">
      <c r="I932" s="17"/>
      <c r="K932" s="15"/>
    </row>
    <row r="933" spans="9:11" ht="14.25" customHeight="1" x14ac:dyDescent="0.3">
      <c r="I933" s="17"/>
      <c r="K933" s="15"/>
    </row>
    <row r="934" spans="9:11" ht="14.25" customHeight="1" x14ac:dyDescent="0.3">
      <c r="I934" s="17"/>
      <c r="K934" s="15"/>
    </row>
    <row r="935" spans="9:11" ht="14.25" customHeight="1" x14ac:dyDescent="0.3">
      <c r="I935" s="17"/>
      <c r="K935" s="15"/>
    </row>
    <row r="936" spans="9:11" ht="14.25" customHeight="1" x14ac:dyDescent="0.3">
      <c r="I936" s="17"/>
      <c r="K936" s="15"/>
    </row>
    <row r="937" spans="9:11" ht="14.25" customHeight="1" x14ac:dyDescent="0.3">
      <c r="I937" s="17"/>
      <c r="K937" s="15"/>
    </row>
    <row r="938" spans="9:11" ht="14.25" customHeight="1" x14ac:dyDescent="0.3">
      <c r="I938" s="17"/>
      <c r="K938" s="15"/>
    </row>
    <row r="939" spans="9:11" ht="14.25" customHeight="1" x14ac:dyDescent="0.3">
      <c r="I939" s="17"/>
      <c r="K939" s="15"/>
    </row>
    <row r="940" spans="9:11" ht="14.25" customHeight="1" x14ac:dyDescent="0.3">
      <c r="I940" s="17"/>
      <c r="K940" s="15"/>
    </row>
    <row r="941" spans="9:11" ht="14.25" customHeight="1" x14ac:dyDescent="0.3">
      <c r="I941" s="17"/>
      <c r="K941" s="15"/>
    </row>
    <row r="942" spans="9:11" ht="14.25" customHeight="1" x14ac:dyDescent="0.3">
      <c r="I942" s="17"/>
      <c r="K942" s="15"/>
    </row>
    <row r="943" spans="9:11" ht="14.25" customHeight="1" x14ac:dyDescent="0.3">
      <c r="I943" s="17"/>
      <c r="K943" s="15"/>
    </row>
    <row r="944" spans="9:11" ht="14.25" customHeight="1" x14ac:dyDescent="0.3">
      <c r="I944" s="17"/>
      <c r="K944" s="15"/>
    </row>
    <row r="945" spans="9:11" ht="14.25" customHeight="1" x14ac:dyDescent="0.3">
      <c r="I945" s="17"/>
      <c r="K945" s="15"/>
    </row>
    <row r="946" spans="9:11" ht="14.25" customHeight="1" x14ac:dyDescent="0.3">
      <c r="I946" s="17"/>
      <c r="K946" s="15"/>
    </row>
    <row r="947" spans="9:11" ht="14.25" customHeight="1" x14ac:dyDescent="0.3">
      <c r="I947" s="17"/>
      <c r="K947" s="15"/>
    </row>
    <row r="948" spans="9:11" ht="14.25" customHeight="1" x14ac:dyDescent="0.3">
      <c r="I948" s="17"/>
      <c r="K948" s="15"/>
    </row>
    <row r="949" spans="9:11" ht="14.25" customHeight="1" x14ac:dyDescent="0.3">
      <c r="I949" s="17"/>
      <c r="K949" s="15"/>
    </row>
    <row r="950" spans="9:11" ht="14.25" customHeight="1" x14ac:dyDescent="0.3">
      <c r="I950" s="17"/>
      <c r="K950" s="15"/>
    </row>
    <row r="951" spans="9:11" ht="14.25" customHeight="1" x14ac:dyDescent="0.3">
      <c r="I951" s="17"/>
      <c r="K951" s="15"/>
    </row>
    <row r="952" spans="9:11" ht="14.25" customHeight="1" x14ac:dyDescent="0.3">
      <c r="I952" s="17"/>
      <c r="K952" s="15"/>
    </row>
    <row r="953" spans="9:11" ht="14.25" customHeight="1" x14ac:dyDescent="0.3">
      <c r="I953" s="17"/>
      <c r="K953" s="15"/>
    </row>
    <row r="954" spans="9:11" ht="14.25" customHeight="1" x14ac:dyDescent="0.3">
      <c r="I954" s="17"/>
      <c r="K954" s="15"/>
    </row>
    <row r="955" spans="9:11" ht="14.25" customHeight="1" x14ac:dyDescent="0.3">
      <c r="I955" s="17"/>
      <c r="K955" s="15"/>
    </row>
    <row r="956" spans="9:11" ht="14.25" customHeight="1" x14ac:dyDescent="0.3">
      <c r="I956" s="17"/>
      <c r="K956" s="15"/>
    </row>
    <row r="957" spans="9:11" ht="14.25" customHeight="1" x14ac:dyDescent="0.3">
      <c r="I957" s="17"/>
      <c r="K957" s="15"/>
    </row>
    <row r="958" spans="9:11" ht="14.25" customHeight="1" x14ac:dyDescent="0.3">
      <c r="I958" s="17"/>
      <c r="K958" s="15"/>
    </row>
    <row r="959" spans="9:11" ht="14.25" customHeight="1" x14ac:dyDescent="0.3">
      <c r="I959" s="17"/>
      <c r="K959" s="15"/>
    </row>
    <row r="960" spans="9:11" ht="14.25" customHeight="1" x14ac:dyDescent="0.3">
      <c r="I960" s="17"/>
      <c r="K960" s="15"/>
    </row>
    <row r="961" spans="9:11" ht="14.25" customHeight="1" x14ac:dyDescent="0.3">
      <c r="I961" s="17"/>
      <c r="K961" s="15"/>
    </row>
    <row r="962" spans="9:11" ht="14.25" customHeight="1" x14ac:dyDescent="0.3">
      <c r="I962" s="17"/>
      <c r="K962" s="15"/>
    </row>
    <row r="963" spans="9:11" ht="14.25" customHeight="1" x14ac:dyDescent="0.3">
      <c r="I963" s="17"/>
      <c r="K963" s="15"/>
    </row>
    <row r="964" spans="9:11" ht="14.25" customHeight="1" x14ac:dyDescent="0.3">
      <c r="I964" s="17"/>
      <c r="K964" s="15"/>
    </row>
    <row r="965" spans="9:11" ht="14.25" customHeight="1" x14ac:dyDescent="0.3">
      <c r="I965" s="17"/>
      <c r="K965" s="15"/>
    </row>
    <row r="966" spans="9:11" ht="14.25" customHeight="1" x14ac:dyDescent="0.3">
      <c r="I966" s="17"/>
      <c r="K966" s="15"/>
    </row>
    <row r="967" spans="9:11" ht="14.25" customHeight="1" x14ac:dyDescent="0.3">
      <c r="I967" s="17"/>
      <c r="K967" s="15"/>
    </row>
    <row r="968" spans="9:11" ht="14.25" customHeight="1" x14ac:dyDescent="0.3">
      <c r="I968" s="17"/>
      <c r="K968" s="15"/>
    </row>
    <row r="969" spans="9:11" ht="14.25" customHeight="1" x14ac:dyDescent="0.3">
      <c r="I969" s="17"/>
      <c r="K969" s="15"/>
    </row>
    <row r="970" spans="9:11" ht="14.25" customHeight="1" x14ac:dyDescent="0.3">
      <c r="I970" s="17"/>
      <c r="K970" s="15"/>
    </row>
    <row r="971" spans="9:11" ht="14.25" customHeight="1" x14ac:dyDescent="0.3">
      <c r="I971" s="17"/>
      <c r="K971" s="15"/>
    </row>
    <row r="972" spans="9:11" ht="14.25" customHeight="1" x14ac:dyDescent="0.3">
      <c r="I972" s="17"/>
      <c r="K972" s="15"/>
    </row>
    <row r="973" spans="9:11" ht="14.25" customHeight="1" x14ac:dyDescent="0.3">
      <c r="I973" s="17"/>
      <c r="K973" s="15"/>
    </row>
    <row r="974" spans="9:11" ht="14.25" customHeight="1" x14ac:dyDescent="0.3">
      <c r="I974" s="17"/>
      <c r="K974" s="15"/>
    </row>
    <row r="975" spans="9:11" ht="14.25" customHeight="1" x14ac:dyDescent="0.3">
      <c r="I975" s="17"/>
      <c r="K975" s="15"/>
    </row>
    <row r="976" spans="9:11" ht="14.25" customHeight="1" x14ac:dyDescent="0.3">
      <c r="I976" s="17"/>
      <c r="K976" s="15"/>
    </row>
    <row r="977" spans="9:11" ht="14.25" customHeight="1" x14ac:dyDescent="0.3">
      <c r="I977" s="17"/>
      <c r="K977" s="15"/>
    </row>
    <row r="978" spans="9:11" ht="14.25" customHeight="1" x14ac:dyDescent="0.3">
      <c r="I978" s="17"/>
      <c r="K978" s="15"/>
    </row>
    <row r="979" spans="9:11" ht="14.25" customHeight="1" x14ac:dyDescent="0.3">
      <c r="I979" s="17"/>
      <c r="K979" s="15"/>
    </row>
    <row r="980" spans="9:11" ht="14.25" customHeight="1" x14ac:dyDescent="0.3">
      <c r="I980" s="17"/>
      <c r="K980" s="15"/>
    </row>
    <row r="981" spans="9:11" ht="14.25" customHeight="1" x14ac:dyDescent="0.3">
      <c r="I981" s="17"/>
      <c r="K981" s="15"/>
    </row>
    <row r="982" spans="9:11" ht="14.25" customHeight="1" x14ac:dyDescent="0.3">
      <c r="I982" s="17"/>
      <c r="K982" s="15"/>
    </row>
    <row r="983" spans="9:11" ht="14.25" customHeight="1" x14ac:dyDescent="0.3">
      <c r="I983" s="17"/>
      <c r="K983" s="15"/>
    </row>
    <row r="984" spans="9:11" ht="14.25" customHeight="1" x14ac:dyDescent="0.3">
      <c r="I984" s="17"/>
      <c r="K984" s="15"/>
    </row>
    <row r="985" spans="9:11" ht="14.25" customHeight="1" x14ac:dyDescent="0.3">
      <c r="I985" s="17"/>
      <c r="K985" s="15"/>
    </row>
    <row r="986" spans="9:11" ht="14.25" customHeight="1" x14ac:dyDescent="0.3">
      <c r="I986" s="17"/>
      <c r="K986" s="15"/>
    </row>
    <row r="987" spans="9:11" ht="14.25" customHeight="1" x14ac:dyDescent="0.3">
      <c r="I987" s="17"/>
      <c r="K987" s="15"/>
    </row>
    <row r="988" spans="9:11" ht="14.25" customHeight="1" x14ac:dyDescent="0.3">
      <c r="I988" s="17"/>
      <c r="K988" s="15"/>
    </row>
    <row r="989" spans="9:11" ht="14.25" customHeight="1" x14ac:dyDescent="0.3">
      <c r="I989" s="17"/>
      <c r="K989" s="15"/>
    </row>
    <row r="990" spans="9:11" ht="14.25" customHeight="1" x14ac:dyDescent="0.3">
      <c r="I990" s="17"/>
      <c r="K990" s="15"/>
    </row>
    <row r="991" spans="9:11" ht="14.25" customHeight="1" x14ac:dyDescent="0.3">
      <c r="I991" s="17"/>
      <c r="K991" s="15"/>
    </row>
    <row r="992" spans="9:11" ht="14.25" customHeight="1" x14ac:dyDescent="0.3">
      <c r="I992" s="17"/>
      <c r="K992" s="15"/>
    </row>
    <row r="993" spans="9:11" ht="14.25" customHeight="1" x14ac:dyDescent="0.3">
      <c r="I993" s="17"/>
      <c r="K993" s="15"/>
    </row>
    <row r="994" spans="9:11" ht="14.25" customHeight="1" x14ac:dyDescent="0.3">
      <c r="I994" s="17"/>
      <c r="K994" s="15"/>
    </row>
    <row r="995" spans="9:11" ht="14.25" customHeight="1" x14ac:dyDescent="0.3">
      <c r="I995" s="17"/>
      <c r="K995" s="15"/>
    </row>
    <row r="996" spans="9:11" ht="14.25" customHeight="1" x14ac:dyDescent="0.3">
      <c r="I996" s="17"/>
      <c r="K996" s="15"/>
    </row>
    <row r="997" spans="9:11" ht="14.25" customHeight="1" x14ac:dyDescent="0.3">
      <c r="I997" s="17"/>
      <c r="K997" s="15"/>
    </row>
    <row r="998" spans="9:11" ht="14.25" customHeight="1" x14ac:dyDescent="0.3">
      <c r="I998" s="17"/>
      <c r="K998" s="15"/>
    </row>
    <row r="999" spans="9:11" ht="14.25" customHeight="1" x14ac:dyDescent="0.3">
      <c r="I999" s="17"/>
      <c r="K999" s="15"/>
    </row>
    <row r="1000" spans="9:11" ht="14.25" customHeight="1" x14ac:dyDescent="0.3">
      <c r="I1000" s="17"/>
      <c r="K1000" s="15"/>
    </row>
    <row r="1001" spans="9:11" ht="14.25" customHeight="1" x14ac:dyDescent="0.3">
      <c r="I1001" s="17"/>
      <c r="K1001" s="15"/>
    </row>
  </sheetData>
  <mergeCells count="15">
    <mergeCell ref="A102:E102"/>
    <mergeCell ref="A101:B101"/>
    <mergeCell ref="A100:B100"/>
    <mergeCell ref="A99:I99"/>
    <mergeCell ref="A97:B97"/>
    <mergeCell ref="B69:K70"/>
    <mergeCell ref="B75:K75"/>
    <mergeCell ref="B81:K82"/>
    <mergeCell ref="B10:K11"/>
    <mergeCell ref="B24:K25"/>
    <mergeCell ref="B31:K31"/>
    <mergeCell ref="B37:K38"/>
    <mergeCell ref="B49:K49"/>
    <mergeCell ref="B55:K56"/>
    <mergeCell ref="B4:K4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tabSelected="1" workbookViewId="0">
      <selection activeCell="E7" sqref="E7:F7"/>
    </sheetView>
  </sheetViews>
  <sheetFormatPr defaultRowHeight="14.4" x14ac:dyDescent="0.3"/>
  <sheetData>
    <row r="1" spans="1:10" ht="16.2" thickBot="1" x14ac:dyDescent="0.35">
      <c r="A1" s="63" t="s">
        <v>115</v>
      </c>
      <c r="B1" s="64"/>
      <c r="C1" s="64"/>
      <c r="D1" s="64"/>
      <c r="E1" s="64"/>
      <c r="F1" s="65"/>
      <c r="G1" s="59"/>
      <c r="H1" s="56"/>
      <c r="I1" s="55"/>
      <c r="J1" s="57"/>
    </row>
    <row r="2" spans="1:10" ht="16.2" thickBot="1" x14ac:dyDescent="0.35">
      <c r="A2" s="77" t="s">
        <v>173</v>
      </c>
      <c r="B2" s="78"/>
      <c r="C2" s="83" t="s">
        <v>174</v>
      </c>
      <c r="D2" s="84"/>
      <c r="E2" s="71" t="s">
        <v>116</v>
      </c>
      <c r="F2" s="72"/>
      <c r="G2" s="58"/>
      <c r="H2" s="56"/>
      <c r="I2" s="55"/>
      <c r="J2" s="57"/>
    </row>
    <row r="3" spans="1:10" ht="15.6" x14ac:dyDescent="0.3">
      <c r="A3" s="79" t="s">
        <v>176</v>
      </c>
      <c r="B3" s="80"/>
      <c r="C3" s="79" t="s">
        <v>178</v>
      </c>
      <c r="D3" s="74"/>
      <c r="E3" s="73">
        <v>35</v>
      </c>
      <c r="F3" s="74"/>
      <c r="G3" s="58"/>
      <c r="H3" s="56"/>
      <c r="I3" s="55"/>
      <c r="J3" s="57"/>
    </row>
    <row r="4" spans="1:10" ht="15.6" x14ac:dyDescent="0.3">
      <c r="A4" s="66" t="s">
        <v>177</v>
      </c>
      <c r="B4" s="81"/>
      <c r="C4" s="66" t="s">
        <v>179</v>
      </c>
      <c r="D4" s="67"/>
      <c r="E4" s="75">
        <v>85</v>
      </c>
      <c r="F4" s="67"/>
      <c r="G4" s="58"/>
      <c r="H4" s="56"/>
      <c r="I4" s="55"/>
      <c r="J4" s="57"/>
    </row>
    <row r="5" spans="1:10" ht="15.6" x14ac:dyDescent="0.3">
      <c r="A5" s="66" t="s">
        <v>180</v>
      </c>
      <c r="B5" s="81"/>
      <c r="C5" s="66" t="s">
        <v>182</v>
      </c>
      <c r="D5" s="67"/>
      <c r="E5" s="75">
        <v>35</v>
      </c>
      <c r="F5" s="67"/>
      <c r="G5" s="58"/>
      <c r="H5" s="56"/>
      <c r="I5" s="55"/>
      <c r="J5" s="57"/>
    </row>
    <row r="6" spans="1:10" ht="15.6" x14ac:dyDescent="0.3">
      <c r="A6" s="60" t="s">
        <v>181</v>
      </c>
      <c r="B6" s="61"/>
      <c r="C6" s="60" t="s">
        <v>183</v>
      </c>
      <c r="D6" s="61"/>
      <c r="E6" s="60">
        <v>85</v>
      </c>
      <c r="F6" s="61"/>
      <c r="G6" s="58"/>
      <c r="H6" s="56"/>
      <c r="I6" s="55"/>
      <c r="J6" s="57"/>
    </row>
    <row r="7" spans="1:10" ht="15.6" x14ac:dyDescent="0.3">
      <c r="A7" s="60" t="s">
        <v>179</v>
      </c>
      <c r="B7" s="61"/>
      <c r="C7" s="60" t="s">
        <v>183</v>
      </c>
      <c r="D7" s="61"/>
      <c r="E7" s="60">
        <v>5</v>
      </c>
      <c r="F7" s="61"/>
      <c r="G7" s="58"/>
      <c r="H7" s="56"/>
      <c r="I7" s="55"/>
      <c r="J7" s="57"/>
    </row>
    <row r="8" spans="1:10" ht="15.6" x14ac:dyDescent="0.3">
      <c r="A8" s="60" t="s">
        <v>182</v>
      </c>
      <c r="B8" s="61"/>
      <c r="C8" s="60" t="s">
        <v>178</v>
      </c>
      <c r="D8" s="61"/>
      <c r="E8" s="60">
        <v>5</v>
      </c>
      <c r="F8" s="61"/>
      <c r="G8" s="58"/>
      <c r="H8" s="56"/>
      <c r="I8" s="55"/>
      <c r="J8" s="57"/>
    </row>
    <row r="9" spans="1:10" ht="15.6" x14ac:dyDescent="0.3">
      <c r="A9" s="60" t="s">
        <v>176</v>
      </c>
      <c r="B9" s="61"/>
      <c r="C9" s="60" t="s">
        <v>180</v>
      </c>
      <c r="D9" s="61"/>
      <c r="E9" s="60">
        <v>5</v>
      </c>
      <c r="F9" s="61"/>
      <c r="G9" s="58"/>
      <c r="H9" s="56"/>
      <c r="I9" s="55"/>
      <c r="J9" s="57"/>
    </row>
    <row r="10" spans="1:10" ht="16.2" thickBot="1" x14ac:dyDescent="0.35">
      <c r="A10" s="68" t="s">
        <v>181</v>
      </c>
      <c r="B10" s="82"/>
      <c r="C10" s="68" t="s">
        <v>177</v>
      </c>
      <c r="D10" s="69"/>
      <c r="E10" s="76">
        <v>5</v>
      </c>
      <c r="F10" s="69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70" t="s">
        <v>117</v>
      </c>
      <c r="B12" s="70"/>
      <c r="C12" s="70"/>
      <c r="D12" s="70"/>
      <c r="E12" s="62">
        <f>SUM(E3:F10)+ 10*COUNT(E3:F10)</f>
        <v>340</v>
      </c>
      <c r="F12" s="62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A3:B3"/>
    <mergeCell ref="A4:B4"/>
    <mergeCell ref="A5:B5"/>
    <mergeCell ref="A10:B10"/>
    <mergeCell ref="C2:D2"/>
    <mergeCell ref="C3:D3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C8:D8"/>
    <mergeCell ref="E8:F8"/>
    <mergeCell ref="E7:F7"/>
    <mergeCell ref="C7:D7"/>
    <mergeCell ref="E12:F12"/>
    <mergeCell ref="C10:D10"/>
    <mergeCell ref="A12:D12"/>
    <mergeCell ref="E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123</v>
      </c>
      <c r="B1" s="21" t="s">
        <v>124</v>
      </c>
      <c r="C1" s="21" t="s">
        <v>125</v>
      </c>
      <c r="D1" s="21" t="s">
        <v>126</v>
      </c>
      <c r="E1" s="21" t="s">
        <v>127</v>
      </c>
      <c r="F1" s="21" t="s">
        <v>128</v>
      </c>
      <c r="G1" s="22" t="s">
        <v>129</v>
      </c>
      <c r="H1" s="20" t="s">
        <v>123</v>
      </c>
    </row>
    <row r="2" spans="1:8" ht="14.25" customHeight="1" x14ac:dyDescent="0.3">
      <c r="A2" s="97" t="s">
        <v>130</v>
      </c>
      <c r="B2" s="23">
        <v>2</v>
      </c>
      <c r="C2" s="24" t="s">
        <v>131</v>
      </c>
      <c r="D2" s="24"/>
      <c r="E2" s="24" t="s">
        <v>132</v>
      </c>
      <c r="F2" s="24">
        <v>0</v>
      </c>
      <c r="G2" s="25">
        <v>0</v>
      </c>
      <c r="H2" s="97" t="s">
        <v>130</v>
      </c>
    </row>
    <row r="3" spans="1:8" ht="14.25" customHeight="1" x14ac:dyDescent="0.3">
      <c r="A3" s="98"/>
      <c r="B3" s="23">
        <v>1</v>
      </c>
      <c r="C3" s="24" t="s">
        <v>133</v>
      </c>
      <c r="D3" s="24"/>
      <c r="E3" s="24"/>
      <c r="F3" s="24">
        <v>0</v>
      </c>
      <c r="G3" s="25">
        <v>0</v>
      </c>
      <c r="H3" s="98"/>
    </row>
    <row r="4" spans="1:8" ht="14.25" customHeight="1" x14ac:dyDescent="0.3">
      <c r="A4" s="98"/>
      <c r="B4" s="23">
        <v>1</v>
      </c>
      <c r="C4" s="24" t="s">
        <v>134</v>
      </c>
      <c r="D4" s="24"/>
      <c r="E4" s="24" t="s">
        <v>135</v>
      </c>
      <c r="F4" s="24">
        <v>750</v>
      </c>
      <c r="G4" s="25">
        <v>200</v>
      </c>
      <c r="H4" s="98"/>
    </row>
    <row r="5" spans="1:8" ht="14.25" customHeight="1" x14ac:dyDescent="0.3">
      <c r="A5" s="98"/>
      <c r="B5" s="23">
        <v>1</v>
      </c>
      <c r="C5" s="24" t="s">
        <v>133</v>
      </c>
      <c r="D5" s="24"/>
      <c r="G5" s="25">
        <v>0</v>
      </c>
      <c r="H5" s="98"/>
    </row>
    <row r="6" spans="1:8" ht="14.25" customHeight="1" x14ac:dyDescent="0.3">
      <c r="A6" s="98"/>
      <c r="B6" s="23">
        <v>1</v>
      </c>
      <c r="C6" s="24" t="s">
        <v>136</v>
      </c>
      <c r="D6" s="24"/>
      <c r="E6" s="24" t="s">
        <v>137</v>
      </c>
      <c r="F6" s="24">
        <v>0</v>
      </c>
      <c r="G6" s="25">
        <v>0</v>
      </c>
      <c r="H6" s="98"/>
    </row>
    <row r="7" spans="1:8" ht="14.25" customHeight="1" x14ac:dyDescent="0.3">
      <c r="A7" s="98"/>
      <c r="B7" s="23">
        <v>1</v>
      </c>
      <c r="C7" s="26" t="s">
        <v>133</v>
      </c>
      <c r="D7" s="24"/>
      <c r="E7" s="24"/>
      <c r="F7" s="24">
        <v>0</v>
      </c>
      <c r="G7" s="25">
        <v>0</v>
      </c>
      <c r="H7" s="98"/>
    </row>
    <row r="8" spans="1:8" ht="14.25" customHeight="1" x14ac:dyDescent="0.3">
      <c r="A8" s="98"/>
      <c r="B8" s="27">
        <v>1</v>
      </c>
      <c r="C8" s="28" t="s">
        <v>138</v>
      </c>
      <c r="D8" s="23"/>
      <c r="E8" s="24" t="s">
        <v>139</v>
      </c>
      <c r="F8" s="24">
        <v>300</v>
      </c>
      <c r="G8" s="25">
        <v>50</v>
      </c>
      <c r="H8" s="98"/>
    </row>
    <row r="9" spans="1:8" ht="14.25" customHeight="1" x14ac:dyDescent="0.3">
      <c r="A9" s="98"/>
      <c r="B9" s="27">
        <v>1</v>
      </c>
      <c r="C9" s="28" t="s">
        <v>133</v>
      </c>
      <c r="D9" s="23"/>
      <c r="F9" s="24"/>
      <c r="G9" s="25"/>
      <c r="H9" s="98"/>
    </row>
    <row r="10" spans="1:8" ht="14.25" customHeight="1" x14ac:dyDescent="0.3">
      <c r="A10" s="98"/>
      <c r="B10" s="27">
        <v>1</v>
      </c>
      <c r="C10" s="29" t="s">
        <v>136</v>
      </c>
      <c r="D10" s="23"/>
      <c r="E10" s="24" t="s">
        <v>137</v>
      </c>
      <c r="F10" s="24"/>
      <c r="G10" s="25"/>
      <c r="H10" s="98"/>
    </row>
    <row r="11" spans="1:8" ht="14.25" customHeight="1" x14ac:dyDescent="0.3">
      <c r="A11" s="98"/>
      <c r="B11" s="23">
        <v>1</v>
      </c>
      <c r="C11" s="30" t="s">
        <v>140</v>
      </c>
      <c r="D11" s="24"/>
      <c r="E11" s="24"/>
      <c r="F11" s="24"/>
      <c r="G11" s="25"/>
      <c r="H11" s="98"/>
    </row>
    <row r="12" spans="1:8" ht="14.25" customHeight="1" x14ac:dyDescent="0.3">
      <c r="A12" s="98"/>
      <c r="B12" s="23">
        <v>1</v>
      </c>
      <c r="C12" s="31" t="s">
        <v>141</v>
      </c>
      <c r="D12" s="24"/>
      <c r="E12" s="24"/>
      <c r="F12" s="24"/>
      <c r="G12" s="25"/>
      <c r="H12" s="98"/>
    </row>
    <row r="13" spans="1:8" ht="14.25" customHeight="1" x14ac:dyDescent="0.3">
      <c r="A13" s="98"/>
      <c r="B13" s="23">
        <v>1</v>
      </c>
      <c r="C13" s="31" t="s">
        <v>142</v>
      </c>
      <c r="D13" s="24"/>
      <c r="E13" s="24"/>
      <c r="F13" s="24"/>
      <c r="G13" s="25"/>
      <c r="H13" s="98"/>
    </row>
    <row r="14" spans="1:8" ht="14.25" customHeight="1" x14ac:dyDescent="0.3">
      <c r="A14" s="98"/>
      <c r="B14" s="23">
        <v>1</v>
      </c>
      <c r="C14" s="24"/>
      <c r="D14" s="24"/>
      <c r="E14" s="24"/>
      <c r="F14" s="24"/>
      <c r="G14" s="25"/>
      <c r="H14" s="98"/>
    </row>
    <row r="15" spans="1:8" ht="14.25" customHeight="1" x14ac:dyDescent="0.3">
      <c r="A15" s="98"/>
      <c r="B15" s="23">
        <v>1</v>
      </c>
      <c r="C15" s="24" t="s">
        <v>136</v>
      </c>
      <c r="D15" s="24"/>
      <c r="E15" s="24"/>
      <c r="F15" s="24"/>
      <c r="G15" s="25"/>
      <c r="H15" s="98"/>
    </row>
    <row r="16" spans="1:8" ht="14.25" customHeight="1" x14ac:dyDescent="0.3">
      <c r="A16" s="98"/>
      <c r="B16" s="23">
        <v>1</v>
      </c>
      <c r="C16" s="24" t="s">
        <v>136</v>
      </c>
      <c r="D16" s="24"/>
      <c r="E16" s="24"/>
      <c r="F16" s="24"/>
      <c r="G16" s="25"/>
      <c r="H16" s="98"/>
    </row>
    <row r="17" spans="1:8" ht="14.25" customHeight="1" x14ac:dyDescent="0.3">
      <c r="A17" s="98"/>
      <c r="B17" s="27">
        <v>7</v>
      </c>
      <c r="C17" s="32"/>
      <c r="D17" s="23"/>
      <c r="E17" s="24"/>
      <c r="F17" s="24"/>
      <c r="G17" s="25"/>
      <c r="H17" s="98"/>
    </row>
    <row r="18" spans="1:8" ht="14.25" customHeight="1" x14ac:dyDescent="0.3">
      <c r="A18" s="98"/>
      <c r="B18" s="27"/>
      <c r="C18" s="33"/>
      <c r="D18" s="23"/>
      <c r="E18" s="24"/>
      <c r="F18" s="24"/>
      <c r="G18" s="25"/>
      <c r="H18" s="98"/>
    </row>
    <row r="19" spans="1:8" ht="14.25" customHeight="1" x14ac:dyDescent="0.3">
      <c r="A19" s="98"/>
      <c r="B19" s="27"/>
      <c r="C19" s="33"/>
      <c r="D19" s="23"/>
      <c r="E19" s="24"/>
      <c r="F19" s="24"/>
      <c r="G19" s="25"/>
      <c r="H19" s="98"/>
    </row>
    <row r="20" spans="1:8" ht="14.25" customHeight="1" x14ac:dyDescent="0.3">
      <c r="A20" s="98"/>
      <c r="B20" s="27"/>
      <c r="C20" s="33"/>
      <c r="D20" s="23"/>
      <c r="E20" s="24"/>
      <c r="F20" s="24"/>
      <c r="G20" s="25"/>
      <c r="H20" s="98"/>
    </row>
    <row r="21" spans="1:8" ht="14.25" customHeight="1" x14ac:dyDescent="0.3">
      <c r="A21" s="98"/>
      <c r="B21" s="27"/>
      <c r="C21" s="33"/>
      <c r="D21" s="23"/>
      <c r="E21" s="24"/>
      <c r="F21" s="24"/>
      <c r="G21" s="25"/>
      <c r="H21" s="98"/>
    </row>
    <row r="22" spans="1:8" ht="14.25" customHeight="1" x14ac:dyDescent="0.3">
      <c r="A22" s="98"/>
      <c r="B22" s="27"/>
      <c r="C22" s="33"/>
      <c r="D22" s="23"/>
      <c r="E22" s="24"/>
      <c r="F22" s="24"/>
      <c r="G22" s="25"/>
      <c r="H22" s="98"/>
    </row>
    <row r="23" spans="1:8" ht="14.25" customHeight="1" x14ac:dyDescent="0.3">
      <c r="A23" s="98"/>
      <c r="B23" s="27"/>
      <c r="C23" s="34"/>
      <c r="D23" s="23"/>
      <c r="E23" s="24"/>
      <c r="F23" s="24"/>
      <c r="G23" s="25"/>
      <c r="H23" s="98"/>
    </row>
    <row r="24" spans="1:8" ht="14.25" customHeight="1" x14ac:dyDescent="0.3">
      <c r="A24" s="98"/>
      <c r="B24" s="23">
        <v>1</v>
      </c>
      <c r="C24" s="24" t="s">
        <v>136</v>
      </c>
      <c r="D24" s="24"/>
      <c r="E24" s="24"/>
      <c r="F24" s="24"/>
      <c r="G24" s="25"/>
      <c r="H24" s="98"/>
    </row>
    <row r="25" spans="1:8" ht="14.25" customHeight="1" x14ac:dyDescent="0.3">
      <c r="A25" s="98"/>
      <c r="B25" s="23">
        <v>1</v>
      </c>
      <c r="C25" s="24" t="s">
        <v>136</v>
      </c>
      <c r="D25" s="24"/>
      <c r="E25" s="24"/>
      <c r="F25" s="24"/>
      <c r="G25" s="25"/>
      <c r="H25" s="98"/>
    </row>
    <row r="26" spans="1:8" ht="14.25" customHeight="1" x14ac:dyDescent="0.3">
      <c r="A26" s="98"/>
      <c r="B26" s="23">
        <v>1</v>
      </c>
      <c r="C26" s="24" t="s">
        <v>136</v>
      </c>
      <c r="D26" s="24"/>
      <c r="E26" s="24"/>
      <c r="F26" s="24"/>
      <c r="G26" s="25"/>
      <c r="H26" s="98"/>
    </row>
    <row r="27" spans="1:8" ht="14.25" customHeight="1" x14ac:dyDescent="0.3">
      <c r="A27" s="98"/>
      <c r="B27" s="23">
        <v>1</v>
      </c>
      <c r="C27" s="24"/>
      <c r="D27" s="24"/>
      <c r="E27" s="24"/>
      <c r="F27" s="24"/>
      <c r="G27" s="25"/>
      <c r="H27" s="98"/>
    </row>
    <row r="28" spans="1:8" ht="14.25" customHeight="1" x14ac:dyDescent="0.3">
      <c r="A28" s="98"/>
      <c r="B28" s="23">
        <v>1</v>
      </c>
      <c r="C28" s="24"/>
      <c r="D28" s="24"/>
      <c r="E28" s="24"/>
      <c r="F28" s="24"/>
      <c r="G28" s="25"/>
      <c r="H28" s="98"/>
    </row>
    <row r="29" spans="1:8" ht="14.25" customHeight="1" x14ac:dyDescent="0.3">
      <c r="A29" s="98"/>
      <c r="B29" s="23">
        <v>1</v>
      </c>
      <c r="C29" s="24" t="s">
        <v>143</v>
      </c>
      <c r="E29" s="24" t="s">
        <v>144</v>
      </c>
      <c r="F29" s="24">
        <v>200</v>
      </c>
      <c r="G29" s="25">
        <v>50</v>
      </c>
      <c r="H29" s="98"/>
    </row>
    <row r="30" spans="1:8" ht="14.25" customHeight="1" x14ac:dyDescent="0.3">
      <c r="A30" s="98"/>
      <c r="B30" s="23">
        <v>6</v>
      </c>
      <c r="C30" s="6" t="s">
        <v>145</v>
      </c>
      <c r="D30" s="24"/>
      <c r="E30" s="24"/>
      <c r="F30" s="24"/>
      <c r="G30" s="25"/>
      <c r="H30" s="98"/>
    </row>
    <row r="31" spans="1:8" ht="14.25" customHeight="1" x14ac:dyDescent="0.3">
      <c r="A31" s="98"/>
      <c r="B31" s="23"/>
      <c r="C31" s="24"/>
      <c r="D31" s="24"/>
      <c r="E31" s="24"/>
      <c r="F31" s="24"/>
      <c r="G31" s="25"/>
      <c r="H31" s="98"/>
    </row>
    <row r="32" spans="1:8" ht="14.25" customHeight="1" x14ac:dyDescent="0.3">
      <c r="A32" s="98"/>
      <c r="B32" s="23"/>
      <c r="C32" s="24"/>
      <c r="D32" s="24"/>
      <c r="E32" s="24"/>
      <c r="F32" s="24"/>
      <c r="G32" s="25"/>
      <c r="H32" s="98"/>
    </row>
    <row r="33" spans="1:8" ht="14.25" customHeight="1" x14ac:dyDescent="0.3">
      <c r="A33" s="98"/>
      <c r="B33" s="23"/>
      <c r="C33" s="24"/>
      <c r="D33" s="24"/>
      <c r="E33" s="24"/>
      <c r="F33" s="24"/>
      <c r="G33" s="25"/>
      <c r="H33" s="98"/>
    </row>
    <row r="34" spans="1:8" ht="14.25" customHeight="1" x14ac:dyDescent="0.3">
      <c r="A34" s="98"/>
      <c r="B34" s="23">
        <v>1</v>
      </c>
      <c r="C34" s="24" t="s">
        <v>136</v>
      </c>
      <c r="D34" s="24"/>
      <c r="E34" s="24" t="s">
        <v>139</v>
      </c>
      <c r="F34" s="24"/>
      <c r="G34" s="25"/>
      <c r="H34" s="98"/>
    </row>
    <row r="35" spans="1:8" ht="14.25" customHeight="1" x14ac:dyDescent="0.3">
      <c r="A35" s="98"/>
      <c r="B35" s="23">
        <v>1</v>
      </c>
      <c r="C35" s="24" t="s">
        <v>146</v>
      </c>
      <c r="D35" s="24"/>
      <c r="E35" s="24"/>
      <c r="F35" s="24"/>
      <c r="G35" s="25"/>
      <c r="H35" s="98"/>
    </row>
    <row r="36" spans="1:8" ht="14.25" customHeight="1" x14ac:dyDescent="0.3">
      <c r="A36" s="98"/>
      <c r="B36" s="23">
        <v>1</v>
      </c>
      <c r="C36" s="24" t="s">
        <v>147</v>
      </c>
      <c r="D36" s="24"/>
      <c r="E36" s="24" t="s">
        <v>135</v>
      </c>
      <c r="F36" s="24">
        <v>750</v>
      </c>
      <c r="G36" s="25">
        <v>200</v>
      </c>
      <c r="H36" s="98"/>
    </row>
    <row r="37" spans="1:8" ht="14.25" customHeight="1" x14ac:dyDescent="0.3">
      <c r="A37" s="98"/>
      <c r="B37" s="23">
        <v>2</v>
      </c>
      <c r="C37" s="24" t="s">
        <v>148</v>
      </c>
      <c r="D37" s="24"/>
      <c r="E37" s="24"/>
      <c r="F37" s="24"/>
      <c r="G37" s="25"/>
      <c r="H37" s="98"/>
    </row>
    <row r="38" spans="1:8" ht="14.25" customHeight="1" x14ac:dyDescent="0.3">
      <c r="A38" s="98"/>
      <c r="B38" s="23">
        <v>4</v>
      </c>
      <c r="C38" s="24" t="s">
        <v>149</v>
      </c>
      <c r="D38" s="24"/>
      <c r="E38" s="24"/>
      <c r="F38" s="35">
        <v>1000</v>
      </c>
      <c r="G38" s="25">
        <v>250</v>
      </c>
      <c r="H38" s="98"/>
    </row>
    <row r="39" spans="1:8" ht="14.25" customHeight="1" x14ac:dyDescent="0.3">
      <c r="A39" s="98"/>
      <c r="B39" s="23">
        <v>4</v>
      </c>
      <c r="C39" s="24" t="s">
        <v>150</v>
      </c>
      <c r="D39" s="24"/>
      <c r="E39" s="24"/>
      <c r="F39" s="35">
        <v>1000</v>
      </c>
      <c r="G39" s="25">
        <v>250</v>
      </c>
      <c r="H39" s="98"/>
    </row>
    <row r="40" spans="1:8" ht="14.25" customHeight="1" x14ac:dyDescent="0.3">
      <c r="A40" s="98"/>
      <c r="B40" s="23"/>
      <c r="C40" s="24"/>
      <c r="D40" s="24"/>
      <c r="E40" s="24"/>
      <c r="F40" s="24"/>
      <c r="G40" s="25"/>
      <c r="H40" s="98"/>
    </row>
    <row r="41" spans="1:8" ht="14.25" customHeight="1" x14ac:dyDescent="0.3">
      <c r="A41" s="98"/>
      <c r="B41" s="23"/>
      <c r="C41" s="24"/>
      <c r="D41" s="24"/>
      <c r="E41" s="24"/>
      <c r="F41" s="24"/>
      <c r="G41" s="25"/>
      <c r="H41" s="98"/>
    </row>
    <row r="42" spans="1:8" ht="14.25" customHeight="1" x14ac:dyDescent="0.3">
      <c r="A42" s="98"/>
      <c r="B42" s="36"/>
      <c r="C42" s="26"/>
      <c r="D42" s="26"/>
      <c r="E42" s="26"/>
      <c r="F42" s="26"/>
      <c r="G42" s="37"/>
      <c r="H42" s="98"/>
    </row>
    <row r="43" spans="1:8" ht="14.25" customHeight="1" x14ac:dyDescent="0.3">
      <c r="A43" s="38" t="s">
        <v>151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152</v>
      </c>
      <c r="F44" s="41">
        <f>F38+F39</f>
        <v>2000</v>
      </c>
    </row>
    <row r="45" spans="1:8" ht="14.25" customHeight="1" x14ac:dyDescent="0.3">
      <c r="F45" s="42" t="s">
        <v>153</v>
      </c>
      <c r="G45" s="42" t="s">
        <v>154</v>
      </c>
    </row>
    <row r="46" spans="1:8" ht="14.25" customHeight="1" x14ac:dyDescent="0.3">
      <c r="C46" s="43" t="s">
        <v>155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156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151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157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158</v>
      </c>
      <c r="D51" s="51">
        <f>COUNTIF(C1:C43,"Patch Pannel UTP")*24</f>
        <v>192</v>
      </c>
      <c r="E51" s="52" t="s">
        <v>159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160</v>
      </c>
      <c r="B53" s="42" t="s">
        <v>161</v>
      </c>
    </row>
    <row r="54" spans="1:7" ht="14.25" customHeight="1" x14ac:dyDescent="0.3">
      <c r="B54" s="42" t="s">
        <v>162</v>
      </c>
    </row>
    <row r="55" spans="1:7" ht="14.25" customHeight="1" x14ac:dyDescent="0.3">
      <c r="B55" s="42" t="s">
        <v>163</v>
      </c>
    </row>
    <row r="56" spans="1:7" ht="14.25" customHeight="1" x14ac:dyDescent="0.3">
      <c r="B56" s="35" t="s">
        <v>164</v>
      </c>
      <c r="C56" s="35"/>
      <c r="D56" s="35"/>
      <c r="E56" s="35"/>
      <c r="F56" s="35"/>
      <c r="G56" s="35"/>
    </row>
    <row r="57" spans="1:7" ht="14.25" customHeight="1" x14ac:dyDescent="0.3">
      <c r="B57" s="42" t="s">
        <v>165</v>
      </c>
    </row>
    <row r="58" spans="1:7" ht="14.25" customHeight="1" x14ac:dyDescent="0.3">
      <c r="B58" s="42" t="s">
        <v>166</v>
      </c>
    </row>
    <row r="59" spans="1:7" ht="14.25" customHeight="1" x14ac:dyDescent="0.3">
      <c r="B59" s="49" t="s">
        <v>167</v>
      </c>
      <c r="C59" s="49"/>
      <c r="D59" s="49"/>
      <c r="E59" s="49"/>
      <c r="F59" s="49"/>
      <c r="G59" s="49"/>
    </row>
    <row r="60" spans="1:7" ht="14.25" customHeight="1" x14ac:dyDescent="0.3">
      <c r="B60" s="49" t="s">
        <v>168</v>
      </c>
      <c r="C60" s="49"/>
      <c r="D60" s="49"/>
      <c r="E60" s="49"/>
      <c r="F60" s="49"/>
      <c r="G60" s="49"/>
    </row>
    <row r="61" spans="1:7" ht="14.25" customHeight="1" x14ac:dyDescent="0.3">
      <c r="B61" s="53" t="s">
        <v>169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170</v>
      </c>
    </row>
    <row r="63" spans="1:7" ht="14.25" customHeight="1" x14ac:dyDescent="0.3">
      <c r="B63" s="42" t="s">
        <v>171</v>
      </c>
    </row>
    <row r="64" spans="1:7" ht="14.25" customHeight="1" x14ac:dyDescent="0.35">
      <c r="B64" s="54" t="s">
        <v>172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Cable</vt:lpstr>
      <vt:lpstr>Fiber</vt:lpstr>
      <vt:lpstr>MDF</vt:lpstr>
      <vt:lpstr>IDF1</vt:lpstr>
      <vt:lpstr>IDF...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Julien Iancu</cp:lastModifiedBy>
  <dcterms:created xsi:type="dcterms:W3CDTF">2020-03-30T08:46:30Z</dcterms:created>
  <dcterms:modified xsi:type="dcterms:W3CDTF">2026-04-02T08:50:59Z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