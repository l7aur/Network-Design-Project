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l7aur\Desktop\CND\CNP\"/>
    </mc:Choice>
  </mc:AlternateContent>
  <xr:revisionPtr revIDLastSave="0" documentId="13_ncr:1_{B0318409-9D07-4107-AD2E-444995DA1C16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Cable" sheetId="1" r:id="rId1"/>
    <sheet name="Fiber" sheetId="5" r:id="rId2"/>
    <sheet name="MDF" sheetId="2" r:id="rId3"/>
    <sheet name="IDF1" sheetId="3" r:id="rId4"/>
    <sheet name="IDF...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8" roundtripDataChecksum="vpr7gDjkRN8q9Ys7u63eYmPyQWwZa9TAs42YaznsvzY="/>
    </ext>
  </extLst>
</workbook>
</file>

<file path=xl/calcChain.xml><?xml version="1.0" encoding="utf-8"?>
<calcChain xmlns="http://schemas.openxmlformats.org/spreadsheetml/2006/main">
  <c r="E12" i="5" l="1"/>
  <c r="H61" i="1" a="1"/>
  <c r="H61" i="1" s="1"/>
  <c r="H60" i="1" a="1"/>
  <c r="H60" i="1" s="1"/>
  <c r="H59" i="1" a="1"/>
  <c r="H59" i="1" s="1"/>
  <c r="H58" i="1" a="1"/>
  <c r="H58" i="1" s="1"/>
  <c r="H57" i="1" a="1"/>
  <c r="H57" i="1" s="1"/>
  <c r="H54" i="1" a="1"/>
  <c r="H54" i="1" s="1"/>
  <c r="H53" i="1" a="1"/>
  <c r="H53" i="1" s="1"/>
  <c r="H52" i="1" a="1"/>
  <c r="H52" i="1" s="1"/>
  <c r="H51" i="1" a="1"/>
  <c r="H51" i="1" s="1"/>
  <c r="H50" i="1" a="1"/>
  <c r="H50" i="1"/>
  <c r="H48" i="1" a="1"/>
  <c r="H48" i="1" s="1"/>
  <c r="H47" i="1" a="1"/>
  <c r="H47" i="1" s="1"/>
  <c r="H44" i="1" a="1"/>
  <c r="H44" i="1" s="1"/>
  <c r="H43" i="1" a="1"/>
  <c r="H43" i="1" s="1"/>
  <c r="H42" i="1" a="1"/>
  <c r="H42" i="1" s="1"/>
  <c r="H41" i="1" a="1"/>
  <c r="H41" i="1" s="1"/>
  <c r="H40" i="1" a="1"/>
  <c r="H40" i="1" s="1"/>
  <c r="H39" i="1" a="1"/>
  <c r="H39" i="1" s="1"/>
  <c r="H36" i="1" a="1"/>
  <c r="H36" i="1" s="1"/>
  <c r="H35" i="1" a="1"/>
  <c r="H35" i="1" s="1"/>
  <c r="H34" i="1" a="1"/>
  <c r="H34" i="1" s="1"/>
  <c r="H33" i="1" a="1"/>
  <c r="H33" i="1" s="1"/>
  <c r="H32" i="1" a="1"/>
  <c r="H32" i="1" s="1"/>
  <c r="H30" i="1" a="1"/>
  <c r="H30" i="1" s="1"/>
  <c r="H28" i="1" a="1"/>
  <c r="H28" i="1" s="1"/>
  <c r="H29" i="1" a="1"/>
  <c r="H29" i="1" s="1"/>
  <c r="H27" i="1" a="1"/>
  <c r="H27" i="1" s="1"/>
  <c r="H26" i="1" a="1"/>
  <c r="H26" i="1" s="1"/>
  <c r="H23" i="1" a="1"/>
  <c r="H23" i="1" s="1"/>
  <c r="H22" i="1" a="1"/>
  <c r="H22" i="1" s="1"/>
  <c r="H17" i="1" a="1"/>
  <c r="H17" i="1" s="1"/>
  <c r="H19" i="1" a="1"/>
  <c r="H19" i="1" s="1"/>
  <c r="H18" i="1" a="1"/>
  <c r="H18" i="1" s="1"/>
  <c r="H16" i="1" a="1"/>
  <c r="H16" i="1" s="1"/>
  <c r="H15" i="1" a="1"/>
  <c r="H15" i="1"/>
  <c r="H14" i="1" a="1"/>
  <c r="H14" i="1" s="1"/>
  <c r="H62" i="1" a="1"/>
  <c r="H62" i="1"/>
  <c r="H63" i="1" a="1"/>
  <c r="H63" i="1" s="1"/>
  <c r="H64" i="1" a="1"/>
  <c r="H64" i="1" s="1"/>
  <c r="H67" i="1" a="1"/>
  <c r="H67" i="1" s="1"/>
  <c r="H68" i="1" a="1"/>
  <c r="H68" i="1" s="1"/>
  <c r="H71" i="1" a="1"/>
  <c r="H71" i="1" s="1"/>
  <c r="H72" i="1" a="1"/>
  <c r="H72" i="1" s="1"/>
  <c r="H73" i="1" a="1"/>
  <c r="H73" i="1"/>
  <c r="H74" i="1" a="1"/>
  <c r="H74" i="1" s="1"/>
  <c r="H76" i="1" a="1"/>
  <c r="H76" i="1" s="1"/>
  <c r="H77" i="1" a="1"/>
  <c r="H77" i="1" s="1"/>
  <c r="H78" i="1" a="1"/>
  <c r="H78" i="1" s="1"/>
  <c r="H79" i="1" a="1"/>
  <c r="H79" i="1" s="1"/>
  <c r="H80" i="1" a="1"/>
  <c r="H80" i="1" s="1"/>
  <c r="H83" i="1" a="1"/>
  <c r="H83" i="1" s="1"/>
  <c r="H84" i="1" a="1"/>
  <c r="H84" i="1" s="1"/>
  <c r="H85" i="1" a="1"/>
  <c r="H85" i="1" s="1"/>
  <c r="H87" i="1" a="1"/>
  <c r="H87" i="1" s="1"/>
  <c r="H88" i="1" a="1"/>
  <c r="H88" i="1" s="1"/>
  <c r="H86" i="1" a="1"/>
  <c r="H86" i="1" s="1"/>
  <c r="H13" i="1" a="1"/>
  <c r="H13" i="1" s="1"/>
  <c r="H12" i="1" a="1"/>
  <c r="H12" i="1" s="1"/>
  <c r="H9" i="1" a="1"/>
  <c r="H9" i="1" s="1"/>
  <c r="H8" i="1" a="1"/>
  <c r="H8" i="1" s="1"/>
  <c r="H7" i="1" a="1"/>
  <c r="H7" i="1" s="1"/>
  <c r="H5" i="1" a="1"/>
  <c r="H5" i="1"/>
  <c r="H6" i="1" a="1"/>
  <c r="H6" i="1" s="1"/>
  <c r="H3" i="1" a="1"/>
  <c r="H3" i="1" s="1"/>
  <c r="H2" i="1" a="1"/>
  <c r="H2" i="1" s="1"/>
  <c r="D51" i="2"/>
  <c r="G49" i="2"/>
  <c r="F49" i="2"/>
  <c r="F44" i="2"/>
  <c r="G43" i="2"/>
  <c r="F43" i="2"/>
  <c r="B43" i="2"/>
  <c r="E88" i="1"/>
  <c r="F88" i="1" s="1"/>
  <c r="E87" i="1"/>
  <c r="F87" i="1" s="1"/>
  <c r="E86" i="1"/>
  <c r="F86" i="1" s="1"/>
  <c r="E85" i="1"/>
  <c r="F85" i="1" s="1"/>
  <c r="E84" i="1"/>
  <c r="F84" i="1" s="1"/>
  <c r="E83" i="1"/>
  <c r="F83" i="1" s="1"/>
  <c r="E80" i="1"/>
  <c r="F80" i="1" s="1"/>
  <c r="E79" i="1"/>
  <c r="F79" i="1" s="1"/>
  <c r="E78" i="1"/>
  <c r="F78" i="1" s="1"/>
  <c r="E77" i="1"/>
  <c r="F77" i="1" s="1"/>
  <c r="E76" i="1"/>
  <c r="F76" i="1" s="1"/>
  <c r="E74" i="1"/>
  <c r="F74" i="1" s="1"/>
  <c r="E73" i="1"/>
  <c r="F73" i="1" s="1"/>
  <c r="F72" i="1"/>
  <c r="E72" i="1"/>
  <c r="E71" i="1"/>
  <c r="F71" i="1" s="1"/>
  <c r="E68" i="1"/>
  <c r="F68" i="1" s="1"/>
  <c r="E67" i="1"/>
  <c r="F67" i="1" s="1"/>
  <c r="E64" i="1"/>
  <c r="F64" i="1" s="1"/>
  <c r="E63" i="1"/>
  <c r="F63" i="1" s="1"/>
  <c r="E62" i="1"/>
  <c r="F62" i="1" s="1"/>
  <c r="E61" i="1"/>
  <c r="F61" i="1" s="1"/>
  <c r="E60" i="1"/>
  <c r="F60" i="1" s="1"/>
  <c r="E59" i="1"/>
  <c r="F59" i="1" s="1"/>
  <c r="E58" i="1"/>
  <c r="F58" i="1" s="1"/>
  <c r="E57" i="1"/>
  <c r="F57" i="1" s="1"/>
  <c r="E54" i="1"/>
  <c r="F54" i="1" s="1"/>
  <c r="F53" i="1"/>
  <c r="E53" i="1"/>
  <c r="E52" i="1"/>
  <c r="F52" i="1" s="1"/>
  <c r="E51" i="1"/>
  <c r="F51" i="1" s="1"/>
  <c r="E50" i="1"/>
  <c r="F50" i="1" s="1"/>
  <c r="E48" i="1"/>
  <c r="F48" i="1" s="1"/>
  <c r="E47" i="1"/>
  <c r="F47" i="1" s="1"/>
  <c r="F44" i="1"/>
  <c r="E44" i="1"/>
  <c r="E43" i="1"/>
  <c r="F43" i="1" s="1"/>
  <c r="E42" i="1"/>
  <c r="F42" i="1" s="1"/>
  <c r="E41" i="1"/>
  <c r="F41" i="1" s="1"/>
  <c r="E40" i="1"/>
  <c r="F40" i="1" s="1"/>
  <c r="E39" i="1"/>
  <c r="F39" i="1" s="1"/>
  <c r="E36" i="1"/>
  <c r="F36" i="1" s="1"/>
  <c r="E35" i="1"/>
  <c r="F35" i="1" s="1"/>
  <c r="E34" i="1"/>
  <c r="F34" i="1" s="1"/>
  <c r="E33" i="1"/>
  <c r="F33" i="1" s="1"/>
  <c r="E32" i="1"/>
  <c r="F32" i="1" s="1"/>
  <c r="E30" i="1"/>
  <c r="F30" i="1" s="1"/>
  <c r="E29" i="1"/>
  <c r="F29" i="1" s="1"/>
  <c r="E28" i="1"/>
  <c r="F28" i="1" s="1"/>
  <c r="E27" i="1"/>
  <c r="F27" i="1" s="1"/>
  <c r="E26" i="1"/>
  <c r="F26" i="1" s="1"/>
  <c r="E23" i="1"/>
  <c r="F23" i="1" s="1"/>
  <c r="E22" i="1"/>
  <c r="F22" i="1" s="1"/>
  <c r="E19" i="1"/>
  <c r="F19" i="1" s="1"/>
  <c r="E18" i="1"/>
  <c r="F18" i="1" s="1"/>
  <c r="E17" i="1"/>
  <c r="F17" i="1" s="1"/>
  <c r="E16" i="1"/>
  <c r="F16" i="1" s="1"/>
  <c r="E15" i="1"/>
  <c r="F15" i="1" s="1"/>
  <c r="E14" i="1"/>
  <c r="F14" i="1" s="1"/>
  <c r="E13" i="1"/>
  <c r="F13" i="1" s="1"/>
  <c r="E12" i="1"/>
  <c r="F12" i="1" s="1"/>
  <c r="E9" i="1"/>
  <c r="F9" i="1" s="1"/>
  <c r="F8" i="1"/>
  <c r="E8" i="1"/>
  <c r="E7" i="1"/>
  <c r="F7" i="1" s="1"/>
  <c r="E6" i="1"/>
  <c r="F6" i="1" s="1"/>
  <c r="E5" i="1"/>
  <c r="F5" i="1" s="1"/>
  <c r="E3" i="1"/>
  <c r="F3" i="1" s="1"/>
  <c r="E2" i="1"/>
  <c r="F2" i="1" s="1"/>
  <c r="I5" i="1" l="1"/>
  <c r="I47" i="1"/>
  <c r="I8" i="1"/>
  <c r="I77" i="1"/>
  <c r="I39" i="1"/>
  <c r="I59" i="1"/>
  <c r="I64" i="1"/>
  <c r="I51" i="1"/>
  <c r="I26" i="1"/>
  <c r="I43" i="1"/>
  <c r="I52" i="1"/>
  <c r="I71" i="1"/>
  <c r="I61" i="1"/>
  <c r="I88" i="1"/>
  <c r="I74" i="1"/>
  <c r="I34" i="1"/>
  <c r="I60" i="1"/>
  <c r="I18" i="1"/>
  <c r="I36" i="1"/>
  <c r="I83" i="1"/>
  <c r="I68" i="1"/>
  <c r="I29" i="1"/>
  <c r="I53" i="1"/>
  <c r="I80" i="1"/>
  <c r="I73" i="1"/>
  <c r="I76" i="1"/>
  <c r="I58" i="1"/>
  <c r="I13" i="1"/>
  <c r="I30" i="1"/>
  <c r="I84" i="1"/>
  <c r="I44" i="1"/>
  <c r="I15" i="1"/>
  <c r="I23" i="1"/>
  <c r="I32" i="1"/>
  <c r="I79" i="1"/>
  <c r="I87" i="1"/>
  <c r="I7" i="1"/>
  <c r="I9" i="1"/>
  <c r="I16" i="1"/>
  <c r="I40" i="1"/>
  <c r="I85" i="1"/>
  <c r="I3" i="1"/>
  <c r="I62" i="1"/>
  <c r="I33" i="1"/>
  <c r="I17" i="1"/>
  <c r="I48" i="1"/>
  <c r="I12" i="1"/>
  <c r="I27" i="1"/>
  <c r="I41" i="1"/>
  <c r="I57" i="1"/>
  <c r="I6" i="1"/>
  <c r="I28" i="1"/>
  <c r="I78" i="1"/>
  <c r="I19" i="1"/>
  <c r="I42" i="1"/>
  <c r="I50" i="1"/>
  <c r="I86" i="1"/>
  <c r="I14" i="1"/>
  <c r="I35" i="1"/>
  <c r="I63" i="1"/>
  <c r="I72" i="1"/>
  <c r="F65" i="1"/>
  <c r="I2" i="1"/>
  <c r="F20" i="1"/>
  <c r="F89" i="1"/>
  <c r="I67" i="1"/>
  <c r="I54" i="1"/>
  <c r="I22" i="1"/>
  <c r="F45" i="1"/>
  <c r="I89" i="1" l="1"/>
  <c r="I65" i="1"/>
  <c r="I45" i="1"/>
  <c r="I20" i="1"/>
  <c r="F91" i="1"/>
  <c r="I91" i="1" l="1"/>
  <c r="C97" i="1" s="1"/>
  <c r="I93" i="1" l="1"/>
  <c r="I9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H1" authorId="0" shapeId="0" xr:uid="{00000000-0006-0000-0000-000002000000}">
      <text>
        <r>
          <rPr>
            <sz val="11"/>
            <color theme="1"/>
            <rFont val="Calibri"/>
            <scheme val="minor"/>
          </rPr>
          <t>======
ID#AAAB25SOS0w
Emil Cebuc    (2026-04-01 14:28:17)
From detaild design</t>
        </r>
      </text>
    </comment>
    <comment ref="I1" authorId="0" shapeId="0" xr:uid="{00000000-0006-0000-0000-000001000000}">
      <text>
        <r>
          <rPr>
            <sz val="11"/>
            <color theme="1"/>
            <rFont val="Calibri"/>
            <scheme val="minor"/>
          </rPr>
          <t>======
ID#AAAB25SOS00
Emil Cebuc    (2026-04-01 14:28:17)
3m for in rack cabling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q3c4KQOOLpkQlWoXbJ9lmgDKqvQ=="/>
    </ext>
  </extL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<sst xmlns="http://schemas.openxmlformats.org/spreadsheetml/2006/main" count="330" uniqueCount="183">
  <si>
    <t>Room Nr</t>
  </si>
  <si>
    <t>Connected to DF</t>
  </si>
  <si>
    <t>Length m</t>
  </si>
  <si>
    <t>Width m</t>
  </si>
  <si>
    <t>Size sqm</t>
  </si>
  <si>
    <t>Nr Dou_Outlets</t>
  </si>
  <si>
    <t>Dist_To_DF</t>
  </si>
  <si>
    <t>AVG_In Room</t>
  </si>
  <si>
    <t>Cable for room</t>
  </si>
  <si>
    <t>Room Type</t>
  </si>
  <si>
    <t>1.1</t>
  </si>
  <si>
    <t>MDF</t>
  </si>
  <si>
    <t>A</t>
  </si>
  <si>
    <t>1.2</t>
  </si>
  <si>
    <t>B</t>
  </si>
  <si>
    <t>1.3</t>
  </si>
  <si>
    <t>1.4</t>
  </si>
  <si>
    <t>C</t>
  </si>
  <si>
    <t>1.5</t>
  </si>
  <si>
    <t>1.6</t>
  </si>
  <si>
    <t>1.7</t>
  </si>
  <si>
    <t>1.8</t>
  </si>
  <si>
    <t>1.9</t>
  </si>
  <si>
    <t>BATHROOM</t>
  </si>
  <si>
    <t>1.10</t>
  </si>
  <si>
    <t>1.11</t>
  </si>
  <si>
    <t>D</t>
  </si>
  <si>
    <t>1.12</t>
  </si>
  <si>
    <t>F</t>
  </si>
  <si>
    <t>1.13</t>
  </si>
  <si>
    <t>E</t>
  </si>
  <si>
    <t>1.14</t>
  </si>
  <si>
    <t>1.15</t>
  </si>
  <si>
    <t>1.16</t>
  </si>
  <si>
    <t>1.17</t>
  </si>
  <si>
    <t>1.22</t>
  </si>
  <si>
    <t>G</t>
  </si>
  <si>
    <t>Subtotal MDF</t>
  </si>
  <si>
    <t>1.18</t>
  </si>
  <si>
    <t>IDF1</t>
  </si>
  <si>
    <t>1.19</t>
  </si>
  <si>
    <t>1.20</t>
  </si>
  <si>
    <t>1.21</t>
  </si>
  <si>
    <t>1.23</t>
  </si>
  <si>
    <t>1.24</t>
  </si>
  <si>
    <t>H</t>
  </si>
  <si>
    <t>1.25</t>
  </si>
  <si>
    <t>1.26</t>
  </si>
  <si>
    <t>I</t>
  </si>
  <si>
    <t>1.27</t>
  </si>
  <si>
    <t>1.28</t>
  </si>
  <si>
    <t>1.29</t>
  </si>
  <si>
    <t>J</t>
  </si>
  <si>
    <t>1.30</t>
  </si>
  <si>
    <t>1.31</t>
  </si>
  <si>
    <t>1.32</t>
  </si>
  <si>
    <t>1.33</t>
  </si>
  <si>
    <t>1.34</t>
  </si>
  <si>
    <t>1.35</t>
  </si>
  <si>
    <t>1.36</t>
  </si>
  <si>
    <t>K</t>
  </si>
  <si>
    <t>1.37</t>
  </si>
  <si>
    <t>1.38</t>
  </si>
  <si>
    <t>1.39</t>
  </si>
  <si>
    <t>1.40</t>
  </si>
  <si>
    <t>1.41</t>
  </si>
  <si>
    <t>Subtotal IDF1</t>
  </si>
  <si>
    <t>2.1</t>
  </si>
  <si>
    <t>IDF2</t>
  </si>
  <si>
    <t>2.2</t>
  </si>
  <si>
    <t>2.3</t>
  </si>
  <si>
    <t>2.4</t>
  </si>
  <si>
    <t>2.5</t>
  </si>
  <si>
    <t>2.6</t>
  </si>
  <si>
    <t>2.7</t>
  </si>
  <si>
    <t>2.8</t>
  </si>
  <si>
    <t>2.9</t>
  </si>
  <si>
    <t>2.10</t>
  </si>
  <si>
    <t>2.11</t>
  </si>
  <si>
    <t>2.12</t>
  </si>
  <si>
    <t>2.13</t>
  </si>
  <si>
    <t>2.14</t>
  </si>
  <si>
    <t>2.15</t>
  </si>
  <si>
    <t>2.16</t>
  </si>
  <si>
    <t>2.17</t>
  </si>
  <si>
    <t>2.22</t>
  </si>
  <si>
    <t>Subtotal IDF2</t>
  </si>
  <si>
    <t>2.18</t>
  </si>
  <si>
    <t>IDF3</t>
  </si>
  <si>
    <t>2.19</t>
  </si>
  <si>
    <t>2.20</t>
  </si>
  <si>
    <t>2.21</t>
  </si>
  <si>
    <t>2.23</t>
  </si>
  <si>
    <t>2.24/25</t>
  </si>
  <si>
    <t>L</t>
  </si>
  <si>
    <t>2.26</t>
  </si>
  <si>
    <t>2.27</t>
  </si>
  <si>
    <t>2.28</t>
  </si>
  <si>
    <t>2.29</t>
  </si>
  <si>
    <t>2.30</t>
  </si>
  <si>
    <t>2.31</t>
  </si>
  <si>
    <t>2.32</t>
  </si>
  <si>
    <t>2.33</t>
  </si>
  <si>
    <t>2.34</t>
  </si>
  <si>
    <t>2.35</t>
  </si>
  <si>
    <t>2.36</t>
  </si>
  <si>
    <t>2.37</t>
  </si>
  <si>
    <t>2.38</t>
  </si>
  <si>
    <t>2.39</t>
  </si>
  <si>
    <t>2.40</t>
  </si>
  <si>
    <t>2.41</t>
  </si>
  <si>
    <t>Subtotal IDF3</t>
  </si>
  <si>
    <t>Total_Build</t>
  </si>
  <si>
    <t>305M Boxes</t>
  </si>
  <si>
    <t>2km Rols</t>
  </si>
  <si>
    <t>Fiber optic cable length</t>
  </si>
  <si>
    <t>Length (m)</t>
  </si>
  <si>
    <t>A0</t>
  </si>
  <si>
    <t>B0</t>
  </si>
  <si>
    <t>B1</t>
  </si>
  <si>
    <t>A1</t>
  </si>
  <si>
    <t>C0</t>
  </si>
  <si>
    <t>D0</t>
  </si>
  <si>
    <t>D1</t>
  </si>
  <si>
    <t>C1</t>
  </si>
  <si>
    <t>Total fiber optic cable length</t>
  </si>
  <si>
    <t>To check AVG linkspan</t>
  </si>
  <si>
    <t>Adapt technical reserve amount of cable according to design, example is for 3m, could be more</t>
  </si>
  <si>
    <t>Do not change</t>
  </si>
  <si>
    <t>From your design</t>
  </si>
  <si>
    <t>From detailed calcullus of prototype room/rooms</t>
  </si>
  <si>
    <t>ORG Vert</t>
  </si>
  <si>
    <t>Spatiu ocupat in U</t>
  </si>
  <si>
    <t>Denumire/ tip echipament</t>
  </si>
  <si>
    <t xml:space="preserve">Model </t>
  </si>
  <si>
    <t>Scurta descriere/ nr porturi</t>
  </si>
  <si>
    <t>Putere electrica necesara W</t>
  </si>
  <si>
    <t>Caldura disipata BTU</t>
  </si>
  <si>
    <t>Organizator de cabluri vertical</t>
  </si>
  <si>
    <t>Patch Pannel FO</t>
  </si>
  <si>
    <t>12 tip? Connector</t>
  </si>
  <si>
    <t>Organizer orizontal</t>
  </si>
  <si>
    <t>Switch TOR</t>
  </si>
  <si>
    <t>24 UTP/PoE+6FO</t>
  </si>
  <si>
    <t>Patch Pannel UTP</t>
  </si>
  <si>
    <t>24 UTP Cat6</t>
  </si>
  <si>
    <t>Switch L2</t>
  </si>
  <si>
    <t>24 UTP</t>
  </si>
  <si>
    <t>….. Se repeta pina se pun</t>
  </si>
  <si>
    <t>toate PP UTP si SWL2</t>
  </si>
  <si>
    <t>necesare</t>
  </si>
  <si>
    <t>Controller Wireless</t>
  </si>
  <si>
    <t>50AP/1000useri</t>
  </si>
  <si>
    <t>Liber pt dezvoltari ulterioare</t>
  </si>
  <si>
    <t>Organizer Orizontal</t>
  </si>
  <si>
    <t>Switch BOR</t>
  </si>
  <si>
    <t>Firewall</t>
  </si>
  <si>
    <t>UPS1</t>
  </si>
  <si>
    <t>UPS2</t>
  </si>
  <si>
    <t>Total</t>
  </si>
  <si>
    <t>Putere disponibila in UPS</t>
  </si>
  <si>
    <t>Consum  electric AC</t>
  </si>
  <si>
    <t>Racire AC</t>
  </si>
  <si>
    <t>AC 1</t>
  </si>
  <si>
    <t>AC 2</t>
  </si>
  <si>
    <t>Nr prize simple de conectat la acest DF, valoarea se ia din etapa 2</t>
  </si>
  <si>
    <t>Nr prize disponibil in PP UTP in acest rack</t>
  </si>
  <si>
    <t>Formula se modifica daca utilizati PP cu alt numar de prize, 24, 48 etc.</t>
  </si>
  <si>
    <t>Note</t>
  </si>
  <si>
    <t>Se lasa loc liber in Rack cca 10-20% din spatiu pentru dezvoltari ulterioare</t>
  </si>
  <si>
    <t>Daca nu incape intrun singur Rack se pot pune mai multe in fieacre DF, UPS /uri se pun in fiecare Rack</t>
  </si>
  <si>
    <t>Rack sunt de maxim 48 U sau 52 U inaltime</t>
  </si>
  <si>
    <t>Puterea disponibila in UPS sa fie cu 30% mai mare decat total putere necesar</t>
  </si>
  <si>
    <t>Daca sunt mai multe UPS-uri se distribuie sarcina intre ele</t>
  </si>
  <si>
    <t>Capacitatea bateriilor/acumultorilor din UPS se determina in asa fel incat sa asigure o functionare de 30 la 60 minute la sarcina medie</t>
  </si>
  <si>
    <t>Total porturi UTP din Switchuri intre 70 si 100 % din nr de prize simple care se conecteaza la un DF, functie de strategia aleasa</t>
  </si>
  <si>
    <t xml:space="preserve"> nr de porturi total din Patch Pannel UTP trebuie sa fie mai mare sau egal cu nr de prize simple care se conecteaza la un DF</t>
  </si>
  <si>
    <t>Echipamentele de racire se pun in fiecare DF si vor trebuii sa aibe capacitatea de racire cu cca 30% mai mare decat total Caldura dispata</t>
  </si>
  <si>
    <t>Echipamentele de racire, Aer Conditionat de uz industrial nu sunt alimentate din UPS</t>
  </si>
  <si>
    <t>Foia de calcul se replica pentru fiecare DF in parte</t>
  </si>
  <si>
    <t>Valorile din exemple sunt arbitrare si vor trebuii inlocuite cu date din fisa tehnica a echipamentelor alese pentru proiect</t>
  </si>
  <si>
    <t>Cable Source</t>
  </si>
  <si>
    <t>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</si>
</sst>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  <font>
      <sz val="11"/>
      <name val="Calibri"/>
    </font>
    <font>
      <b/>
      <sz val="12"/>
      <color theme="1"/>
      <name val="Calibri"/>
    </font>
    <font>
      <sz val="11"/>
      <color theme="1"/>
      <name val="Calibri"/>
      <scheme val="minor"/>
    </font>
    <font>
      <sz val="12"/>
      <color rgb="FF000000"/>
      <name val="Calibri"/>
    </font>
    <font>
      <sz val="12"/>
      <color theme="1"/>
      <name val="Calibri"/>
    </font>
    <font>
      <b/>
      <sz val="14"/>
      <color theme="1"/>
      <name val="Calibri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B4C6E7"/>
        <bgColor rgb="FFB4C6E7"/>
      </patternFill>
    </fill>
    <fill>
      <patternFill patternType="solid">
        <fgColor rgb="FFFFFF00"/>
        <bgColor rgb="FFFFFF00"/>
      </patternFill>
    </fill>
    <fill>
      <patternFill patternType="solid">
        <fgColor rgb="FFFBE4D5"/>
        <bgColor rgb="FFFBE4D5"/>
      </patternFill>
    </fill>
    <fill>
      <patternFill patternType="solid">
        <fgColor rgb="FFD6DCE4"/>
        <bgColor rgb="FFD6DCE4"/>
      </patternFill>
    </fill>
    <fill>
      <patternFill patternType="solid">
        <fgColor rgb="FFC5E0B3"/>
        <bgColor rgb="FFC5E0B3"/>
      </patternFill>
    </fill>
    <fill>
      <patternFill patternType="solid">
        <fgColor rgb="FF9999FF"/>
        <bgColor rgb="FF9999FF"/>
      </patternFill>
    </fill>
    <fill>
      <patternFill patternType="solid">
        <fgColor rgb="FFC00000"/>
        <bgColor rgb="FFC00000"/>
      </patternFill>
    </fill>
    <fill>
      <patternFill patternType="solid">
        <fgColor rgb="FFF7CAAC"/>
        <bgColor rgb="FFF7CAAC"/>
      </patternFill>
    </fill>
    <fill>
      <patternFill patternType="solid">
        <fgColor rgb="FFA8D08D"/>
        <bgColor rgb="FFA8D08D"/>
      </patternFill>
    </fill>
    <fill>
      <patternFill patternType="solid">
        <fgColor rgb="FFFFE598"/>
        <bgColor rgb="FFFFE598"/>
      </patternFill>
    </fill>
    <fill>
      <patternFill patternType="solid">
        <fgColor rgb="FF92D050"/>
        <bgColor rgb="FF92D050"/>
      </patternFill>
    </fill>
    <fill>
      <patternFill patternType="solid">
        <fgColor rgb="FF00B0F0"/>
        <bgColor rgb="FF00B0F0"/>
      </patternFill>
    </fill>
    <fill>
      <patternFill patternType="solid">
        <fgColor rgb="FFD9E2F3"/>
        <bgColor rgb="FFD9E2F3"/>
      </patternFill>
    </fill>
    <fill>
      <patternFill patternType="solid">
        <fgColor rgb="FFFF0000"/>
        <bgColor rgb="FFFF0000"/>
      </patternFill>
    </fill>
  </fills>
  <borders count="5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6">
    <xf numFmtId="0" fontId="0" fillId="0" borderId="0" xfId="0"/>
    <xf numFmtId="0" fontId="1" fillId="0" borderId="1" xfId="0" applyFont="1" applyBorder="1"/>
    <xf numFmtId="2" fontId="1" fillId="0" borderId="1" xfId="0" applyNumberFormat="1" applyFont="1" applyBorder="1"/>
    <xf numFmtId="49" fontId="1" fillId="0" borderId="1" xfId="0" applyNumberFormat="1" applyFont="1" applyBorder="1"/>
    <xf numFmtId="49" fontId="2" fillId="2" borderId="1" xfId="0" applyNumberFormat="1" applyFont="1" applyFill="1" applyBorder="1"/>
    <xf numFmtId="2" fontId="2" fillId="2" borderId="1" xfId="0" applyNumberFormat="1" applyFont="1" applyFill="1" applyBorder="1"/>
    <xf numFmtId="0" fontId="2" fillId="3" borderId="1" xfId="0" applyFont="1" applyFill="1" applyBorder="1"/>
    <xf numFmtId="0" fontId="2" fillId="2" borderId="1" xfId="0" applyFont="1" applyFill="1" applyBorder="1"/>
    <xf numFmtId="2" fontId="2" fillId="4" borderId="1" xfId="0" applyNumberFormat="1" applyFont="1" applyFill="1" applyBorder="1"/>
    <xf numFmtId="0" fontId="2" fillId="5" borderId="1" xfId="0" applyFont="1" applyFill="1" applyBorder="1"/>
    <xf numFmtId="49" fontId="2" fillId="6" borderId="1" xfId="0" applyNumberFormat="1" applyFont="1" applyFill="1" applyBorder="1"/>
    <xf numFmtId="49" fontId="2" fillId="7" borderId="1" xfId="0" applyNumberFormat="1" applyFont="1" applyFill="1" applyBorder="1"/>
    <xf numFmtId="49" fontId="2" fillId="8" borderId="1" xfId="0" applyNumberFormat="1" applyFont="1" applyFill="1" applyBorder="1"/>
    <xf numFmtId="0" fontId="1" fillId="0" borderId="0" xfId="0" applyFont="1"/>
    <xf numFmtId="2" fontId="1" fillId="0" borderId="0" xfId="0" applyNumberFormat="1" applyFont="1"/>
    <xf numFmtId="49" fontId="2" fillId="0" borderId="0" xfId="0" applyNumberFormat="1" applyFont="1"/>
    <xf numFmtId="2" fontId="2" fillId="9" borderId="1" xfId="0" applyNumberFormat="1" applyFont="1" applyFill="1" applyBorder="1"/>
    <xf numFmtId="2" fontId="2" fillId="0" borderId="0" xfId="0" applyNumberFormat="1" applyFont="1"/>
    <xf numFmtId="0" fontId="4" fillId="0" borderId="0" xfId="0" applyFont="1"/>
    <xf numFmtId="2" fontId="4" fillId="0" borderId="0" xfId="0" applyNumberFormat="1" applyFont="1"/>
    <xf numFmtId="0" fontId="2" fillId="0" borderId="14" xfId="0" applyFont="1" applyBorder="1"/>
    <xf numFmtId="0" fontId="2" fillId="0" borderId="15" xfId="0" applyFont="1" applyBorder="1"/>
    <xf numFmtId="0" fontId="2" fillId="0" borderId="16" xfId="0" applyFont="1" applyBorder="1"/>
    <xf numFmtId="0" fontId="2" fillId="0" borderId="4" xfId="0" applyFont="1" applyBorder="1"/>
    <xf numFmtId="0" fontId="2" fillId="0" borderId="1" xfId="0" applyFont="1" applyBorder="1"/>
    <xf numFmtId="0" fontId="2" fillId="0" borderId="18" xfId="0" applyFont="1" applyBorder="1"/>
    <xf numFmtId="0" fontId="2" fillId="0" borderId="20" xfId="0" applyFont="1" applyBorder="1"/>
    <xf numFmtId="0" fontId="2" fillId="0" borderId="3" xfId="0" applyFont="1" applyBorder="1"/>
    <xf numFmtId="0" fontId="7" fillId="10" borderId="21" xfId="0" applyFont="1" applyFill="1" applyBorder="1"/>
    <xf numFmtId="0" fontId="7" fillId="10" borderId="22" xfId="0" applyFont="1" applyFill="1" applyBorder="1"/>
    <xf numFmtId="0" fontId="2" fillId="10" borderId="23" xfId="0" applyFont="1" applyFill="1" applyBorder="1"/>
    <xf numFmtId="0" fontId="2" fillId="10" borderId="1" xfId="0" applyFont="1" applyFill="1" applyBorder="1"/>
    <xf numFmtId="0" fontId="2" fillId="0" borderId="21" xfId="0" applyFont="1" applyBorder="1"/>
    <xf numFmtId="0" fontId="2" fillId="0" borderId="24" xfId="0" applyFont="1" applyBorder="1"/>
    <xf numFmtId="0" fontId="2" fillId="0" borderId="22" xfId="0" applyFont="1" applyBorder="1"/>
    <xf numFmtId="0" fontId="2" fillId="11" borderId="1" xfId="0" applyFont="1" applyFill="1" applyBorder="1"/>
    <xf numFmtId="0" fontId="2" fillId="0" borderId="7" xfId="0" applyFont="1" applyBorder="1"/>
    <xf numFmtId="0" fontId="2" fillId="0" borderId="25" xfId="0" applyFont="1" applyBorder="1"/>
    <xf numFmtId="0" fontId="1" fillId="12" borderId="26" xfId="0" applyFont="1" applyFill="1" applyBorder="1"/>
    <xf numFmtId="0" fontId="1" fillId="12" borderId="27" xfId="0" applyFont="1" applyFill="1" applyBorder="1"/>
    <xf numFmtId="0" fontId="1" fillId="12" borderId="28" xfId="0" applyFont="1" applyFill="1" applyBorder="1"/>
    <xf numFmtId="0" fontId="1" fillId="11" borderId="29" xfId="0" applyFont="1" applyFill="1" applyBorder="1"/>
    <xf numFmtId="0" fontId="5" fillId="0" borderId="0" xfId="0" applyFont="1"/>
    <xf numFmtId="0" fontId="2" fillId="0" borderId="30" xfId="0" applyFont="1" applyBorder="1"/>
    <xf numFmtId="0" fontId="2" fillId="0" borderId="31" xfId="0" applyFont="1" applyBorder="1"/>
    <xf numFmtId="0" fontId="2" fillId="0" borderId="32" xfId="0" applyFont="1" applyBorder="1"/>
    <xf numFmtId="0" fontId="2" fillId="0" borderId="33" xfId="0" applyFont="1" applyBorder="1"/>
    <xf numFmtId="0" fontId="1" fillId="13" borderId="29" xfId="0" applyFont="1" applyFill="1" applyBorder="1"/>
    <xf numFmtId="0" fontId="2" fillId="14" borderId="29" xfId="0" applyFont="1" applyFill="1" applyBorder="1" applyAlignment="1">
      <alignment vertical="top" wrapText="1"/>
    </xf>
    <xf numFmtId="0" fontId="2" fillId="14" borderId="29" xfId="0" applyFont="1" applyFill="1" applyBorder="1"/>
    <xf numFmtId="0" fontId="2" fillId="14" borderId="29" xfId="0" applyFont="1" applyFill="1" applyBorder="1" applyAlignment="1">
      <alignment wrapText="1"/>
    </xf>
    <xf numFmtId="0" fontId="2" fillId="3" borderId="29" xfId="0" applyFont="1" applyFill="1" applyBorder="1"/>
    <xf numFmtId="0" fontId="1" fillId="0" borderId="0" xfId="0" applyFont="1" applyAlignment="1">
      <alignment wrapText="1"/>
    </xf>
    <xf numFmtId="0" fontId="2" fillId="13" borderId="29" xfId="0" applyFont="1" applyFill="1" applyBorder="1"/>
    <xf numFmtId="0" fontId="8" fillId="15" borderId="29" xfId="0" applyFont="1" applyFill="1" applyBorder="1"/>
    <xf numFmtId="49" fontId="1" fillId="8" borderId="5" xfId="0" applyNumberFormat="1" applyFont="1" applyFill="1" applyBorder="1" applyAlignment="1">
      <alignment horizontal="center" vertical="center"/>
    </xf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0" fontId="3" fillId="0" borderId="9" xfId="0" applyFont="1" applyBorder="1"/>
    <xf numFmtId="0" fontId="3" fillId="0" borderId="10" xfId="0" applyFont="1" applyBorder="1"/>
    <xf numFmtId="49" fontId="2" fillId="7" borderId="2" xfId="0" applyNumberFormat="1" applyFont="1" applyFill="1" applyBorder="1" applyAlignment="1">
      <alignment horizontal="center" vertical="center"/>
    </xf>
    <xf numFmtId="0" fontId="3" fillId="0" borderId="3" xfId="0" applyFont="1" applyBorder="1"/>
    <xf numFmtId="0" fontId="3" fillId="0" borderId="4" xfId="0" applyFont="1" applyBorder="1"/>
    <xf numFmtId="0" fontId="1" fillId="8" borderId="5" xfId="0" applyFont="1" applyFill="1" applyBorder="1" applyAlignment="1">
      <alignment horizontal="center" vertical="center"/>
    </xf>
    <xf numFmtId="0" fontId="4" fillId="4" borderId="11" xfId="0" applyFont="1" applyFill="1" applyBorder="1" applyAlignment="1">
      <alignment horizontal="center" vertical="center"/>
    </xf>
    <xf numFmtId="0" fontId="3" fillId="0" borderId="12" xfId="0" applyFont="1" applyBorder="1"/>
    <xf numFmtId="0" fontId="3" fillId="0" borderId="13" xfId="0" applyFont="1" applyBorder="1"/>
    <xf numFmtId="0" fontId="4" fillId="2" borderId="11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4" fillId="5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/>
    <xf numFmtId="0" fontId="2" fillId="7" borderId="2" xfId="0" applyFont="1" applyFill="1" applyBorder="1" applyAlignment="1">
      <alignment horizontal="center" vertical="center"/>
    </xf>
    <xf numFmtId="0" fontId="2" fillId="0" borderId="17" xfId="0" applyFont="1" applyBorder="1" applyAlignment="1">
      <alignment horizontal="center" vertical="center" textRotation="255"/>
    </xf>
    <xf numFmtId="0" fontId="3" fillId="0" borderId="19" xfId="0" applyFont="1" applyBorder="1"/>
    <xf numFmtId="0" fontId="5" fillId="0" borderId="29" xfId="0" applyFont="1" applyBorder="1"/>
    <xf numFmtId="2" fontId="5" fillId="0" borderId="29" xfId="0" applyNumberFormat="1" applyFont="1" applyBorder="1"/>
    <xf numFmtId="49" fontId="5" fillId="0" borderId="29" xfId="0" applyNumberFormat="1" applyFont="1" applyBorder="1"/>
    <xf numFmtId="0" fontId="6" fillId="0" borderId="29" xfId="0" applyFont="1" applyBorder="1" applyAlignment="1">
      <alignment horizontal="center"/>
    </xf>
    <xf numFmtId="0" fontId="11" fillId="0" borderId="29" xfId="0" applyFont="1" applyBorder="1"/>
    <xf numFmtId="0" fontId="5" fillId="0" borderId="29" xfId="0" applyFont="1" applyBorder="1" applyAlignment="1">
      <alignment horizontal="center"/>
    </xf>
    <xf numFmtId="0" fontId="9" fillId="0" borderId="34" xfId="0" applyFont="1" applyBorder="1" applyAlignment="1">
      <alignment horizontal="center"/>
    </xf>
    <xf numFmtId="0" fontId="9" fillId="0" borderId="36" xfId="0" applyFont="1" applyBorder="1" applyAlignment="1">
      <alignment horizontal="center"/>
    </xf>
    <xf numFmtId="0" fontId="10" fillId="0" borderId="29" xfId="0" applyFont="1" applyBorder="1" applyAlignment="1">
      <alignment vertical="center"/>
    </xf>
    <xf numFmtId="0" fontId="9" fillId="0" borderId="35" xfId="0" applyFont="1" applyBorder="1" applyAlignment="1">
      <alignment horizontal="center"/>
    </xf>
    <xf numFmtId="0" fontId="9" fillId="0" borderId="37" xfId="0" applyFont="1" applyBorder="1" applyAlignment="1">
      <alignment horizontal="center"/>
    </xf>
    <xf numFmtId="0" fontId="10" fillId="0" borderId="38" xfId="0" applyFont="1" applyBorder="1" applyAlignment="1">
      <alignment horizontal="center" vertical="center"/>
    </xf>
    <xf numFmtId="0" fontId="10" fillId="0" borderId="39" xfId="0" applyFont="1" applyBorder="1" applyAlignment="1">
      <alignment horizontal="center" vertical="center"/>
    </xf>
    <xf numFmtId="0" fontId="10" fillId="0" borderId="40" xfId="0" applyFont="1" applyBorder="1" applyAlignment="1">
      <alignment horizontal="center" vertical="center"/>
    </xf>
    <xf numFmtId="0" fontId="9" fillId="0" borderId="41" xfId="0" applyFont="1" applyBorder="1" applyAlignment="1">
      <alignment horizontal="center"/>
    </xf>
    <xf numFmtId="0" fontId="9" fillId="0" borderId="42" xfId="0" applyFont="1" applyBorder="1" applyAlignment="1">
      <alignment horizontal="center"/>
    </xf>
    <xf numFmtId="0" fontId="9" fillId="0" borderId="43" xfId="0" applyFont="1" applyBorder="1" applyAlignment="1">
      <alignment horizontal="center"/>
    </xf>
    <xf numFmtId="0" fontId="9" fillId="0" borderId="44" xfId="0" applyFont="1" applyBorder="1" applyAlignment="1">
      <alignment horizontal="center"/>
    </xf>
    <xf numFmtId="0" fontId="9" fillId="0" borderId="45" xfId="0" applyFont="1" applyBorder="1" applyAlignment="1">
      <alignment horizontal="center"/>
    </xf>
    <xf numFmtId="0" fontId="9" fillId="0" borderId="46" xfId="0" applyFont="1" applyBorder="1" applyAlignment="1">
      <alignment horizontal="center"/>
    </xf>
    <xf numFmtId="0" fontId="9" fillId="0" borderId="47" xfId="0" applyFont="1" applyBorder="1" applyAlignment="1">
      <alignment horizontal="center"/>
    </xf>
    <xf numFmtId="0" fontId="9" fillId="0" borderId="48" xfId="0" applyFont="1" applyBorder="1" applyAlignment="1">
      <alignment horizontal="center"/>
    </xf>
    <xf numFmtId="0" fontId="9" fillId="0" borderId="49" xfId="0" applyFont="1" applyBorder="1" applyAlignment="1">
      <alignment horizontal="center"/>
    </xf>
    <xf numFmtId="0" fontId="9" fillId="0" borderId="50" xfId="0" applyFont="1" applyBorder="1" applyAlignment="1">
      <alignment horizontal="center"/>
    </xf>
    <xf numFmtId="0" fontId="11" fillId="0" borderId="49" xfId="0" applyFont="1" applyBorder="1" applyAlignment="1">
      <alignment horizontal="center"/>
    </xf>
    <xf numFmtId="0" fontId="11" fillId="0" borderId="51" xfId="0" applyFont="1" applyBorder="1" applyAlignment="1">
      <alignment horizontal="center"/>
    </xf>
    <xf numFmtId="0" fontId="9" fillId="0" borderId="52" xfId="0" applyFont="1" applyBorder="1" applyAlignment="1">
      <alignment horizontal="center"/>
    </xf>
    <xf numFmtId="0" fontId="9" fillId="0" borderId="51" xfId="0" applyFont="1" applyBorder="1" applyAlignment="1">
      <alignment horizontal="center"/>
    </xf>
    <xf numFmtId="0" fontId="9" fillId="0" borderId="53" xfId="0" applyFont="1" applyBorder="1" applyAlignment="1">
      <alignment horizontal="center"/>
    </xf>
    <xf numFmtId="0" fontId="9" fillId="0" borderId="54" xfId="0" applyFont="1" applyBorder="1" applyAlignment="1">
      <alignment horizontal="center"/>
    </xf>
  </cellXfs>
  <cellStyles count="1">
    <cellStyle name="Normal" xfId="0" builtinId="0"/>
  </cellStyles>
  <dxfs count="2">
    <dxf>
      <fill>
        <patternFill patternType="solid">
          <fgColor rgb="FF00B050"/>
          <bgColor rgb="FF00B050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1"/>
  <sheetViews>
    <sheetView workbookViewId="0">
      <pane ySplit="1" topLeftCell="A2" activePane="bottomLeft" state="frozen"/>
      <selection pane="bottomLeft" sqref="A1:XFD1"/>
    </sheetView>
  </sheetViews>
  <sheetFormatPr defaultColWidth="14.44140625" defaultRowHeight="15" customHeight="1" x14ac:dyDescent="0.3"/>
  <cols>
    <col min="1" max="1" width="12.44140625" customWidth="1"/>
    <col min="2" max="2" width="15" customWidth="1"/>
    <col min="3" max="3" width="8.6640625" customWidth="1"/>
    <col min="4" max="5" width="8.33203125" customWidth="1"/>
    <col min="6" max="6" width="14" customWidth="1"/>
    <col min="7" max="7" width="10.33203125" customWidth="1"/>
    <col min="8" max="8" width="12.6640625" customWidth="1"/>
    <col min="9" max="9" width="13.6640625" customWidth="1"/>
    <col min="10" max="10" width="12.6640625" customWidth="1"/>
    <col min="11" max="26" width="8.6640625" customWidth="1"/>
  </cols>
  <sheetData>
    <row r="1" spans="1:10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3" t="s">
        <v>9</v>
      </c>
    </row>
    <row r="2" spans="1:10" ht="14.25" customHeight="1" x14ac:dyDescent="0.3">
      <c r="A2" s="4" t="s">
        <v>10</v>
      </c>
      <c r="B2" s="4" t="s">
        <v>11</v>
      </c>
      <c r="C2" s="5">
        <v>6.5</v>
      </c>
      <c r="D2" s="5">
        <v>8.5</v>
      </c>
      <c r="E2" s="6">
        <f t="shared" ref="E2:E3" si="0">C2*D2</f>
        <v>55.25</v>
      </c>
      <c r="F2" s="6">
        <f t="shared" ref="F2:F3" si="1">ROUNDUP(E2/10,0)</f>
        <v>6</v>
      </c>
      <c r="G2" s="7">
        <v>9.4</v>
      </c>
      <c r="H2" s="8" cm="1">
        <f t="array" ref="H2">_xlfn.CEILING.MATH(_xlfn.SWITCH(J2, "A", 13.21, "B", 4.86, "C", 10.56, "D", 10.87, "E", 16.75, "F", 22, "G", 13.2, "H", 19.3, "I", 17.5, "J", 12.8, "K", 17.3, "L", 17, -1))</f>
        <v>14</v>
      </c>
      <c r="I2" s="9">
        <f t="shared" ref="I2:I3" si="2">2*F2*(G2+H2+6)</f>
        <v>352.79999999999995</v>
      </c>
      <c r="J2" s="10" t="s">
        <v>12</v>
      </c>
    </row>
    <row r="3" spans="1:10" ht="14.25" customHeight="1" x14ac:dyDescent="0.3">
      <c r="A3" s="4" t="s">
        <v>13</v>
      </c>
      <c r="B3" s="4" t="s">
        <v>11</v>
      </c>
      <c r="C3" s="5">
        <v>8.5</v>
      </c>
      <c r="D3" s="5">
        <v>6.5</v>
      </c>
      <c r="E3" s="6">
        <f t="shared" si="0"/>
        <v>55.25</v>
      </c>
      <c r="F3" s="6">
        <f t="shared" si="1"/>
        <v>6</v>
      </c>
      <c r="G3" s="7">
        <v>16.11</v>
      </c>
      <c r="H3" s="8" cm="1">
        <f t="array" ref="H3">_xlfn.CEILING.MATH(_xlfn.SWITCH(J3, "A", 13.21, "B", 4.86, "C", 10.56, "D", 10.87, "E", 16.75, "F", 22, "G", 13.2, "H", 19.3, "I", 17.5, "J", 12.8, "K", 17.3, "L", 17, -1))</f>
        <v>5</v>
      </c>
      <c r="I3" s="9">
        <f t="shared" si="2"/>
        <v>325.32</v>
      </c>
      <c r="J3" s="10" t="s">
        <v>14</v>
      </c>
    </row>
    <row r="4" spans="1:10" ht="14.25" customHeight="1" x14ac:dyDescent="0.3">
      <c r="A4" s="11" t="s">
        <v>15</v>
      </c>
      <c r="B4" s="61" t="s">
        <v>11</v>
      </c>
      <c r="C4" s="62"/>
      <c r="D4" s="62"/>
      <c r="E4" s="62"/>
      <c r="F4" s="62"/>
      <c r="G4" s="62"/>
      <c r="H4" s="62"/>
      <c r="I4" s="62"/>
      <c r="J4" s="63"/>
    </row>
    <row r="5" spans="1:10" ht="14.25" customHeight="1" x14ac:dyDescent="0.3">
      <c r="A5" s="4" t="s">
        <v>16</v>
      </c>
      <c r="B5" s="4" t="s">
        <v>11</v>
      </c>
      <c r="C5" s="5">
        <v>5.5</v>
      </c>
      <c r="D5" s="5">
        <v>8.5</v>
      </c>
      <c r="E5" s="6">
        <f t="shared" ref="E5:E9" si="3">C5*D5</f>
        <v>46.75</v>
      </c>
      <c r="F5" s="6">
        <f t="shared" ref="F5:F9" si="4">ROUNDUP(E5/10,0)</f>
        <v>5</v>
      </c>
      <c r="G5" s="7">
        <v>21.82</v>
      </c>
      <c r="H5" s="8" cm="1">
        <f t="array" ref="H5">_xlfn.CEILING.MATH(_xlfn.SWITCH(J5, "A", 13.21, "B", 4.86, "C", 10.56, "D", 10.87, "E", 16.75, "F", 22, "G", 13.2, "H", 19.3, "I", 17.5, "J", 12.8, "K", 17.3, "L", 17, -1))</f>
        <v>11</v>
      </c>
      <c r="I5" s="9">
        <f t="shared" ref="I5:I9" si="5">2*F5*(G5+H5+6)</f>
        <v>388.2</v>
      </c>
      <c r="J5" s="10" t="s">
        <v>17</v>
      </c>
    </row>
    <row r="6" spans="1:10" ht="14.25" customHeight="1" x14ac:dyDescent="0.3">
      <c r="A6" s="4" t="s">
        <v>18</v>
      </c>
      <c r="B6" s="4" t="s">
        <v>11</v>
      </c>
      <c r="C6" s="5">
        <v>5.5</v>
      </c>
      <c r="D6" s="5">
        <v>8.5</v>
      </c>
      <c r="E6" s="6">
        <f t="shared" si="3"/>
        <v>46.75</v>
      </c>
      <c r="F6" s="6">
        <f t="shared" si="4"/>
        <v>5</v>
      </c>
      <c r="G6" s="7">
        <v>27.82</v>
      </c>
      <c r="H6" s="8" cm="1">
        <f t="array" ref="H6">_xlfn.CEILING.MATH(_xlfn.SWITCH(J6, "A", 13.21, "B", 4.86, "C", 10.56, "D", 10.87, "E", 16.75, "F", 22, "G", 13.2, "H", 19.3, "I", 17.5, "J", 12.8, "K", 17.3, "L", 17, -1))</f>
        <v>11</v>
      </c>
      <c r="I6" s="9">
        <f t="shared" si="5"/>
        <v>448.2</v>
      </c>
      <c r="J6" s="10" t="s">
        <v>17</v>
      </c>
    </row>
    <row r="7" spans="1:10" ht="14.25" customHeight="1" x14ac:dyDescent="0.3">
      <c r="A7" s="4" t="s">
        <v>19</v>
      </c>
      <c r="B7" s="4" t="s">
        <v>11</v>
      </c>
      <c r="C7" s="5">
        <v>5.5</v>
      </c>
      <c r="D7" s="5">
        <v>8.5</v>
      </c>
      <c r="E7" s="6">
        <f t="shared" si="3"/>
        <v>46.75</v>
      </c>
      <c r="F7" s="6">
        <f t="shared" si="4"/>
        <v>5</v>
      </c>
      <c r="G7" s="7">
        <v>33.53</v>
      </c>
      <c r="H7" s="8" cm="1">
        <f t="array" ref="H7">_xlfn.CEILING.MATH(_xlfn.SWITCH(J7, "A", 13.21, "B", 4.86, "C", 10.56, "D", 10.87, "E", 16.75, "F", 22, "G", 13.2, "H", 19.3, "I", 17.5, "J", 12.8, "K", 17.3, "L", 17, -1))</f>
        <v>11</v>
      </c>
      <c r="I7" s="9">
        <f t="shared" si="5"/>
        <v>505.3</v>
      </c>
      <c r="J7" s="10" t="s">
        <v>17</v>
      </c>
    </row>
    <row r="8" spans="1:10" ht="14.25" customHeight="1" x14ac:dyDescent="0.3">
      <c r="A8" s="4" t="s">
        <v>20</v>
      </c>
      <c r="B8" s="4" t="s">
        <v>11</v>
      </c>
      <c r="C8" s="5">
        <v>5.5</v>
      </c>
      <c r="D8" s="5">
        <v>8.5</v>
      </c>
      <c r="E8" s="6">
        <f t="shared" si="3"/>
        <v>46.75</v>
      </c>
      <c r="F8" s="6">
        <f t="shared" si="4"/>
        <v>5</v>
      </c>
      <c r="G8" s="7">
        <v>39.53</v>
      </c>
      <c r="H8" s="8" cm="1">
        <f t="array" ref="H8">_xlfn.CEILING.MATH(_xlfn.SWITCH(J8, "A", 13.21, "B", 4.86, "C", 10.56, "D", 10.87, "E", 16.75, "F", 22, "G", 13.2, "H", 19.3, "I", 17.5, "J", 12.8, "K", 17.3, "L", 17, -1))</f>
        <v>11</v>
      </c>
      <c r="I8" s="9">
        <f t="shared" si="5"/>
        <v>565.29999999999995</v>
      </c>
      <c r="J8" s="10" t="s">
        <v>17</v>
      </c>
    </row>
    <row r="9" spans="1:10" ht="14.25" customHeight="1" x14ac:dyDescent="0.3">
      <c r="A9" s="4" t="s">
        <v>21</v>
      </c>
      <c r="B9" s="4" t="s">
        <v>11</v>
      </c>
      <c r="C9" s="5">
        <v>5.5</v>
      </c>
      <c r="D9" s="5">
        <v>8.5</v>
      </c>
      <c r="E9" s="6">
        <f t="shared" si="3"/>
        <v>46.75</v>
      </c>
      <c r="F9" s="6">
        <f t="shared" si="4"/>
        <v>5</v>
      </c>
      <c r="G9" s="7">
        <v>45.24</v>
      </c>
      <c r="H9" s="8" cm="1">
        <f t="array" ref="H9">_xlfn.CEILING.MATH(_xlfn.SWITCH(J9, "A", 13.21, "B", 4.86, "C", 10.56, "D", 10.87, "E", 16.75, "F", 22, "G", 13.2, "H", 19.3, "I", 17.5, "J", 12.8, "K", 17.3, "L", 17, -1))</f>
        <v>11</v>
      </c>
      <c r="I9" s="9">
        <f t="shared" si="5"/>
        <v>622.4</v>
      </c>
      <c r="J9" s="10" t="s">
        <v>17</v>
      </c>
    </row>
    <row r="10" spans="1:10" ht="14.25" customHeight="1" x14ac:dyDescent="0.3">
      <c r="A10" s="12" t="s">
        <v>22</v>
      </c>
      <c r="B10" s="55" t="s">
        <v>23</v>
      </c>
      <c r="C10" s="56"/>
      <c r="D10" s="56"/>
      <c r="E10" s="56"/>
      <c r="F10" s="56"/>
      <c r="G10" s="56"/>
      <c r="H10" s="56"/>
      <c r="I10" s="56"/>
      <c r="J10" s="57"/>
    </row>
    <row r="11" spans="1:10" ht="14.25" customHeight="1" x14ac:dyDescent="0.3">
      <c r="A11" s="12" t="s">
        <v>24</v>
      </c>
      <c r="B11" s="58"/>
      <c r="C11" s="59"/>
      <c r="D11" s="59"/>
      <c r="E11" s="59"/>
      <c r="F11" s="59"/>
      <c r="G11" s="59"/>
      <c r="H11" s="59"/>
      <c r="I11" s="59"/>
      <c r="J11" s="60"/>
    </row>
    <row r="12" spans="1:10" ht="14.25" customHeight="1" x14ac:dyDescent="0.3">
      <c r="A12" s="4" t="s">
        <v>25</v>
      </c>
      <c r="B12" s="4" t="s">
        <v>11</v>
      </c>
      <c r="C12" s="5">
        <v>8.5</v>
      </c>
      <c r="D12" s="5">
        <v>11.5</v>
      </c>
      <c r="E12" s="6">
        <f t="shared" ref="E12:E19" si="6">C12*D12</f>
        <v>97.75</v>
      </c>
      <c r="F12" s="6">
        <f t="shared" ref="F12:F19" si="7">ROUNDUP(E12/10,0)</f>
        <v>10</v>
      </c>
      <c r="G12" s="7">
        <v>0.5</v>
      </c>
      <c r="H12" s="8" cm="1">
        <f t="array" ref="H12">_xlfn.CEILING.MATH(_xlfn.SWITCH(J12, "A", 13.21, "B", 4.86, "C", 10.56, "D", 10.87, "E", 16.75, "F", 22, "G", 13.2, "H", 19.3, "I", 17.5, "J", 12.8, "K", 17.3, "L", 17, -1))</f>
        <v>11</v>
      </c>
      <c r="I12" s="9">
        <f t="shared" ref="I12:I19" si="8">2*F12*(G12+H12+6)</f>
        <v>350</v>
      </c>
      <c r="J12" s="10" t="s">
        <v>26</v>
      </c>
    </row>
    <row r="13" spans="1:10" ht="14.25" customHeight="1" x14ac:dyDescent="0.3">
      <c r="A13" s="4" t="s">
        <v>27</v>
      </c>
      <c r="B13" s="4" t="s">
        <v>11</v>
      </c>
      <c r="C13" s="5">
        <v>20</v>
      </c>
      <c r="D13" s="5">
        <v>16.5</v>
      </c>
      <c r="E13" s="6">
        <f t="shared" si="6"/>
        <v>330</v>
      </c>
      <c r="F13" s="6">
        <f t="shared" si="7"/>
        <v>33</v>
      </c>
      <c r="G13" s="7">
        <v>5</v>
      </c>
      <c r="H13" s="8" cm="1">
        <f t="array" ref="H13">_xlfn.CEILING.MATH(_xlfn.SWITCH(J13, "A", 13.21, "B", 4.86, "C", 10.56, "D", 10.87, "E", 16.75, "F", 22, "G", 13.2, "H", 19.3, "I", 17.5, "J", 12.8, "K", 17.3, "L", 17, -1))</f>
        <v>22</v>
      </c>
      <c r="I13" s="9">
        <f t="shared" si="8"/>
        <v>2178</v>
      </c>
      <c r="J13" s="10" t="s">
        <v>28</v>
      </c>
    </row>
    <row r="14" spans="1:10" ht="14.25" customHeight="1" x14ac:dyDescent="0.3">
      <c r="A14" s="4" t="s">
        <v>29</v>
      </c>
      <c r="B14" s="4" t="s">
        <v>11</v>
      </c>
      <c r="C14" s="5">
        <v>6.5</v>
      </c>
      <c r="D14" s="5">
        <v>11.5</v>
      </c>
      <c r="E14" s="6">
        <f t="shared" si="6"/>
        <v>74.75</v>
      </c>
      <c r="F14" s="6">
        <f t="shared" si="7"/>
        <v>8</v>
      </c>
      <c r="G14" s="7">
        <v>84.64</v>
      </c>
      <c r="H14" s="8" cm="1">
        <f t="array" ref="H14">_xlfn.CEILING.MATH(_xlfn.SWITCH(J14, "A", 13.21, "B", 4.86, "C", 10.56, "D", 10.87, "E", 16.75, "F", 22, "G", 13.2, "H", 19.3, "I", 17.5, "J", 12.8, "K", 17.3, "L", 17, -1))</f>
        <v>17</v>
      </c>
      <c r="I14" s="9">
        <f t="shared" si="8"/>
        <v>1722.24</v>
      </c>
      <c r="J14" s="10" t="s">
        <v>30</v>
      </c>
    </row>
    <row r="15" spans="1:10" ht="14.25" customHeight="1" x14ac:dyDescent="0.3">
      <c r="A15" s="4" t="s">
        <v>31</v>
      </c>
      <c r="B15" s="4" t="s">
        <v>11</v>
      </c>
      <c r="C15" s="5">
        <v>6.5</v>
      </c>
      <c r="D15" s="5">
        <v>11.5</v>
      </c>
      <c r="E15" s="6">
        <f t="shared" si="6"/>
        <v>74.75</v>
      </c>
      <c r="F15" s="6">
        <f t="shared" si="7"/>
        <v>8</v>
      </c>
      <c r="G15" s="7">
        <v>91.78</v>
      </c>
      <c r="H15" s="8" cm="1">
        <f t="array" ref="H15">_xlfn.CEILING.MATH(_xlfn.SWITCH(J15, "A", 13.21, "B", 4.86, "C", 10.56, "D", 10.87, "E", 16.75, "F", 22, "G", 13.2, "H", 19.3, "I", 17.5, "J", 12.8, "K", 17.3, "L", 17, -1))</f>
        <v>17</v>
      </c>
      <c r="I15" s="9">
        <f t="shared" si="8"/>
        <v>1836.48</v>
      </c>
      <c r="J15" s="10" t="s">
        <v>30</v>
      </c>
    </row>
    <row r="16" spans="1:10" ht="14.25" customHeight="1" x14ac:dyDescent="0.3">
      <c r="A16" s="4" t="s">
        <v>32</v>
      </c>
      <c r="B16" s="4" t="s">
        <v>11</v>
      </c>
      <c r="C16" s="5">
        <v>6.5</v>
      </c>
      <c r="D16" s="5">
        <v>11.5</v>
      </c>
      <c r="E16" s="6">
        <f t="shared" si="6"/>
        <v>74.75</v>
      </c>
      <c r="F16" s="6">
        <f t="shared" si="7"/>
        <v>8</v>
      </c>
      <c r="G16" s="7">
        <v>98.78</v>
      </c>
      <c r="H16" s="8" cm="1">
        <f t="array" ref="H16">_xlfn.CEILING.MATH(_xlfn.SWITCH(J16, "A", 13.21, "B", 4.86, "C", 10.56, "D", 10.87, "E", 16.75, "F", 22, "G", 13.2, "H", 19.3, "I", 17.5, "J", 12.8, "K", 17.3, "L", 17, -1))</f>
        <v>17</v>
      </c>
      <c r="I16" s="9">
        <f t="shared" si="8"/>
        <v>1948.48</v>
      </c>
      <c r="J16" s="10" t="s">
        <v>30</v>
      </c>
    </row>
    <row r="17" spans="1:10" ht="14.25" customHeight="1" x14ac:dyDescent="0.3">
      <c r="A17" s="4" t="s">
        <v>33</v>
      </c>
      <c r="B17" s="4" t="s">
        <v>11</v>
      </c>
      <c r="C17" s="5">
        <v>6.5</v>
      </c>
      <c r="D17" s="5">
        <v>11.5</v>
      </c>
      <c r="E17" s="6">
        <f t="shared" si="6"/>
        <v>74.75</v>
      </c>
      <c r="F17" s="6">
        <f t="shared" si="7"/>
        <v>8</v>
      </c>
      <c r="G17" s="7">
        <v>105.92</v>
      </c>
      <c r="H17" s="8" cm="1">
        <f t="array" ref="H17">_xlfn.CEILING.MATH(_xlfn.SWITCH(J17, "A", 13.21, "B", 4.86, "C", 10.56, "D", 10.87, "E", 16.75, "F", 22, "G", 13.2, "H", 19.3, "I", 17.5, "J", 12.8, "K", 17.3, "L", 17, -1))</f>
        <v>17</v>
      </c>
      <c r="I17" s="9">
        <f t="shared" si="8"/>
        <v>2062.7200000000003</v>
      </c>
      <c r="J17" s="10" t="s">
        <v>30</v>
      </c>
    </row>
    <row r="18" spans="1:10" ht="14.25" customHeight="1" x14ac:dyDescent="0.3">
      <c r="A18" s="4" t="s">
        <v>34</v>
      </c>
      <c r="B18" s="4" t="s">
        <v>11</v>
      </c>
      <c r="C18" s="5">
        <v>6.5</v>
      </c>
      <c r="D18" s="5">
        <v>11.5</v>
      </c>
      <c r="E18" s="6">
        <f t="shared" si="6"/>
        <v>74.75</v>
      </c>
      <c r="F18" s="6">
        <f t="shared" si="7"/>
        <v>8</v>
      </c>
      <c r="G18" s="7">
        <v>112.92</v>
      </c>
      <c r="H18" s="8" cm="1">
        <f t="array" ref="H18">_xlfn.CEILING.MATH(_xlfn.SWITCH(J18, "A", 13.21, "B", 4.86, "C", 10.56, "D", 10.87, "E", 16.75, "F", 22, "G", 13.2, "H", 19.3, "I", 17.5, "J", 12.8, "K", 17.3, "L", 17, -1))</f>
        <v>17</v>
      </c>
      <c r="I18" s="9">
        <f t="shared" si="8"/>
        <v>2174.7200000000003</v>
      </c>
      <c r="J18" s="10" t="s">
        <v>30</v>
      </c>
    </row>
    <row r="19" spans="1:10" ht="14.25" customHeight="1" x14ac:dyDescent="0.3">
      <c r="A19" s="4" t="s">
        <v>35</v>
      </c>
      <c r="B19" s="4" t="s">
        <v>11</v>
      </c>
      <c r="C19" s="5">
        <v>10</v>
      </c>
      <c r="D19" s="5">
        <v>20</v>
      </c>
      <c r="E19" s="6">
        <f t="shared" si="6"/>
        <v>200</v>
      </c>
      <c r="F19" s="6">
        <f t="shared" si="7"/>
        <v>20</v>
      </c>
      <c r="G19" s="7">
        <v>17.5</v>
      </c>
      <c r="H19" s="8" cm="1">
        <f t="array" ref="H19">_xlfn.CEILING.MATH(_xlfn.SWITCH(J19, "A", 13.21, "B", 4.86, "C", 10.56, "D", 10.87, "E", 16.75, "F", 22, "G", 13.2, "H", 19.3, "I", 17.5, "J", 12.8, "K", 17.3, "L", 17, -1))</f>
        <v>14</v>
      </c>
      <c r="I19" s="9">
        <f t="shared" si="8"/>
        <v>1500</v>
      </c>
      <c r="J19" s="10" t="s">
        <v>36</v>
      </c>
    </row>
    <row r="20" spans="1:10" ht="14.25" customHeight="1" x14ac:dyDescent="0.3">
      <c r="A20" s="13" t="s">
        <v>37</v>
      </c>
      <c r="B20" s="13"/>
      <c r="C20" s="13"/>
      <c r="D20" s="13"/>
      <c r="E20" s="13"/>
      <c r="F20" s="13">
        <f>SUM(F2:F19)</f>
        <v>140</v>
      </c>
      <c r="G20" s="13"/>
      <c r="H20" s="14"/>
      <c r="I20" s="13">
        <f>SUM(I2:I19)</f>
        <v>16980.16</v>
      </c>
      <c r="J20" s="15"/>
    </row>
    <row r="21" spans="1:10" ht="14.25" customHeight="1" x14ac:dyDescent="0.3">
      <c r="A21" s="13"/>
      <c r="B21" s="13"/>
      <c r="C21" s="13"/>
      <c r="D21" s="13"/>
      <c r="E21" s="13"/>
      <c r="F21" s="13"/>
      <c r="G21" s="13"/>
      <c r="H21" s="14"/>
      <c r="I21" s="13"/>
      <c r="J21" s="15"/>
    </row>
    <row r="22" spans="1:10" ht="14.25" customHeight="1" x14ac:dyDescent="0.3">
      <c r="A22" s="4" t="s">
        <v>38</v>
      </c>
      <c r="B22" s="4" t="s">
        <v>39</v>
      </c>
      <c r="C22" s="5">
        <v>6.5</v>
      </c>
      <c r="D22" s="5">
        <v>11.5</v>
      </c>
      <c r="E22" s="6">
        <f t="shared" ref="E22:E23" si="9">C22*D22</f>
        <v>74.75</v>
      </c>
      <c r="F22" s="6">
        <f t="shared" ref="F22:F23" si="10">ROUNDUP(E22/10,0)</f>
        <v>8</v>
      </c>
      <c r="G22" s="7">
        <v>32</v>
      </c>
      <c r="H22" s="16" cm="1">
        <f t="array" ref="H22">_xlfn.CEILING.MATH(_xlfn.SWITCH(J22, "A", 13.21, "B", 4.86, "C", 10.56, "D", 10.87, "E", 16.75, "F", 22, "G", 13.2, "H", 19.3, "I", 17.5, "J", 12.8, "K", 17.3, "L", 17, -1))</f>
        <v>17</v>
      </c>
      <c r="I22" s="9">
        <f t="shared" ref="I22:I23" si="11">2*F22*(G22+H22+6)</f>
        <v>880</v>
      </c>
      <c r="J22" s="10" t="s">
        <v>30</v>
      </c>
    </row>
    <row r="23" spans="1:10" ht="14.25" customHeight="1" x14ac:dyDescent="0.3">
      <c r="A23" s="4" t="s">
        <v>40</v>
      </c>
      <c r="B23" s="4" t="s">
        <v>39</v>
      </c>
      <c r="C23" s="5">
        <v>6.5</v>
      </c>
      <c r="D23" s="5">
        <v>11.5</v>
      </c>
      <c r="E23" s="6">
        <f t="shared" si="9"/>
        <v>74.75</v>
      </c>
      <c r="F23" s="6">
        <f t="shared" si="10"/>
        <v>8</v>
      </c>
      <c r="G23" s="7">
        <v>27</v>
      </c>
      <c r="H23" s="16" cm="1">
        <f t="array" ref="H23">_xlfn.CEILING.MATH(_xlfn.SWITCH(J23, "A", 13.21, "B", 4.86, "C", 10.56, "D", 10.87, "E", 16.75, "F", 22, "G", 13.2, "H", 19.3, "I", 17.5, "J", 12.8, "K", 17.3, "L", 17, -1))</f>
        <v>17</v>
      </c>
      <c r="I23" s="9">
        <f t="shared" si="11"/>
        <v>800</v>
      </c>
      <c r="J23" s="10" t="s">
        <v>30</v>
      </c>
    </row>
    <row r="24" spans="1:10" ht="14.25" customHeight="1" x14ac:dyDescent="0.3">
      <c r="A24" s="12" t="s">
        <v>41</v>
      </c>
      <c r="B24" s="55" t="s">
        <v>23</v>
      </c>
      <c r="C24" s="56"/>
      <c r="D24" s="56"/>
      <c r="E24" s="56"/>
      <c r="F24" s="56"/>
      <c r="G24" s="56"/>
      <c r="H24" s="56"/>
      <c r="I24" s="56"/>
      <c r="J24" s="57"/>
    </row>
    <row r="25" spans="1:10" ht="14.25" customHeight="1" x14ac:dyDescent="0.3">
      <c r="A25" s="12" t="s">
        <v>42</v>
      </c>
      <c r="B25" s="58"/>
      <c r="C25" s="59"/>
      <c r="D25" s="59"/>
      <c r="E25" s="59"/>
      <c r="F25" s="59"/>
      <c r="G25" s="59"/>
      <c r="H25" s="59"/>
      <c r="I25" s="59"/>
      <c r="J25" s="60"/>
    </row>
    <row r="26" spans="1:10" ht="14.25" customHeight="1" x14ac:dyDescent="0.3">
      <c r="A26" s="4" t="s">
        <v>43</v>
      </c>
      <c r="B26" s="4" t="s">
        <v>39</v>
      </c>
      <c r="C26" s="5">
        <v>10</v>
      </c>
      <c r="D26" s="5">
        <v>20</v>
      </c>
      <c r="E26" s="6">
        <f t="shared" ref="E26:E30" si="12">C26*D26</f>
        <v>200</v>
      </c>
      <c r="F26" s="6">
        <f t="shared" ref="F26:F30" si="13">ROUNDUP(E26/10,0)</f>
        <v>20</v>
      </c>
      <c r="G26" s="7">
        <v>0.5</v>
      </c>
      <c r="H26" s="16" cm="1">
        <f t="array" ref="H26">_xlfn.CEILING.MATH(_xlfn.SWITCH(J26, "A", 13.21, "B", 4.86, "C", 10.56, "D", 10.87, "E", 16.75, "F", 22, "G", 13.2, "H", 19.3, "I", 17.5, "J", 12.8, "K", 17.3, "L", 17, -1))</f>
        <v>14</v>
      </c>
      <c r="I26" s="9">
        <f t="shared" ref="I26:I30" si="14">2*F26*(G26+H26+6)</f>
        <v>820</v>
      </c>
      <c r="J26" s="10" t="s">
        <v>36</v>
      </c>
    </row>
    <row r="27" spans="1:10" ht="14.25" customHeight="1" x14ac:dyDescent="0.3">
      <c r="A27" s="4" t="s">
        <v>44</v>
      </c>
      <c r="B27" s="4" t="s">
        <v>39</v>
      </c>
      <c r="C27" s="7">
        <v>9</v>
      </c>
      <c r="D27" s="7">
        <v>10</v>
      </c>
      <c r="E27" s="6">
        <f t="shared" si="12"/>
        <v>90</v>
      </c>
      <c r="F27" s="6">
        <f t="shared" si="13"/>
        <v>9</v>
      </c>
      <c r="G27" s="7">
        <v>45</v>
      </c>
      <c r="H27" s="16" cm="1">
        <f t="array" ref="H27">_xlfn.CEILING.MATH(_xlfn.SWITCH(J27, "A", 13.21, "B", 4.86, "C", 10.56, "D", 10.87, "E", 16.75, "F", 22, "G", 13.2, "H", 19.3, "I", 17.5, "J", 12.8, "K", 17.3, "L", 17, -1))</f>
        <v>20</v>
      </c>
      <c r="I27" s="9">
        <f t="shared" si="14"/>
        <v>1278</v>
      </c>
      <c r="J27" s="10" t="s">
        <v>45</v>
      </c>
    </row>
    <row r="28" spans="1:10" ht="14.25" customHeight="1" x14ac:dyDescent="0.3">
      <c r="A28" s="4" t="s">
        <v>46</v>
      </c>
      <c r="B28" s="4" t="s">
        <v>39</v>
      </c>
      <c r="C28" s="7">
        <v>9</v>
      </c>
      <c r="D28" s="7">
        <v>10</v>
      </c>
      <c r="E28" s="6">
        <f t="shared" si="12"/>
        <v>90</v>
      </c>
      <c r="F28" s="6">
        <f t="shared" si="13"/>
        <v>9</v>
      </c>
      <c r="G28" s="7">
        <v>40</v>
      </c>
      <c r="H28" s="16" cm="1">
        <f t="array" ref="H28">_xlfn.CEILING.MATH(_xlfn.SWITCH(J28, "A", 13.21, "B", 4.86, "C", 10.56, "D", 10.87, "E", 16.75, "F", 22, "G", 13.2, "H", 19.3, "I", 17.5, "J", 12.8, "K", 17.3, "L", 17, -1))</f>
        <v>20</v>
      </c>
      <c r="I28" s="9">
        <f t="shared" si="14"/>
        <v>1188</v>
      </c>
      <c r="J28" s="10" t="s">
        <v>45</v>
      </c>
    </row>
    <row r="29" spans="1:10" ht="14.25" customHeight="1" x14ac:dyDescent="0.3">
      <c r="A29" s="4" t="s">
        <v>47</v>
      </c>
      <c r="B29" s="4" t="s">
        <v>39</v>
      </c>
      <c r="C29" s="7">
        <v>6.5</v>
      </c>
      <c r="D29" s="7">
        <v>9</v>
      </c>
      <c r="E29" s="6">
        <f t="shared" si="12"/>
        <v>58.5</v>
      </c>
      <c r="F29" s="6">
        <f t="shared" si="13"/>
        <v>6</v>
      </c>
      <c r="G29" s="7">
        <v>12.54</v>
      </c>
      <c r="H29" s="16" cm="1">
        <f t="array" ref="H29">_xlfn.CEILING.MATH(_xlfn.SWITCH(J29, "A", 13.21, "B", 4.86, "C", 10.56, "D", 10.87, "E", 16.75, "F", 22, "G", 13.2, "H", 19.3, "I", 17.5, "J", 12.8, "K", 17.3, "L", 17, -1))</f>
        <v>18</v>
      </c>
      <c r="I29" s="9">
        <f t="shared" si="14"/>
        <v>438.48</v>
      </c>
      <c r="J29" s="10" t="s">
        <v>48</v>
      </c>
    </row>
    <row r="30" spans="1:10" ht="14.25" customHeight="1" x14ac:dyDescent="0.3">
      <c r="A30" s="4" t="s">
        <v>49</v>
      </c>
      <c r="B30" s="4" t="s">
        <v>39</v>
      </c>
      <c r="C30" s="7">
        <v>6.5</v>
      </c>
      <c r="D30" s="7">
        <v>9</v>
      </c>
      <c r="E30" s="6">
        <f t="shared" si="12"/>
        <v>58.5</v>
      </c>
      <c r="F30" s="6">
        <f t="shared" si="13"/>
        <v>6</v>
      </c>
      <c r="G30" s="7">
        <v>21.88</v>
      </c>
      <c r="H30" s="16" cm="1">
        <f t="array" ref="H30">_xlfn.CEILING.MATH(_xlfn.SWITCH(J30, "A", 13.21, "B", 4.86, "C", 10.56, "D", 10.87, "E", 16.75, "F", 22, "G", 13.2, "H", 19.3, "I", 17.5, "J", 12.8, "K", 17.3, "L", 17, -1))</f>
        <v>18</v>
      </c>
      <c r="I30" s="9">
        <f t="shared" si="14"/>
        <v>550.55999999999995</v>
      </c>
      <c r="J30" s="10" t="s">
        <v>48</v>
      </c>
    </row>
    <row r="31" spans="1:10" ht="14.25" customHeight="1" x14ac:dyDescent="0.3">
      <c r="A31" s="11" t="s">
        <v>50</v>
      </c>
      <c r="B31" s="61" t="s">
        <v>39</v>
      </c>
      <c r="C31" s="62"/>
      <c r="D31" s="62"/>
      <c r="E31" s="62"/>
      <c r="F31" s="62"/>
      <c r="G31" s="62"/>
      <c r="H31" s="62"/>
      <c r="I31" s="62"/>
      <c r="J31" s="63"/>
    </row>
    <row r="32" spans="1:10" ht="14.25" customHeight="1" x14ac:dyDescent="0.3">
      <c r="A32" s="4" t="s">
        <v>51</v>
      </c>
      <c r="B32" s="4" t="s">
        <v>39</v>
      </c>
      <c r="C32" s="7">
        <v>4.5</v>
      </c>
      <c r="D32" s="7">
        <v>9.5</v>
      </c>
      <c r="E32" s="6">
        <f t="shared" ref="E32:E36" si="15">C32*D32</f>
        <v>42.75</v>
      </c>
      <c r="F32" s="6">
        <f t="shared" ref="F32:F36" si="16">ROUNDUP(E32/10,0)</f>
        <v>5</v>
      </c>
      <c r="G32" s="7">
        <v>11.5</v>
      </c>
      <c r="H32" s="8" cm="1">
        <f t="array" ref="H32">_xlfn.CEILING.MATH(_xlfn.SWITCH(J32, "A", 13.21, "B", 4.86, "C", 10.56, "D", 10.87, "E", 16.75, "F", 22, "G", 13.2, "H", 19.3, "I", 17.5, "J", 12.8, "K", 17.3, "L", 17, -1))</f>
        <v>13</v>
      </c>
      <c r="I32" s="9">
        <f t="shared" ref="I32:I36" si="17">2*F32*(G32+H32+6)</f>
        <v>305</v>
      </c>
      <c r="J32" s="10" t="s">
        <v>52</v>
      </c>
    </row>
    <row r="33" spans="1:10" ht="14.25" customHeight="1" x14ac:dyDescent="0.3">
      <c r="A33" s="4" t="s">
        <v>53</v>
      </c>
      <c r="B33" s="4" t="s">
        <v>39</v>
      </c>
      <c r="C33" s="7">
        <v>4.5</v>
      </c>
      <c r="D33" s="7">
        <v>9.5</v>
      </c>
      <c r="E33" s="6">
        <f t="shared" si="15"/>
        <v>42.75</v>
      </c>
      <c r="F33" s="6">
        <f t="shared" si="16"/>
        <v>5</v>
      </c>
      <c r="G33" s="7">
        <v>17</v>
      </c>
      <c r="H33" s="8" cm="1">
        <f t="array" ref="H33">_xlfn.CEILING.MATH(_xlfn.SWITCH(J33, "A", 13.21, "B", 4.86, "C", 10.56, "D", 10.87, "E", 16.75, "F", 22, "G", 13.2, "H", 19.3, "I", 17.5, "J", 12.8, "K", 17.3, "L", 17, -1))</f>
        <v>13</v>
      </c>
      <c r="I33" s="9">
        <f t="shared" si="17"/>
        <v>360</v>
      </c>
      <c r="J33" s="10" t="s">
        <v>52</v>
      </c>
    </row>
    <row r="34" spans="1:10" ht="14.25" customHeight="1" x14ac:dyDescent="0.3">
      <c r="A34" s="4" t="s">
        <v>54</v>
      </c>
      <c r="B34" s="4" t="s">
        <v>39</v>
      </c>
      <c r="C34" s="7">
        <v>4.5</v>
      </c>
      <c r="D34" s="7">
        <v>9.5</v>
      </c>
      <c r="E34" s="6">
        <f t="shared" si="15"/>
        <v>42.75</v>
      </c>
      <c r="F34" s="6">
        <f t="shared" si="16"/>
        <v>5</v>
      </c>
      <c r="G34" s="7">
        <v>22.5</v>
      </c>
      <c r="H34" s="8" cm="1">
        <f t="array" ref="H34">_xlfn.CEILING.MATH(_xlfn.SWITCH(J34, "A", 13.21, "B", 4.86, "C", 10.56, "D", 10.87, "E", 16.75, "F", 22, "G", 13.2, "H", 19.3, "I", 17.5, "J", 12.8, "K", 17.3, "L", 17, -1))</f>
        <v>13</v>
      </c>
      <c r="I34" s="9">
        <f t="shared" si="17"/>
        <v>415</v>
      </c>
      <c r="J34" s="10" t="s">
        <v>52</v>
      </c>
    </row>
    <row r="35" spans="1:10" ht="14.25" customHeight="1" x14ac:dyDescent="0.3">
      <c r="A35" s="4" t="s">
        <v>55</v>
      </c>
      <c r="B35" s="4" t="s">
        <v>39</v>
      </c>
      <c r="C35" s="7">
        <v>4.5</v>
      </c>
      <c r="D35" s="7">
        <v>9.5</v>
      </c>
      <c r="E35" s="6">
        <f t="shared" si="15"/>
        <v>42.75</v>
      </c>
      <c r="F35" s="6">
        <f t="shared" si="16"/>
        <v>5</v>
      </c>
      <c r="G35" s="7">
        <v>28</v>
      </c>
      <c r="H35" s="8" cm="1">
        <f t="array" ref="H35">_xlfn.CEILING.MATH(_xlfn.SWITCH(J35, "A", 13.21, "B", 4.86, "C", 10.56, "D", 10.87, "E", 16.75, "F", 22, "G", 13.2, "H", 19.3, "I", 17.5, "J", 12.8, "K", 17.3, "L", 17, -1))</f>
        <v>13</v>
      </c>
      <c r="I35" s="9">
        <f t="shared" si="17"/>
        <v>470</v>
      </c>
      <c r="J35" s="10" t="s">
        <v>52</v>
      </c>
    </row>
    <row r="36" spans="1:10" ht="14.25" customHeight="1" x14ac:dyDescent="0.3">
      <c r="A36" s="4" t="s">
        <v>56</v>
      </c>
      <c r="B36" s="4" t="s">
        <v>39</v>
      </c>
      <c r="C36" s="7">
        <v>4.5</v>
      </c>
      <c r="D36" s="7">
        <v>9.5</v>
      </c>
      <c r="E36" s="6">
        <f t="shared" si="15"/>
        <v>42.75</v>
      </c>
      <c r="F36" s="6">
        <f t="shared" si="16"/>
        <v>5</v>
      </c>
      <c r="G36" s="7">
        <v>33.5</v>
      </c>
      <c r="H36" s="8" cm="1">
        <f t="array" ref="H36">_xlfn.CEILING.MATH(_xlfn.SWITCH(J36, "A", 13.21, "B", 4.86, "C", 10.56, "D", 10.87, "E", 16.75, "F", 22, "G", 13.2, "H", 19.3, "I", 17.5, "J", 12.8, "K", 17.3, "L", 17, -1))</f>
        <v>13</v>
      </c>
      <c r="I36" s="9">
        <f t="shared" si="17"/>
        <v>525</v>
      </c>
      <c r="J36" s="10" t="s">
        <v>52</v>
      </c>
    </row>
    <row r="37" spans="1:10" ht="14.25" customHeight="1" x14ac:dyDescent="0.3">
      <c r="A37" s="12" t="s">
        <v>57</v>
      </c>
      <c r="B37" s="64" t="s">
        <v>23</v>
      </c>
      <c r="C37" s="56"/>
      <c r="D37" s="56"/>
      <c r="E37" s="56"/>
      <c r="F37" s="56"/>
      <c r="G37" s="56"/>
      <c r="H37" s="56"/>
      <c r="I37" s="56"/>
      <c r="J37" s="57"/>
    </row>
    <row r="38" spans="1:10" ht="14.25" customHeight="1" x14ac:dyDescent="0.3">
      <c r="A38" s="12" t="s">
        <v>58</v>
      </c>
      <c r="B38" s="58"/>
      <c r="C38" s="59"/>
      <c r="D38" s="59"/>
      <c r="E38" s="59"/>
      <c r="F38" s="59"/>
      <c r="G38" s="59"/>
      <c r="H38" s="59"/>
      <c r="I38" s="59"/>
      <c r="J38" s="60"/>
    </row>
    <row r="39" spans="1:10" ht="14.25" customHeight="1" x14ac:dyDescent="0.3">
      <c r="A39" s="4" t="s">
        <v>59</v>
      </c>
      <c r="B39" s="4" t="s">
        <v>39</v>
      </c>
      <c r="C39" s="7">
        <v>6</v>
      </c>
      <c r="D39" s="7">
        <v>12.5</v>
      </c>
      <c r="E39" s="6">
        <f t="shared" ref="E39:E44" si="18">C39*D39</f>
        <v>75</v>
      </c>
      <c r="F39" s="6">
        <f t="shared" ref="F39:F44" si="19">ROUNDUP(E39/10,0)</f>
        <v>8</v>
      </c>
      <c r="G39" s="7">
        <v>10.5</v>
      </c>
      <c r="H39" s="8" cm="1">
        <f t="array" ref="H39">_xlfn.CEILING.MATH(_xlfn.SWITCH(J39, "A", 13.21, "B", 4.86, "C", 10.56, "D", 10.87, "E", 16.75, "F", 22, "G", 13.2, "H", 19.3, "I", 17.5, "J", 12.8, "K", 17.3, "L", 17, -1))</f>
        <v>18</v>
      </c>
      <c r="I39" s="9">
        <f t="shared" ref="I39:I44" si="20">2*F39*(G39+H39+6)</f>
        <v>552</v>
      </c>
      <c r="J39" s="10" t="s">
        <v>60</v>
      </c>
    </row>
    <row r="40" spans="1:10" ht="14.25" customHeight="1" x14ac:dyDescent="0.3">
      <c r="A40" s="4" t="s">
        <v>61</v>
      </c>
      <c r="B40" s="4" t="s">
        <v>39</v>
      </c>
      <c r="C40" s="7">
        <v>5.5</v>
      </c>
      <c r="D40" s="7">
        <v>12.5</v>
      </c>
      <c r="E40" s="6">
        <f t="shared" si="18"/>
        <v>68.75</v>
      </c>
      <c r="F40" s="6">
        <f t="shared" si="19"/>
        <v>7</v>
      </c>
      <c r="G40" s="7">
        <v>17.5</v>
      </c>
      <c r="H40" s="8" cm="1">
        <f t="array" ref="H40">_xlfn.CEILING.MATH(_xlfn.SWITCH(J40, "A", 13.21, "B", 4.86, "C", 10.56, "D", 10.87, "E", 16.75, "F", 22, "G", 13.2, "H", 19.3, "I", 17.5, "J", 12.8, "K", 17.3, "L", 17, -1))</f>
        <v>18</v>
      </c>
      <c r="I40" s="9">
        <f t="shared" si="20"/>
        <v>581</v>
      </c>
      <c r="J40" s="10" t="s">
        <v>60</v>
      </c>
    </row>
    <row r="41" spans="1:10" ht="14.25" customHeight="1" x14ac:dyDescent="0.3">
      <c r="A41" s="4" t="s">
        <v>62</v>
      </c>
      <c r="B41" s="4" t="s">
        <v>39</v>
      </c>
      <c r="C41" s="7">
        <v>5.5</v>
      </c>
      <c r="D41" s="7">
        <v>12.5</v>
      </c>
      <c r="E41" s="6">
        <f t="shared" si="18"/>
        <v>68.75</v>
      </c>
      <c r="F41" s="6">
        <f t="shared" si="19"/>
        <v>7</v>
      </c>
      <c r="G41" s="7">
        <v>23.5</v>
      </c>
      <c r="H41" s="8" cm="1">
        <f t="array" ref="H41">_xlfn.CEILING.MATH(_xlfn.SWITCH(J41, "A", 13.21, "B", 4.86, "C", 10.56, "D", 10.87, "E", 16.75, "F", 22, "G", 13.2, "H", 19.3, "I", 17.5, "J", 12.8, "K", 17.3, "L", 17, -1))</f>
        <v>18</v>
      </c>
      <c r="I41" s="9">
        <f t="shared" si="20"/>
        <v>665</v>
      </c>
      <c r="J41" s="10" t="s">
        <v>60</v>
      </c>
    </row>
    <row r="42" spans="1:10" ht="14.25" customHeight="1" x14ac:dyDescent="0.3">
      <c r="A42" s="4" t="s">
        <v>63</v>
      </c>
      <c r="B42" s="4" t="s">
        <v>39</v>
      </c>
      <c r="C42" s="7">
        <v>5.5</v>
      </c>
      <c r="D42" s="7">
        <v>12.5</v>
      </c>
      <c r="E42" s="6">
        <f t="shared" si="18"/>
        <v>68.75</v>
      </c>
      <c r="F42" s="6">
        <f t="shared" si="19"/>
        <v>7</v>
      </c>
      <c r="G42" s="7">
        <v>29.5</v>
      </c>
      <c r="H42" s="8" cm="1">
        <f t="array" ref="H42">_xlfn.CEILING.MATH(_xlfn.SWITCH(J42, "A", 13.21, "B", 4.86, "C", 10.56, "D", 10.87, "E", 16.75, "F", 22, "G", 13.2, "H", 19.3, "I", 17.5, "J", 12.8, "K", 17.3, "L", 17, -1))</f>
        <v>18</v>
      </c>
      <c r="I42" s="9">
        <f t="shared" si="20"/>
        <v>749</v>
      </c>
      <c r="J42" s="10" t="s">
        <v>60</v>
      </c>
    </row>
    <row r="43" spans="1:10" ht="14.25" customHeight="1" x14ac:dyDescent="0.3">
      <c r="A43" s="4" t="s">
        <v>64</v>
      </c>
      <c r="B43" s="4" t="s">
        <v>39</v>
      </c>
      <c r="C43" s="7">
        <v>5.5</v>
      </c>
      <c r="D43" s="7">
        <v>12.5</v>
      </c>
      <c r="E43" s="6">
        <f t="shared" si="18"/>
        <v>68.75</v>
      </c>
      <c r="F43" s="6">
        <f t="shared" si="19"/>
        <v>7</v>
      </c>
      <c r="G43" s="7">
        <v>35.5</v>
      </c>
      <c r="H43" s="8" cm="1">
        <f t="array" ref="H43">_xlfn.CEILING.MATH(_xlfn.SWITCH(J43, "A", 13.21, "B", 4.86, "C", 10.56, "D", 10.87, "E", 16.75, "F", 22, "G", 13.2, "H", 19.3, "I", 17.5, "J", 12.8, "K", 17.3, "L", 17, -1))</f>
        <v>18</v>
      </c>
      <c r="I43" s="9">
        <f t="shared" si="20"/>
        <v>833</v>
      </c>
      <c r="J43" s="10" t="s">
        <v>60</v>
      </c>
    </row>
    <row r="44" spans="1:10" ht="14.25" customHeight="1" x14ac:dyDescent="0.3">
      <c r="A44" s="4" t="s">
        <v>65</v>
      </c>
      <c r="B44" s="4" t="s">
        <v>39</v>
      </c>
      <c r="C44" s="7">
        <v>5.5</v>
      </c>
      <c r="D44" s="7">
        <v>12.5</v>
      </c>
      <c r="E44" s="6">
        <f t="shared" si="18"/>
        <v>68.75</v>
      </c>
      <c r="F44" s="6">
        <f t="shared" si="19"/>
        <v>7</v>
      </c>
      <c r="G44" s="7">
        <v>41.5</v>
      </c>
      <c r="H44" s="8" cm="1">
        <f t="array" ref="H44">_xlfn.CEILING.MATH(_xlfn.SWITCH(J44, "A", 13.21, "B", 4.86, "C", 10.56, "D", 10.87, "E", 16.75, "F", 22, "G", 13.2, "H", 19.3, "I", 17.5, "J", 12.8, "K", 17.3, "L", 17, -1))</f>
        <v>18</v>
      </c>
      <c r="I44" s="9">
        <f t="shared" si="20"/>
        <v>917</v>
      </c>
      <c r="J44" s="10" t="s">
        <v>60</v>
      </c>
    </row>
    <row r="45" spans="1:10" ht="14.25" customHeight="1" x14ac:dyDescent="0.3">
      <c r="A45" s="13" t="s">
        <v>66</v>
      </c>
      <c r="B45" s="13"/>
      <c r="C45" s="13"/>
      <c r="D45" s="13"/>
      <c r="E45" s="13"/>
      <c r="F45" s="13">
        <f>SUM(F22:F44)</f>
        <v>134</v>
      </c>
      <c r="G45" s="13"/>
      <c r="H45" s="14"/>
      <c r="I45" s="13">
        <f>SUM(I22:I44)</f>
        <v>12327.039999999999</v>
      </c>
      <c r="J45" s="15"/>
    </row>
    <row r="46" spans="1:10" ht="14.25" customHeight="1" x14ac:dyDescent="0.3">
      <c r="A46" s="13"/>
      <c r="B46" s="13"/>
      <c r="C46" s="13"/>
      <c r="D46" s="13"/>
      <c r="E46" s="13"/>
      <c r="F46" s="13"/>
      <c r="G46" s="13"/>
      <c r="H46" s="14"/>
      <c r="I46" s="13"/>
      <c r="J46" s="15"/>
    </row>
    <row r="47" spans="1:10" ht="14.25" customHeight="1" x14ac:dyDescent="0.3">
      <c r="A47" s="4" t="s">
        <v>67</v>
      </c>
      <c r="B47" s="7" t="s">
        <v>68</v>
      </c>
      <c r="C47" s="5">
        <v>6.5</v>
      </c>
      <c r="D47" s="5">
        <v>8.5</v>
      </c>
      <c r="E47" s="6">
        <f t="shared" ref="E47:E48" si="21">C47*D47</f>
        <v>55.25</v>
      </c>
      <c r="F47" s="6">
        <f t="shared" ref="F47:F48" si="22">ROUNDUP(E47/10,0)</f>
        <v>6</v>
      </c>
      <c r="G47" s="7">
        <v>9.4</v>
      </c>
      <c r="H47" s="16" cm="1">
        <f t="array" ref="H47">_xlfn.CEILING.MATH(_xlfn.SWITCH(J47, "A", 13.21, "B", 4.86, "C", 10.56, "D", 10.87, "E", 16.75, "F", 22, "G", 13.2, "H", 19.3, "I", 17.5, "J", 12.8, "K", 17.3, "L", 17, -1))</f>
        <v>14</v>
      </c>
      <c r="I47" s="9">
        <f t="shared" ref="I47:I48" si="23">2*F47*(G47+H47+6)</f>
        <v>352.79999999999995</v>
      </c>
      <c r="J47" s="10" t="s">
        <v>12</v>
      </c>
    </row>
    <row r="48" spans="1:10" ht="14.25" customHeight="1" x14ac:dyDescent="0.3">
      <c r="A48" s="4" t="s">
        <v>69</v>
      </c>
      <c r="B48" s="7" t="s">
        <v>68</v>
      </c>
      <c r="C48" s="5">
        <v>8.5</v>
      </c>
      <c r="D48" s="5">
        <v>6.5</v>
      </c>
      <c r="E48" s="6">
        <f t="shared" si="21"/>
        <v>55.25</v>
      </c>
      <c r="F48" s="6">
        <f t="shared" si="22"/>
        <v>6</v>
      </c>
      <c r="G48" s="7">
        <v>16.11</v>
      </c>
      <c r="H48" s="16" cm="1">
        <f t="array" ref="H48">_xlfn.CEILING.MATH(_xlfn.SWITCH(J48, "A", 13.21, "B", 4.86, "C", 10.56, "D", 10.87, "E", 16.75, "F", 22, "G", 13.2, "H", 19.3, "I", 17.5, "J", 12.8, "K", 17.3, "L", 17, -1))</f>
        <v>5</v>
      </c>
      <c r="I48" s="9">
        <f t="shared" si="23"/>
        <v>325.32</v>
      </c>
      <c r="J48" s="10" t="s">
        <v>14</v>
      </c>
    </row>
    <row r="49" spans="1:10" ht="14.25" customHeight="1" x14ac:dyDescent="0.3">
      <c r="A49" s="11" t="s">
        <v>70</v>
      </c>
      <c r="B49" s="73" t="s">
        <v>68</v>
      </c>
      <c r="C49" s="62"/>
      <c r="D49" s="62"/>
      <c r="E49" s="62"/>
      <c r="F49" s="62"/>
      <c r="G49" s="62"/>
      <c r="H49" s="62"/>
      <c r="I49" s="62"/>
      <c r="J49" s="63"/>
    </row>
    <row r="50" spans="1:10" ht="14.25" customHeight="1" x14ac:dyDescent="0.3">
      <c r="A50" s="4" t="s">
        <v>71</v>
      </c>
      <c r="B50" s="7" t="s">
        <v>68</v>
      </c>
      <c r="C50" s="5">
        <v>5.5</v>
      </c>
      <c r="D50" s="5">
        <v>8.5</v>
      </c>
      <c r="E50" s="6">
        <f t="shared" ref="E50:E54" si="24">C50*D50</f>
        <v>46.75</v>
      </c>
      <c r="F50" s="6">
        <f t="shared" ref="F50:F54" si="25">ROUNDUP(E50/10,0)</f>
        <v>5</v>
      </c>
      <c r="G50" s="7">
        <v>21.82</v>
      </c>
      <c r="H50" s="16" cm="1">
        <f t="array" ref="H50">_xlfn.CEILING.MATH(_xlfn.SWITCH(J50, "A", 13.21, "B", 4.86, "C", 10.56, "D", 10.87, "E", 16.75, "F", 22, "G", 13.2, "H", 19.3, "I", 17.5, "J", 12.8, "K", 17.3, "L", 17, -1))</f>
        <v>11</v>
      </c>
      <c r="I50" s="9">
        <f t="shared" ref="I50:I54" si="26">2*F50*(G50+H50+6)</f>
        <v>388.2</v>
      </c>
      <c r="J50" s="10" t="s">
        <v>17</v>
      </c>
    </row>
    <row r="51" spans="1:10" ht="14.25" customHeight="1" x14ac:dyDescent="0.3">
      <c r="A51" s="4" t="s">
        <v>72</v>
      </c>
      <c r="B51" s="7" t="s">
        <v>68</v>
      </c>
      <c r="C51" s="5">
        <v>5.5</v>
      </c>
      <c r="D51" s="5">
        <v>8.5</v>
      </c>
      <c r="E51" s="6">
        <f t="shared" si="24"/>
        <v>46.75</v>
      </c>
      <c r="F51" s="6">
        <f t="shared" si="25"/>
        <v>5</v>
      </c>
      <c r="G51" s="7">
        <v>27.82</v>
      </c>
      <c r="H51" s="16" cm="1">
        <f t="array" ref="H51">_xlfn.CEILING.MATH(_xlfn.SWITCH(J51, "A", 13.21, "B", 4.86, "C", 10.56, "D", 10.87, "E", 16.75, "F", 22, "G", 13.2, "H", 19.3, "I", 17.5, "J", 12.8, "K", 17.3, "L", 17, -1))</f>
        <v>11</v>
      </c>
      <c r="I51" s="9">
        <f t="shared" si="26"/>
        <v>448.2</v>
      </c>
      <c r="J51" s="10" t="s">
        <v>17</v>
      </c>
    </row>
    <row r="52" spans="1:10" ht="14.25" customHeight="1" x14ac:dyDescent="0.3">
      <c r="A52" s="4" t="s">
        <v>73</v>
      </c>
      <c r="B52" s="7" t="s">
        <v>68</v>
      </c>
      <c r="C52" s="5">
        <v>5.5</v>
      </c>
      <c r="D52" s="5">
        <v>8.5</v>
      </c>
      <c r="E52" s="6">
        <f t="shared" si="24"/>
        <v>46.75</v>
      </c>
      <c r="F52" s="6">
        <f t="shared" si="25"/>
        <v>5</v>
      </c>
      <c r="G52" s="7">
        <v>33.53</v>
      </c>
      <c r="H52" s="16" cm="1">
        <f t="array" ref="H52">_xlfn.CEILING.MATH(_xlfn.SWITCH(J52, "A", 13.21, "B", 4.86, "C", 10.56, "D", 10.87, "E", 16.75, "F", 22, "G", 13.2, "H", 19.3, "I", 17.5, "J", 12.8, "K", 17.3, "L", 17, -1))</f>
        <v>11</v>
      </c>
      <c r="I52" s="9">
        <f t="shared" si="26"/>
        <v>505.3</v>
      </c>
      <c r="J52" s="10" t="s">
        <v>17</v>
      </c>
    </row>
    <row r="53" spans="1:10" ht="14.25" customHeight="1" x14ac:dyDescent="0.3">
      <c r="A53" s="4" t="s">
        <v>74</v>
      </c>
      <c r="B53" s="7" t="s">
        <v>68</v>
      </c>
      <c r="C53" s="5">
        <v>5.5</v>
      </c>
      <c r="D53" s="5">
        <v>8.5</v>
      </c>
      <c r="E53" s="6">
        <f t="shared" si="24"/>
        <v>46.75</v>
      </c>
      <c r="F53" s="6">
        <f t="shared" si="25"/>
        <v>5</v>
      </c>
      <c r="G53" s="7">
        <v>39.53</v>
      </c>
      <c r="H53" s="16" cm="1">
        <f t="array" ref="H53">_xlfn.CEILING.MATH(_xlfn.SWITCH(J53, "A", 13.21, "B", 4.86, "C", 10.56, "D", 10.87, "E", 16.75, "F", 22, "G", 13.2, "H", 19.3, "I", 17.5, "J", 12.8, "K", 17.3, "L", 17, -1))</f>
        <v>11</v>
      </c>
      <c r="I53" s="9">
        <f t="shared" si="26"/>
        <v>565.29999999999995</v>
      </c>
      <c r="J53" s="10" t="s">
        <v>17</v>
      </c>
    </row>
    <row r="54" spans="1:10" ht="14.25" customHeight="1" x14ac:dyDescent="0.3">
      <c r="A54" s="4" t="s">
        <v>75</v>
      </c>
      <c r="B54" s="7" t="s">
        <v>68</v>
      </c>
      <c r="C54" s="5">
        <v>5.5</v>
      </c>
      <c r="D54" s="5">
        <v>8.5</v>
      </c>
      <c r="E54" s="6">
        <f t="shared" si="24"/>
        <v>46.75</v>
      </c>
      <c r="F54" s="6">
        <f t="shared" si="25"/>
        <v>5</v>
      </c>
      <c r="G54" s="7">
        <v>45.24</v>
      </c>
      <c r="H54" s="16" cm="1">
        <f t="array" ref="H54">_xlfn.CEILING.MATH(_xlfn.SWITCH(J54, "A", 13.21, "B", 4.86, "C", 10.56, "D", 10.87, "E", 16.75, "F", 22, "G", 13.2, "H", 19.3, "I", 17.5, "J", 12.8, "K", 17.3, "L", 17, -1))</f>
        <v>11</v>
      </c>
      <c r="I54" s="9">
        <f t="shared" si="26"/>
        <v>622.4</v>
      </c>
      <c r="J54" s="10" t="s">
        <v>17</v>
      </c>
    </row>
    <row r="55" spans="1:10" ht="14.25" customHeight="1" x14ac:dyDescent="0.3">
      <c r="A55" s="12" t="s">
        <v>76</v>
      </c>
      <c r="B55" s="55" t="s">
        <v>23</v>
      </c>
      <c r="C55" s="56"/>
      <c r="D55" s="56"/>
      <c r="E55" s="56"/>
      <c r="F55" s="56"/>
      <c r="G55" s="56"/>
      <c r="H55" s="56"/>
      <c r="I55" s="56"/>
      <c r="J55" s="57"/>
    </row>
    <row r="56" spans="1:10" ht="14.25" customHeight="1" x14ac:dyDescent="0.3">
      <c r="A56" s="12" t="s">
        <v>77</v>
      </c>
      <c r="B56" s="58"/>
      <c r="C56" s="59"/>
      <c r="D56" s="59"/>
      <c r="E56" s="59"/>
      <c r="F56" s="59"/>
      <c r="G56" s="59"/>
      <c r="H56" s="59"/>
      <c r="I56" s="59"/>
      <c r="J56" s="60"/>
    </row>
    <row r="57" spans="1:10" ht="14.25" customHeight="1" x14ac:dyDescent="0.3">
      <c r="A57" s="4" t="s">
        <v>78</v>
      </c>
      <c r="B57" s="7" t="s">
        <v>68</v>
      </c>
      <c r="C57" s="5">
        <v>8.5</v>
      </c>
      <c r="D57" s="5">
        <v>11.5</v>
      </c>
      <c r="E57" s="6">
        <f t="shared" ref="E57:E64" si="27">C57*D57</f>
        <v>97.75</v>
      </c>
      <c r="F57" s="6">
        <f t="shared" ref="F57:F64" si="28">ROUNDUP(E57/10,0)</f>
        <v>10</v>
      </c>
      <c r="G57" s="7">
        <v>0.5</v>
      </c>
      <c r="H57" s="16" cm="1">
        <f t="array" ref="H57">_xlfn.CEILING.MATH(_xlfn.SWITCH(J57, "A", 13.21, "B", 4.86, "C", 10.56, "D", 10.87, "E", 16.75, "F", 22, "G", 13.2, "H", 19.3, "I", 17.5, "J", 12.8, "K", 17.3, "L", 17, -1))</f>
        <v>11</v>
      </c>
      <c r="I57" s="9">
        <f t="shared" ref="I57:I64" si="29">2*F57*(G57+H57+6)</f>
        <v>350</v>
      </c>
      <c r="J57" s="10" t="s">
        <v>26</v>
      </c>
    </row>
    <row r="58" spans="1:10" ht="14.25" customHeight="1" x14ac:dyDescent="0.3">
      <c r="A58" s="4" t="s">
        <v>79</v>
      </c>
      <c r="B58" s="7" t="s">
        <v>68</v>
      </c>
      <c r="C58" s="5">
        <v>20</v>
      </c>
      <c r="D58" s="5">
        <v>16.5</v>
      </c>
      <c r="E58" s="6">
        <f t="shared" si="27"/>
        <v>330</v>
      </c>
      <c r="F58" s="6">
        <f t="shared" si="28"/>
        <v>33</v>
      </c>
      <c r="G58" s="7">
        <v>5</v>
      </c>
      <c r="H58" s="16" cm="1">
        <f t="array" ref="H58">_xlfn.CEILING.MATH(_xlfn.SWITCH(J58, "A", 13.21, "B", 4.86, "C", 10.56, "D", 10.87, "E", 16.75, "F", 22, "G", 13.2, "H", 19.3, "I", 17.5, "J", 12.8, "K", 17.3, "L", 17, -1))</f>
        <v>22</v>
      </c>
      <c r="I58" s="9">
        <f t="shared" si="29"/>
        <v>2178</v>
      </c>
      <c r="J58" s="10" t="s">
        <v>28</v>
      </c>
    </row>
    <row r="59" spans="1:10" ht="14.25" customHeight="1" x14ac:dyDescent="0.3">
      <c r="A59" s="4" t="s">
        <v>80</v>
      </c>
      <c r="B59" s="7" t="s">
        <v>68</v>
      </c>
      <c r="C59" s="5">
        <v>6.5</v>
      </c>
      <c r="D59" s="5">
        <v>11.5</v>
      </c>
      <c r="E59" s="6">
        <f t="shared" si="27"/>
        <v>74.75</v>
      </c>
      <c r="F59" s="6">
        <f t="shared" si="28"/>
        <v>8</v>
      </c>
      <c r="G59" s="7">
        <v>84.64</v>
      </c>
      <c r="H59" s="16" cm="1">
        <f t="array" ref="H59">_xlfn.CEILING.MATH(_xlfn.SWITCH(J59, "A", 13.21, "B", 4.86, "C", 10.56, "D", 10.87, "E", 16.75, "F", 22, "G", 13.2, "H", 19.3, "I", 17.5, "J", 12.8, "K", 17.3, "L", 17, -1))</f>
        <v>17</v>
      </c>
      <c r="I59" s="9">
        <f t="shared" si="29"/>
        <v>1722.24</v>
      </c>
      <c r="J59" s="10" t="s">
        <v>30</v>
      </c>
    </row>
    <row r="60" spans="1:10" ht="14.25" customHeight="1" x14ac:dyDescent="0.3">
      <c r="A60" s="4" t="s">
        <v>81</v>
      </c>
      <c r="B60" s="7" t="s">
        <v>68</v>
      </c>
      <c r="C60" s="5">
        <v>6.5</v>
      </c>
      <c r="D60" s="5">
        <v>11.5</v>
      </c>
      <c r="E60" s="6">
        <f t="shared" si="27"/>
        <v>74.75</v>
      </c>
      <c r="F60" s="6">
        <f t="shared" si="28"/>
        <v>8</v>
      </c>
      <c r="G60" s="7">
        <v>91.78</v>
      </c>
      <c r="H60" s="16" cm="1">
        <f t="array" ref="H60">_xlfn.CEILING.MATH(_xlfn.SWITCH(J60, "A", 13.21, "B", 4.86, "C", 10.56, "D", 10.87, "E", 16.75, "F", 22, "G", 13.2, "H", 19.3, "I", 17.5, "J", 12.8, "K", 17.3, "L", 17, -1))</f>
        <v>17</v>
      </c>
      <c r="I60" s="9">
        <f t="shared" si="29"/>
        <v>1836.48</v>
      </c>
      <c r="J60" s="10" t="s">
        <v>30</v>
      </c>
    </row>
    <row r="61" spans="1:10" ht="14.25" customHeight="1" x14ac:dyDescent="0.3">
      <c r="A61" s="4" t="s">
        <v>82</v>
      </c>
      <c r="B61" s="7" t="s">
        <v>68</v>
      </c>
      <c r="C61" s="5">
        <v>6.5</v>
      </c>
      <c r="D61" s="5">
        <v>11.5</v>
      </c>
      <c r="E61" s="6">
        <f t="shared" si="27"/>
        <v>74.75</v>
      </c>
      <c r="F61" s="6">
        <f t="shared" si="28"/>
        <v>8</v>
      </c>
      <c r="G61" s="7">
        <v>98.78</v>
      </c>
      <c r="H61" s="16" cm="1">
        <f t="array" ref="H61">_xlfn.CEILING.MATH(_xlfn.SWITCH(J61, "A", 13.21, "B", 4.86, "C", 10.56, "D", 10.87, "E", 16.75, "F", 22, "G", 13.2, "H", 19.3, "I", 17.5, "J", 12.8, "K", 17.3, "L", 17, -1))</f>
        <v>17</v>
      </c>
      <c r="I61" s="9">
        <f t="shared" si="29"/>
        <v>1948.48</v>
      </c>
      <c r="J61" s="10" t="s">
        <v>30</v>
      </c>
    </row>
    <row r="62" spans="1:10" ht="14.25" customHeight="1" x14ac:dyDescent="0.3">
      <c r="A62" s="4" t="s">
        <v>83</v>
      </c>
      <c r="B62" s="7" t="s">
        <v>68</v>
      </c>
      <c r="C62" s="5">
        <v>6.5</v>
      </c>
      <c r="D62" s="5">
        <v>11.5</v>
      </c>
      <c r="E62" s="6">
        <f t="shared" si="27"/>
        <v>74.75</v>
      </c>
      <c r="F62" s="6">
        <f t="shared" si="28"/>
        <v>8</v>
      </c>
      <c r="G62" s="7">
        <v>105.92</v>
      </c>
      <c r="H62" s="16" cm="1">
        <f t="array" ref="H62">_xlfn.CEILING.MATH(_xlfn.SWITCH(J62, "A", 13.21, "B", 4.86, "C", 10.56, "D", 10.87, "E", 16.75, "F", 22, "G", 13.2, "H", 19.3, "I", 17.5, "J", 12.8, "K", 17.3, "L", 17, -1))</f>
        <v>17</v>
      </c>
      <c r="I62" s="9">
        <f t="shared" si="29"/>
        <v>2062.7200000000003</v>
      </c>
      <c r="J62" s="10" t="s">
        <v>30</v>
      </c>
    </row>
    <row r="63" spans="1:10" ht="14.25" customHeight="1" x14ac:dyDescent="0.3">
      <c r="A63" s="4" t="s">
        <v>84</v>
      </c>
      <c r="B63" s="7" t="s">
        <v>68</v>
      </c>
      <c r="C63" s="5">
        <v>6.5</v>
      </c>
      <c r="D63" s="5">
        <v>11.5</v>
      </c>
      <c r="E63" s="6">
        <f t="shared" si="27"/>
        <v>74.75</v>
      </c>
      <c r="F63" s="6">
        <f t="shared" si="28"/>
        <v>8</v>
      </c>
      <c r="G63" s="7">
        <v>112.92</v>
      </c>
      <c r="H63" s="16" cm="1">
        <f t="array" ref="H63">_xlfn.CEILING.MATH(_xlfn.SWITCH(J63, "A", 13.21, "B", 4.86, "C", 10.56, "D", 10.87, "E", 16.75, "F", 22, "G", 13.2, "H", 19.3, "I", 17.5, "J", 12.8, "K", 17.3, "L", 17, -1))</f>
        <v>17</v>
      </c>
      <c r="I63" s="9">
        <f t="shared" si="29"/>
        <v>2174.7200000000003</v>
      </c>
      <c r="J63" s="10" t="s">
        <v>30</v>
      </c>
    </row>
    <row r="64" spans="1:10" ht="14.25" customHeight="1" x14ac:dyDescent="0.3">
      <c r="A64" s="4" t="s">
        <v>85</v>
      </c>
      <c r="B64" s="7" t="s">
        <v>68</v>
      </c>
      <c r="C64" s="5">
        <v>10</v>
      </c>
      <c r="D64" s="5">
        <v>20</v>
      </c>
      <c r="E64" s="6">
        <f t="shared" si="27"/>
        <v>200</v>
      </c>
      <c r="F64" s="6">
        <f t="shared" si="28"/>
        <v>20</v>
      </c>
      <c r="G64" s="7">
        <v>17.5</v>
      </c>
      <c r="H64" s="16" cm="1">
        <f t="array" ref="H64">_xlfn.CEILING.MATH(_xlfn.SWITCH(J64, "A", 13.21, "B", 4.86, "C", 10.56, "D", 10.87, "E", 16.75, "F", 22, "G", 13.2, "H", 19.3, "I", 17.5, "J", 12.8, "K", 17.3, "L", 17, -1))</f>
        <v>14</v>
      </c>
      <c r="I64" s="9">
        <f t="shared" si="29"/>
        <v>1500</v>
      </c>
      <c r="J64" s="10" t="s">
        <v>36</v>
      </c>
    </row>
    <row r="65" spans="1:10" ht="14.25" customHeight="1" x14ac:dyDescent="0.3">
      <c r="A65" s="13" t="s">
        <v>86</v>
      </c>
      <c r="B65" s="13"/>
      <c r="C65" s="13"/>
      <c r="D65" s="13"/>
      <c r="E65" s="13"/>
      <c r="F65" s="13">
        <f>SUM(F47:F64)</f>
        <v>140</v>
      </c>
      <c r="G65" s="13"/>
      <c r="H65" s="14"/>
      <c r="I65" s="13">
        <f>SUM(I47:I64)</f>
        <v>16980.16</v>
      </c>
      <c r="J65" s="15"/>
    </row>
    <row r="66" spans="1:10" ht="14.25" customHeight="1" x14ac:dyDescent="0.3">
      <c r="A66" s="13"/>
      <c r="B66" s="13"/>
      <c r="C66" s="13"/>
      <c r="D66" s="13"/>
      <c r="E66" s="13"/>
      <c r="F66" s="13"/>
      <c r="G66" s="13"/>
      <c r="H66" s="14"/>
      <c r="I66" s="13"/>
      <c r="J66" s="15"/>
    </row>
    <row r="67" spans="1:10" ht="14.25" customHeight="1" x14ac:dyDescent="0.3">
      <c r="A67" s="4" t="s">
        <v>87</v>
      </c>
      <c r="B67" s="4" t="s">
        <v>88</v>
      </c>
      <c r="C67" s="5">
        <v>6.5</v>
      </c>
      <c r="D67" s="5">
        <v>11.5</v>
      </c>
      <c r="E67" s="6">
        <f t="shared" ref="E67:E68" si="30">C67*D67</f>
        <v>74.75</v>
      </c>
      <c r="F67" s="6">
        <f t="shared" ref="F67:F68" si="31">ROUNDUP(E67/10,0)</f>
        <v>8</v>
      </c>
      <c r="G67" s="7">
        <v>32</v>
      </c>
      <c r="H67" s="16" cm="1">
        <f t="array" ref="H67">_xlfn.CEILING.MATH(_xlfn.SWITCH(J67, "A", 13.21, "B", 4.86, "C", 10.56, "D", 10.87, "E", 16.75, "F", 22, "G", 13.2, "H", 19.3, "I", 17.5, "J", 12.8, "K", 17.3, "L", 17, -1))</f>
        <v>17</v>
      </c>
      <c r="I67" s="9">
        <f t="shared" ref="I67:I68" si="32">2*F67*(G67+H67+6)</f>
        <v>880</v>
      </c>
      <c r="J67" s="10" t="s">
        <v>30</v>
      </c>
    </row>
    <row r="68" spans="1:10" ht="14.25" customHeight="1" x14ac:dyDescent="0.3">
      <c r="A68" s="4" t="s">
        <v>89</v>
      </c>
      <c r="B68" s="4" t="s">
        <v>88</v>
      </c>
      <c r="C68" s="5">
        <v>6.5</v>
      </c>
      <c r="D68" s="5">
        <v>11.5</v>
      </c>
      <c r="E68" s="6">
        <f t="shared" si="30"/>
        <v>74.75</v>
      </c>
      <c r="F68" s="6">
        <f t="shared" si="31"/>
        <v>8</v>
      </c>
      <c r="G68" s="7">
        <v>27</v>
      </c>
      <c r="H68" s="16" cm="1">
        <f t="array" ref="H68">_xlfn.CEILING.MATH(_xlfn.SWITCH(J68, "A", 13.21, "B", 4.86, "C", 10.56, "D", 10.87, "E", 16.75, "F", 22, "G", 13.2, "H", 19.3, "I", 17.5, "J", 12.8, "K", 17.3, "L", 17, -1))</f>
        <v>17</v>
      </c>
      <c r="I68" s="9">
        <f t="shared" si="32"/>
        <v>800</v>
      </c>
      <c r="J68" s="10" t="s">
        <v>30</v>
      </c>
    </row>
    <row r="69" spans="1:10" ht="14.25" customHeight="1" x14ac:dyDescent="0.3">
      <c r="A69" s="12" t="s">
        <v>90</v>
      </c>
      <c r="B69" s="55" t="s">
        <v>23</v>
      </c>
      <c r="C69" s="56"/>
      <c r="D69" s="56"/>
      <c r="E69" s="56"/>
      <c r="F69" s="56"/>
      <c r="G69" s="56"/>
      <c r="H69" s="56"/>
      <c r="I69" s="56"/>
      <c r="J69" s="57"/>
    </row>
    <row r="70" spans="1:10" ht="14.25" customHeight="1" x14ac:dyDescent="0.3">
      <c r="A70" s="12" t="s">
        <v>91</v>
      </c>
      <c r="B70" s="58"/>
      <c r="C70" s="59"/>
      <c r="D70" s="59"/>
      <c r="E70" s="59"/>
      <c r="F70" s="59"/>
      <c r="G70" s="59"/>
      <c r="H70" s="59"/>
      <c r="I70" s="59"/>
      <c r="J70" s="60"/>
    </row>
    <row r="71" spans="1:10" ht="14.25" customHeight="1" x14ac:dyDescent="0.3">
      <c r="A71" s="4" t="s">
        <v>92</v>
      </c>
      <c r="B71" s="4" t="s">
        <v>88</v>
      </c>
      <c r="C71" s="5">
        <v>10</v>
      </c>
      <c r="D71" s="5">
        <v>20</v>
      </c>
      <c r="E71" s="6">
        <f t="shared" ref="E71:E74" si="33">C71*D71</f>
        <v>200</v>
      </c>
      <c r="F71" s="6">
        <f t="shared" ref="F71:F74" si="34">ROUNDUP(E71/10,0)</f>
        <v>20</v>
      </c>
      <c r="G71" s="7">
        <v>0.5</v>
      </c>
      <c r="H71" s="16" cm="1">
        <f t="array" ref="H71">_xlfn.CEILING.MATH(_xlfn.SWITCH(J71, "A", 13.21, "B", 4.86, "C", 10.56, "D", 10.87, "E", 16.75, "F", 22, "G", 13.2, "H", 19.3, "I", 17.5, "J", 12.8, "K", 17.3, "L", 17, -1))</f>
        <v>14</v>
      </c>
      <c r="I71" s="9">
        <f t="shared" ref="I71:I74" si="35">2*F71*(G71+H71+6)</f>
        <v>820</v>
      </c>
      <c r="J71" s="10" t="s">
        <v>36</v>
      </c>
    </row>
    <row r="72" spans="1:10" ht="14.25" customHeight="1" x14ac:dyDescent="0.3">
      <c r="A72" s="4" t="s">
        <v>93</v>
      </c>
      <c r="B72" s="4" t="s">
        <v>88</v>
      </c>
      <c r="C72" s="7">
        <v>5</v>
      </c>
      <c r="D72" s="7">
        <v>14</v>
      </c>
      <c r="E72" s="6">
        <f t="shared" si="33"/>
        <v>70</v>
      </c>
      <c r="F72" s="6">
        <f t="shared" si="34"/>
        <v>7</v>
      </c>
      <c r="G72" s="7">
        <v>56.07</v>
      </c>
      <c r="H72" s="16" cm="1">
        <f t="array" ref="H72">_xlfn.CEILING.MATH(_xlfn.SWITCH(J72, "A", 13.21, "B", 4.86, "C", 10.56, "D", 10.87, "E", 16.75, "F", 22, "G", 13.2, "H", 19.3, "I", 17.5, "J", 12.8, "K", 17.3, "L", 17, -1))</f>
        <v>17</v>
      </c>
      <c r="I72" s="9">
        <f t="shared" si="35"/>
        <v>1106.98</v>
      </c>
      <c r="J72" s="10" t="s">
        <v>94</v>
      </c>
    </row>
    <row r="73" spans="1:10" ht="14.25" customHeight="1" x14ac:dyDescent="0.3">
      <c r="A73" s="4" t="s">
        <v>95</v>
      </c>
      <c r="B73" s="4" t="s">
        <v>88</v>
      </c>
      <c r="C73" s="7">
        <v>9</v>
      </c>
      <c r="D73" s="7">
        <v>6.5</v>
      </c>
      <c r="E73" s="6">
        <f t="shared" si="33"/>
        <v>58.5</v>
      </c>
      <c r="F73" s="6">
        <f t="shared" si="34"/>
        <v>6</v>
      </c>
      <c r="G73" s="7">
        <v>12.54</v>
      </c>
      <c r="H73" s="16" cm="1">
        <f t="array" ref="H73">_xlfn.CEILING.MATH(_xlfn.SWITCH(J73, "A", 13.21, "B", 4.86, "C", 10.56, "D", 10.87, "E", 16.75, "F", 22, "G", 13.2, "H", 19.3, "I", 17.5, "J", 12.8, "K", 17.3, "L", 17, -1))</f>
        <v>18</v>
      </c>
      <c r="I73" s="9">
        <f t="shared" si="35"/>
        <v>438.48</v>
      </c>
      <c r="J73" s="10" t="s">
        <v>48</v>
      </c>
    </row>
    <row r="74" spans="1:10" ht="14.25" customHeight="1" x14ac:dyDescent="0.3">
      <c r="A74" s="4" t="s">
        <v>96</v>
      </c>
      <c r="B74" s="4" t="s">
        <v>88</v>
      </c>
      <c r="C74" s="7">
        <v>6.5</v>
      </c>
      <c r="D74" s="7">
        <v>9</v>
      </c>
      <c r="E74" s="6">
        <f t="shared" si="33"/>
        <v>58.5</v>
      </c>
      <c r="F74" s="6">
        <f t="shared" si="34"/>
        <v>6</v>
      </c>
      <c r="G74" s="7">
        <v>21.88</v>
      </c>
      <c r="H74" s="16" cm="1">
        <f t="array" ref="H74">_xlfn.CEILING.MATH(_xlfn.SWITCH(J74, "A", 13.21, "B", 4.86, "C", 10.56, "D", 10.87, "E", 16.75, "F", 22, "G", 13.2, "H", 19.3, "I", 17.5, "J", 12.8, "K", 17.3, "L", 17, -1))</f>
        <v>18</v>
      </c>
      <c r="I74" s="9">
        <f t="shared" si="35"/>
        <v>550.55999999999995</v>
      </c>
      <c r="J74" s="10" t="s">
        <v>48</v>
      </c>
    </row>
    <row r="75" spans="1:10" ht="14.25" customHeight="1" x14ac:dyDescent="0.3">
      <c r="A75" s="11" t="s">
        <v>97</v>
      </c>
      <c r="B75" s="61" t="s">
        <v>88</v>
      </c>
      <c r="C75" s="62"/>
      <c r="D75" s="62"/>
      <c r="E75" s="62"/>
      <c r="F75" s="62"/>
      <c r="G75" s="62"/>
      <c r="H75" s="62"/>
      <c r="I75" s="62"/>
      <c r="J75" s="63"/>
    </row>
    <row r="76" spans="1:10" ht="14.25" customHeight="1" x14ac:dyDescent="0.3">
      <c r="A76" s="4" t="s">
        <v>98</v>
      </c>
      <c r="B76" s="4" t="s">
        <v>88</v>
      </c>
      <c r="C76" s="7">
        <v>4</v>
      </c>
      <c r="D76" s="7">
        <v>4</v>
      </c>
      <c r="E76" s="6">
        <f t="shared" ref="E76:E80" si="36">C76*D76</f>
        <v>16</v>
      </c>
      <c r="F76" s="6">
        <f t="shared" ref="F76:F80" si="37">ROUNDUP(E76/10,0)</f>
        <v>2</v>
      </c>
      <c r="G76" s="7">
        <v>11.5</v>
      </c>
      <c r="H76" s="16" cm="1">
        <f t="array" ref="H76">_xlfn.CEILING.MATH(_xlfn.SWITCH(J76, "A", 13.21, "B", 4.86, "C", 10.56, "D", 10.87, "E", 16.75, "F", 22, "G", 13.2, "H", 19.3, "I", 17.5, "J", 12.8, "K", 17.3, "L", 17, -1))</f>
        <v>13</v>
      </c>
      <c r="I76" s="9">
        <f t="shared" ref="I76:I80" si="38">2*F76*(G76+H76+6)</f>
        <v>122</v>
      </c>
      <c r="J76" s="10" t="s">
        <v>52</v>
      </c>
    </row>
    <row r="77" spans="1:10" ht="14.25" customHeight="1" x14ac:dyDescent="0.3">
      <c r="A77" s="4" t="s">
        <v>99</v>
      </c>
      <c r="B77" s="4" t="s">
        <v>88</v>
      </c>
      <c r="C77" s="7">
        <v>4.5</v>
      </c>
      <c r="D77" s="7">
        <v>9.5</v>
      </c>
      <c r="E77" s="6">
        <f t="shared" si="36"/>
        <v>42.75</v>
      </c>
      <c r="F77" s="6">
        <f t="shared" si="37"/>
        <v>5</v>
      </c>
      <c r="G77" s="7">
        <v>17</v>
      </c>
      <c r="H77" s="16" cm="1">
        <f t="array" ref="H77">_xlfn.CEILING.MATH(_xlfn.SWITCH(J77, "A", 13.21, "B", 4.86, "C", 10.56, "D", 10.87, "E", 16.75, "F", 22, "G", 13.2, "H", 19.3, "I", 17.5, "J", 12.8, "K", 17.3, "L", 17, -1))</f>
        <v>13</v>
      </c>
      <c r="I77" s="9">
        <f t="shared" si="38"/>
        <v>360</v>
      </c>
      <c r="J77" s="10" t="s">
        <v>52</v>
      </c>
    </row>
    <row r="78" spans="1:10" ht="14.25" customHeight="1" x14ac:dyDescent="0.3">
      <c r="A78" s="4" t="s">
        <v>100</v>
      </c>
      <c r="B78" s="4" t="s">
        <v>88</v>
      </c>
      <c r="C78" s="7">
        <v>4.5</v>
      </c>
      <c r="D78" s="7">
        <v>9.5</v>
      </c>
      <c r="E78" s="6">
        <f t="shared" si="36"/>
        <v>42.75</v>
      </c>
      <c r="F78" s="6">
        <f t="shared" si="37"/>
        <v>5</v>
      </c>
      <c r="G78" s="7">
        <v>22.5</v>
      </c>
      <c r="H78" s="16" cm="1">
        <f t="array" ref="H78">_xlfn.CEILING.MATH(_xlfn.SWITCH(J78, "A", 13.21, "B", 4.86, "C", 10.56, "D", 10.87, "E", 16.75, "F", 22, "G", 13.2, "H", 19.3, "I", 17.5, "J", 12.8, "K", 17.3, "L", 17, -1))</f>
        <v>13</v>
      </c>
      <c r="I78" s="9">
        <f t="shared" si="38"/>
        <v>415</v>
      </c>
      <c r="J78" s="10" t="s">
        <v>52</v>
      </c>
    </row>
    <row r="79" spans="1:10" ht="14.25" customHeight="1" x14ac:dyDescent="0.3">
      <c r="A79" s="4" t="s">
        <v>101</v>
      </c>
      <c r="B79" s="4" t="s">
        <v>88</v>
      </c>
      <c r="C79" s="7">
        <v>4.5</v>
      </c>
      <c r="D79" s="7">
        <v>9.5</v>
      </c>
      <c r="E79" s="6">
        <f t="shared" si="36"/>
        <v>42.75</v>
      </c>
      <c r="F79" s="6">
        <f t="shared" si="37"/>
        <v>5</v>
      </c>
      <c r="G79" s="7">
        <v>28</v>
      </c>
      <c r="H79" s="16" cm="1">
        <f t="array" ref="H79">_xlfn.CEILING.MATH(_xlfn.SWITCH(J79, "A", 13.21, "B", 4.86, "C", 10.56, "D", 10.87, "E", 16.75, "F", 22, "G", 13.2, "H", 19.3, "I", 17.5, "J", 12.8, "K", 17.3, "L", 17, -1))</f>
        <v>13</v>
      </c>
      <c r="I79" s="9">
        <f t="shared" si="38"/>
        <v>470</v>
      </c>
      <c r="J79" s="10" t="s">
        <v>52</v>
      </c>
    </row>
    <row r="80" spans="1:10" ht="14.25" customHeight="1" x14ac:dyDescent="0.3">
      <c r="A80" s="4" t="s">
        <v>102</v>
      </c>
      <c r="B80" s="4" t="s">
        <v>88</v>
      </c>
      <c r="C80" s="7">
        <v>4.5</v>
      </c>
      <c r="D80" s="7">
        <v>9.5</v>
      </c>
      <c r="E80" s="6">
        <f t="shared" si="36"/>
        <v>42.75</v>
      </c>
      <c r="F80" s="6">
        <f t="shared" si="37"/>
        <v>5</v>
      </c>
      <c r="G80" s="7">
        <v>33.5</v>
      </c>
      <c r="H80" s="16" cm="1">
        <f t="array" ref="H80">_xlfn.CEILING.MATH(_xlfn.SWITCH(J80, "A", 13.21, "B", 4.86, "C", 10.56, "D", 10.87, "E", 16.75, "F", 22, "G", 13.2, "H", 19.3, "I", 17.5, "J", 12.8, "K", 17.3, "L", 17, -1))</f>
        <v>13</v>
      </c>
      <c r="I80" s="9">
        <f t="shared" si="38"/>
        <v>525</v>
      </c>
      <c r="J80" s="10" t="s">
        <v>52</v>
      </c>
    </row>
    <row r="81" spans="1:10" ht="14.25" customHeight="1" x14ac:dyDescent="0.3">
      <c r="A81" s="12" t="s">
        <v>103</v>
      </c>
      <c r="B81" s="64" t="s">
        <v>23</v>
      </c>
      <c r="C81" s="56"/>
      <c r="D81" s="56"/>
      <c r="E81" s="56"/>
      <c r="F81" s="56"/>
      <c r="G81" s="56"/>
      <c r="H81" s="56"/>
      <c r="I81" s="56"/>
      <c r="J81" s="57"/>
    </row>
    <row r="82" spans="1:10" ht="14.25" customHeight="1" x14ac:dyDescent="0.3">
      <c r="A82" s="12" t="s">
        <v>104</v>
      </c>
      <c r="B82" s="58"/>
      <c r="C82" s="59"/>
      <c r="D82" s="59"/>
      <c r="E82" s="59"/>
      <c r="F82" s="59"/>
      <c r="G82" s="59"/>
      <c r="H82" s="59"/>
      <c r="I82" s="59"/>
      <c r="J82" s="60"/>
    </row>
    <row r="83" spans="1:10" ht="14.25" customHeight="1" x14ac:dyDescent="0.3">
      <c r="A83" s="4" t="s">
        <v>105</v>
      </c>
      <c r="B83" s="4" t="s">
        <v>88</v>
      </c>
      <c r="C83" s="7">
        <v>6.5</v>
      </c>
      <c r="D83" s="7">
        <v>12.5</v>
      </c>
      <c r="E83" s="6">
        <f t="shared" ref="E83:E88" si="39">C83*D83</f>
        <v>81.25</v>
      </c>
      <c r="F83" s="6">
        <f t="shared" ref="F83:F88" si="40">ROUNDUP(E83/10,0)</f>
        <v>9</v>
      </c>
      <c r="G83" s="7">
        <v>10.5</v>
      </c>
      <c r="H83" s="16" cm="1">
        <f t="array" ref="H83">_xlfn.CEILING.MATH(_xlfn.SWITCH(J83, "A", 13.21, "B", 4.86, "C", 10.56, "D", 10.87, "E", 16.75, "F", 22, "G", 13.2, "H", 19.3, "I", 17.5, "J", 12.8, "K", 17.3, "L", 17, -1))</f>
        <v>18</v>
      </c>
      <c r="I83" s="9">
        <f t="shared" ref="I83:I88" si="41">2*F83*(G83+H83+6)</f>
        <v>621</v>
      </c>
      <c r="J83" s="10" t="s">
        <v>60</v>
      </c>
    </row>
    <row r="84" spans="1:10" ht="14.25" customHeight="1" x14ac:dyDescent="0.3">
      <c r="A84" s="4" t="s">
        <v>106</v>
      </c>
      <c r="B84" s="4" t="s">
        <v>88</v>
      </c>
      <c r="C84" s="7">
        <v>6.5</v>
      </c>
      <c r="D84" s="7">
        <v>12.5</v>
      </c>
      <c r="E84" s="6">
        <f t="shared" si="39"/>
        <v>81.25</v>
      </c>
      <c r="F84" s="6">
        <f t="shared" si="40"/>
        <v>9</v>
      </c>
      <c r="G84" s="7">
        <v>17.5</v>
      </c>
      <c r="H84" s="16" cm="1">
        <f t="array" ref="H84">_xlfn.CEILING.MATH(_xlfn.SWITCH(J84, "A", 13.21, "B", 4.86, "C", 10.56, "D", 10.87, "E", 16.75, "F", 22, "G", 13.2, "H", 19.3, "I", 17.5, "J", 12.8, "K", 17.3, "L", 17, -1))</f>
        <v>18</v>
      </c>
      <c r="I84" s="9">
        <f t="shared" si="41"/>
        <v>747</v>
      </c>
      <c r="J84" s="10" t="s">
        <v>60</v>
      </c>
    </row>
    <row r="85" spans="1:10" ht="14.25" customHeight="1" x14ac:dyDescent="0.3">
      <c r="A85" s="4" t="s">
        <v>107</v>
      </c>
      <c r="B85" s="4" t="s">
        <v>88</v>
      </c>
      <c r="C85" s="7">
        <v>5.5</v>
      </c>
      <c r="D85" s="7">
        <v>12.5</v>
      </c>
      <c r="E85" s="6">
        <f t="shared" si="39"/>
        <v>68.75</v>
      </c>
      <c r="F85" s="6">
        <f t="shared" si="40"/>
        <v>7</v>
      </c>
      <c r="G85" s="7">
        <v>23.5</v>
      </c>
      <c r="H85" s="16" cm="1">
        <f t="array" ref="H85">_xlfn.CEILING.MATH(_xlfn.SWITCH(J85, "A", 13.21, "B", 4.86, "C", 10.56, "D", 10.87, "E", 16.75, "F", 22, "G", 13.2, "H", 19.3, "I", 17.5, "J", 12.8, "K", 17.3, "L", 17, -1))</f>
        <v>18</v>
      </c>
      <c r="I85" s="9">
        <f t="shared" si="41"/>
        <v>665</v>
      </c>
      <c r="J85" s="10" t="s">
        <v>60</v>
      </c>
    </row>
    <row r="86" spans="1:10" ht="14.25" customHeight="1" x14ac:dyDescent="0.3">
      <c r="A86" s="4" t="s">
        <v>108</v>
      </c>
      <c r="B86" s="4" t="s">
        <v>88</v>
      </c>
      <c r="C86" s="7">
        <v>5.5</v>
      </c>
      <c r="D86" s="7">
        <v>12.5</v>
      </c>
      <c r="E86" s="6">
        <f t="shared" si="39"/>
        <v>68.75</v>
      </c>
      <c r="F86" s="6">
        <f t="shared" si="40"/>
        <v>7</v>
      </c>
      <c r="G86" s="7">
        <v>29.5</v>
      </c>
      <c r="H86" s="16" cm="1">
        <f t="array" ref="H86">_xlfn.CEILING.MATH(_xlfn.SWITCH(J86, "A", 13.21, "B", 4.86, "C", 10.56, "D", 10.87, "E", 16.75, "F", 22, "G", 13.2, "H", 19.3, "I", 17.5, "J", 12.8, "K", 17.3, "L", 17, -1))</f>
        <v>18</v>
      </c>
      <c r="I86" s="9">
        <f t="shared" si="41"/>
        <v>749</v>
      </c>
      <c r="J86" s="10" t="s">
        <v>60</v>
      </c>
    </row>
    <row r="87" spans="1:10" ht="14.25" customHeight="1" x14ac:dyDescent="0.3">
      <c r="A87" s="4" t="s">
        <v>109</v>
      </c>
      <c r="B87" s="4" t="s">
        <v>88</v>
      </c>
      <c r="C87" s="7">
        <v>5.5</v>
      </c>
      <c r="D87" s="7">
        <v>12.5</v>
      </c>
      <c r="E87" s="6">
        <f t="shared" si="39"/>
        <v>68.75</v>
      </c>
      <c r="F87" s="6">
        <f t="shared" si="40"/>
        <v>7</v>
      </c>
      <c r="G87" s="7">
        <v>35.5</v>
      </c>
      <c r="H87" s="16" cm="1">
        <f t="array" ref="H87">_xlfn.CEILING.MATH(_xlfn.SWITCH(J87, "A", 13.21, "B", 4.86, "C", 10.56, "D", 10.87, "E", 16.75, "F", 22, "G", 13.2, "H", 19.3, "I", 17.5, "J", 12.8, "K", 17.3, "L", 17, -1))</f>
        <v>18</v>
      </c>
      <c r="I87" s="9">
        <f t="shared" si="41"/>
        <v>833</v>
      </c>
      <c r="J87" s="10" t="s">
        <v>60</v>
      </c>
    </row>
    <row r="88" spans="1:10" ht="14.25" customHeight="1" x14ac:dyDescent="0.3">
      <c r="A88" s="4" t="s">
        <v>110</v>
      </c>
      <c r="B88" s="4" t="s">
        <v>88</v>
      </c>
      <c r="C88" s="7">
        <v>5.5</v>
      </c>
      <c r="D88" s="7">
        <v>12.5</v>
      </c>
      <c r="E88" s="6">
        <f t="shared" si="39"/>
        <v>68.75</v>
      </c>
      <c r="F88" s="6">
        <f t="shared" si="40"/>
        <v>7</v>
      </c>
      <c r="G88" s="7">
        <v>41.5</v>
      </c>
      <c r="H88" s="16" cm="1">
        <f t="array" ref="H88">_xlfn.CEILING.MATH(_xlfn.SWITCH(J88, "A", 13.21, "B", 4.86, "C", 10.56, "D", 10.87, "E", 16.75, "F", 22, "G", 13.2, "H", 19.3, "I", 17.5, "J", 12.8, "K", 17.3, "L", 17, -1))</f>
        <v>18</v>
      </c>
      <c r="I88" s="9">
        <f t="shared" si="41"/>
        <v>917</v>
      </c>
      <c r="J88" s="10" t="s">
        <v>60</v>
      </c>
    </row>
    <row r="89" spans="1:10" ht="14.25" customHeight="1" x14ac:dyDescent="0.3">
      <c r="A89" s="13" t="s">
        <v>111</v>
      </c>
      <c r="B89" s="13"/>
      <c r="C89" s="13"/>
      <c r="D89" s="13"/>
      <c r="E89" s="13"/>
      <c r="F89" s="13">
        <f>SUM(F67:F88)</f>
        <v>123</v>
      </c>
      <c r="G89" s="13"/>
      <c r="H89" s="14"/>
      <c r="I89" s="13">
        <f>SUM(I67:I88)</f>
        <v>11020.02</v>
      </c>
      <c r="J89" s="15"/>
    </row>
    <row r="90" spans="1:10" ht="14.25" customHeight="1" x14ac:dyDescent="0.3">
      <c r="H90" s="17"/>
      <c r="J90" s="15"/>
    </row>
    <row r="91" spans="1:10" ht="14.25" customHeight="1" x14ac:dyDescent="0.3">
      <c r="A91" s="18" t="s">
        <v>112</v>
      </c>
      <c r="B91" s="18"/>
      <c r="C91" s="18"/>
      <c r="D91" s="18"/>
      <c r="E91" s="18"/>
      <c r="F91" s="18">
        <f>F89+F65+F45+F20</f>
        <v>537</v>
      </c>
      <c r="G91" s="18"/>
      <c r="H91" s="19"/>
      <c r="I91" s="18">
        <f>I89+I65+I45+I20</f>
        <v>57307.380000000005</v>
      </c>
      <c r="J91" s="15"/>
    </row>
    <row r="92" spans="1:10" ht="14.25" customHeight="1" x14ac:dyDescent="0.3">
      <c r="H92" s="17"/>
      <c r="J92" s="15"/>
    </row>
    <row r="93" spans="1:10" ht="14.25" customHeight="1" x14ac:dyDescent="0.3">
      <c r="H93" s="14" t="s">
        <v>113</v>
      </c>
      <c r="I93" s="13">
        <f>ROUNDUP(ROUNDUP($I$91/305,0)*1.1,0)</f>
        <v>207</v>
      </c>
      <c r="J93" s="15"/>
    </row>
    <row r="94" spans="1:10" ht="14.25" customHeight="1" x14ac:dyDescent="0.3">
      <c r="H94" s="14" t="s">
        <v>114</v>
      </c>
      <c r="I94" s="13">
        <f>ROUNDUP($I$91/2000,0)</f>
        <v>29</v>
      </c>
      <c r="J94" s="15"/>
    </row>
    <row r="95" spans="1:10" ht="14.25" customHeight="1" x14ac:dyDescent="0.3">
      <c r="H95" s="17"/>
      <c r="J95" s="15"/>
    </row>
    <row r="96" spans="1:10" ht="14.25" customHeight="1" x14ac:dyDescent="0.3">
      <c r="H96" s="17"/>
      <c r="J96" s="15"/>
    </row>
    <row r="97" spans="1:10" ht="14.25" customHeight="1" x14ac:dyDescent="0.3">
      <c r="A97" s="71" t="s">
        <v>126</v>
      </c>
      <c r="B97" s="72"/>
      <c r="C97" s="18">
        <f>I91/(F91*2)</f>
        <v>53.358826815642459</v>
      </c>
      <c r="H97" s="17"/>
      <c r="J97" s="15"/>
    </row>
    <row r="98" spans="1:10" ht="14.25" customHeight="1" x14ac:dyDescent="0.3">
      <c r="H98" s="17"/>
      <c r="J98" s="15"/>
    </row>
    <row r="99" spans="1:10" ht="14.25" customHeight="1" x14ac:dyDescent="0.3">
      <c r="A99" s="70" t="s">
        <v>127</v>
      </c>
      <c r="B99" s="66"/>
      <c r="C99" s="66"/>
      <c r="D99" s="66"/>
      <c r="E99" s="66"/>
      <c r="F99" s="66"/>
      <c r="G99" s="66"/>
      <c r="H99" s="67"/>
      <c r="J99" s="15"/>
    </row>
    <row r="100" spans="1:10" ht="14.25" customHeight="1" x14ac:dyDescent="0.3">
      <c r="A100" s="69" t="s">
        <v>128</v>
      </c>
      <c r="B100" s="67"/>
      <c r="H100" s="17"/>
      <c r="J100" s="15"/>
    </row>
    <row r="101" spans="1:10" ht="14.25" customHeight="1" x14ac:dyDescent="0.3">
      <c r="A101" s="68" t="s">
        <v>129</v>
      </c>
      <c r="B101" s="67"/>
      <c r="H101" s="17"/>
      <c r="J101" s="15"/>
    </row>
    <row r="102" spans="1:10" ht="14.25" customHeight="1" x14ac:dyDescent="0.3">
      <c r="A102" s="65" t="s">
        <v>130</v>
      </c>
      <c r="B102" s="66"/>
      <c r="C102" s="66"/>
      <c r="D102" s="66"/>
      <c r="E102" s="67"/>
      <c r="H102" s="17"/>
      <c r="J102" s="15"/>
    </row>
    <row r="103" spans="1:10" ht="14.25" customHeight="1" x14ac:dyDescent="0.3">
      <c r="H103" s="17"/>
      <c r="J103" s="15"/>
    </row>
    <row r="104" spans="1:10" ht="14.25" customHeight="1" x14ac:dyDescent="0.3">
      <c r="H104" s="17"/>
      <c r="J104" s="15"/>
    </row>
    <row r="105" spans="1:10" ht="14.25" customHeight="1" x14ac:dyDescent="0.3">
      <c r="H105" s="17"/>
      <c r="J105" s="15"/>
    </row>
    <row r="106" spans="1:10" ht="14.25" customHeight="1" x14ac:dyDescent="0.3">
      <c r="H106" s="17"/>
      <c r="J106" s="15"/>
    </row>
    <row r="107" spans="1:10" ht="14.25" customHeight="1" x14ac:dyDescent="0.3">
      <c r="H107" s="17"/>
      <c r="J107" s="15"/>
    </row>
    <row r="108" spans="1:10" ht="14.25" customHeight="1" x14ac:dyDescent="0.3">
      <c r="H108" s="17"/>
      <c r="J108" s="15"/>
    </row>
    <row r="109" spans="1:10" ht="14.25" customHeight="1" x14ac:dyDescent="0.3">
      <c r="H109" s="17"/>
      <c r="J109" s="15"/>
    </row>
    <row r="110" spans="1:10" ht="14.25" customHeight="1" x14ac:dyDescent="0.3">
      <c r="H110" s="17"/>
      <c r="J110" s="15"/>
    </row>
    <row r="111" spans="1:10" ht="14.25" customHeight="1" x14ac:dyDescent="0.3">
      <c r="H111" s="17"/>
      <c r="J111" s="15"/>
    </row>
    <row r="112" spans="1:10" ht="14.25" customHeight="1" x14ac:dyDescent="0.3">
      <c r="H112" s="17"/>
      <c r="J112" s="15"/>
    </row>
    <row r="113" spans="8:10" ht="14.25" customHeight="1" x14ac:dyDescent="0.3">
      <c r="H113" s="17"/>
      <c r="J113" s="15"/>
    </row>
    <row r="114" spans="8:10" ht="14.25" customHeight="1" x14ac:dyDescent="0.3">
      <c r="H114" s="17"/>
      <c r="J114" s="15"/>
    </row>
    <row r="115" spans="8:10" ht="14.25" customHeight="1" x14ac:dyDescent="0.3">
      <c r="H115" s="17"/>
      <c r="J115" s="15"/>
    </row>
    <row r="116" spans="8:10" ht="14.25" customHeight="1" x14ac:dyDescent="0.3">
      <c r="H116" s="17"/>
      <c r="J116" s="15"/>
    </row>
    <row r="117" spans="8:10" ht="14.25" customHeight="1" x14ac:dyDescent="0.3">
      <c r="H117" s="17"/>
      <c r="J117" s="15"/>
    </row>
    <row r="118" spans="8:10" ht="14.25" customHeight="1" x14ac:dyDescent="0.3">
      <c r="H118" s="17"/>
      <c r="J118" s="15"/>
    </row>
    <row r="119" spans="8:10" ht="14.25" customHeight="1" x14ac:dyDescent="0.3">
      <c r="H119" s="17"/>
      <c r="J119" s="15"/>
    </row>
    <row r="120" spans="8:10" ht="14.25" customHeight="1" x14ac:dyDescent="0.3">
      <c r="H120" s="17"/>
      <c r="J120" s="15"/>
    </row>
    <row r="121" spans="8:10" ht="14.25" customHeight="1" x14ac:dyDescent="0.3">
      <c r="H121" s="17"/>
      <c r="J121" s="15"/>
    </row>
    <row r="122" spans="8:10" ht="14.25" customHeight="1" x14ac:dyDescent="0.3">
      <c r="H122" s="17"/>
      <c r="J122" s="15"/>
    </row>
    <row r="123" spans="8:10" ht="14.25" customHeight="1" x14ac:dyDescent="0.3">
      <c r="H123" s="17"/>
      <c r="J123" s="15"/>
    </row>
    <row r="124" spans="8:10" ht="14.25" customHeight="1" x14ac:dyDescent="0.3">
      <c r="H124" s="17"/>
      <c r="J124" s="15"/>
    </row>
    <row r="125" spans="8:10" ht="14.25" customHeight="1" x14ac:dyDescent="0.3">
      <c r="H125" s="17"/>
      <c r="J125" s="15"/>
    </row>
    <row r="126" spans="8:10" ht="14.25" customHeight="1" x14ac:dyDescent="0.3">
      <c r="H126" s="17"/>
      <c r="J126" s="15"/>
    </row>
    <row r="127" spans="8:10" ht="14.25" customHeight="1" x14ac:dyDescent="0.3">
      <c r="H127" s="17"/>
      <c r="J127" s="15"/>
    </row>
    <row r="128" spans="8:10" ht="14.25" customHeight="1" x14ac:dyDescent="0.3">
      <c r="H128" s="17"/>
      <c r="J128" s="15"/>
    </row>
    <row r="129" spans="8:10" ht="14.25" customHeight="1" x14ac:dyDescent="0.3">
      <c r="H129" s="17"/>
      <c r="J129" s="15"/>
    </row>
    <row r="130" spans="8:10" ht="14.25" customHeight="1" x14ac:dyDescent="0.3">
      <c r="H130" s="17"/>
      <c r="J130" s="15"/>
    </row>
    <row r="131" spans="8:10" ht="14.25" customHeight="1" x14ac:dyDescent="0.3">
      <c r="H131" s="17"/>
      <c r="J131" s="15"/>
    </row>
    <row r="132" spans="8:10" ht="14.25" customHeight="1" x14ac:dyDescent="0.3">
      <c r="H132" s="17"/>
      <c r="J132" s="15"/>
    </row>
    <row r="133" spans="8:10" ht="14.25" customHeight="1" x14ac:dyDescent="0.3">
      <c r="H133" s="17"/>
      <c r="J133" s="15"/>
    </row>
    <row r="134" spans="8:10" ht="14.25" customHeight="1" x14ac:dyDescent="0.3">
      <c r="H134" s="17"/>
      <c r="J134" s="15"/>
    </row>
    <row r="135" spans="8:10" ht="14.25" customHeight="1" x14ac:dyDescent="0.3">
      <c r="H135" s="17"/>
      <c r="J135" s="15"/>
    </row>
    <row r="136" spans="8:10" ht="14.25" customHeight="1" x14ac:dyDescent="0.3">
      <c r="H136" s="17"/>
      <c r="J136" s="15"/>
    </row>
    <row r="137" spans="8:10" ht="14.25" customHeight="1" x14ac:dyDescent="0.3">
      <c r="H137" s="17"/>
      <c r="J137" s="15"/>
    </row>
    <row r="138" spans="8:10" ht="14.25" customHeight="1" x14ac:dyDescent="0.3">
      <c r="H138" s="17"/>
      <c r="J138" s="15"/>
    </row>
    <row r="139" spans="8:10" ht="14.25" customHeight="1" x14ac:dyDescent="0.3">
      <c r="H139" s="17"/>
      <c r="J139" s="15"/>
    </row>
    <row r="140" spans="8:10" ht="14.25" customHeight="1" x14ac:dyDescent="0.3">
      <c r="H140" s="17"/>
      <c r="J140" s="15"/>
    </row>
    <row r="141" spans="8:10" ht="14.25" customHeight="1" x14ac:dyDescent="0.3">
      <c r="H141" s="17"/>
      <c r="J141" s="15"/>
    </row>
    <row r="142" spans="8:10" ht="14.25" customHeight="1" x14ac:dyDescent="0.3">
      <c r="H142" s="17"/>
      <c r="J142" s="15"/>
    </row>
    <row r="143" spans="8:10" ht="14.25" customHeight="1" x14ac:dyDescent="0.3">
      <c r="H143" s="17"/>
      <c r="J143" s="15"/>
    </row>
    <row r="144" spans="8:10" ht="14.25" customHeight="1" x14ac:dyDescent="0.3">
      <c r="H144" s="17"/>
      <c r="J144" s="15"/>
    </row>
    <row r="145" spans="8:10" ht="14.25" customHeight="1" x14ac:dyDescent="0.3">
      <c r="H145" s="17"/>
      <c r="J145" s="15"/>
    </row>
    <row r="146" spans="8:10" ht="14.25" customHeight="1" x14ac:dyDescent="0.3">
      <c r="H146" s="17"/>
      <c r="J146" s="15"/>
    </row>
    <row r="147" spans="8:10" ht="14.25" customHeight="1" x14ac:dyDescent="0.3">
      <c r="H147" s="17"/>
      <c r="J147" s="15"/>
    </row>
    <row r="148" spans="8:10" ht="14.25" customHeight="1" x14ac:dyDescent="0.3">
      <c r="H148" s="17"/>
      <c r="J148" s="15"/>
    </row>
    <row r="149" spans="8:10" ht="14.25" customHeight="1" x14ac:dyDescent="0.3">
      <c r="H149" s="17"/>
      <c r="J149" s="15"/>
    </row>
    <row r="150" spans="8:10" ht="14.25" customHeight="1" x14ac:dyDescent="0.3">
      <c r="H150" s="17"/>
      <c r="J150" s="15"/>
    </row>
    <row r="151" spans="8:10" ht="14.25" customHeight="1" x14ac:dyDescent="0.3">
      <c r="H151" s="17"/>
      <c r="J151" s="15"/>
    </row>
    <row r="152" spans="8:10" ht="14.25" customHeight="1" x14ac:dyDescent="0.3">
      <c r="H152" s="17"/>
      <c r="J152" s="15"/>
    </row>
    <row r="153" spans="8:10" ht="14.25" customHeight="1" x14ac:dyDescent="0.3">
      <c r="H153" s="17"/>
      <c r="J153" s="15"/>
    </row>
    <row r="154" spans="8:10" ht="14.25" customHeight="1" x14ac:dyDescent="0.3">
      <c r="H154" s="17"/>
      <c r="J154" s="15"/>
    </row>
    <row r="155" spans="8:10" ht="14.25" customHeight="1" x14ac:dyDescent="0.3">
      <c r="H155" s="17"/>
      <c r="J155" s="15"/>
    </row>
    <row r="156" spans="8:10" ht="14.25" customHeight="1" x14ac:dyDescent="0.3">
      <c r="H156" s="17"/>
      <c r="J156" s="15"/>
    </row>
    <row r="157" spans="8:10" ht="14.25" customHeight="1" x14ac:dyDescent="0.3">
      <c r="H157" s="17"/>
      <c r="J157" s="15"/>
    </row>
    <row r="158" spans="8:10" ht="14.25" customHeight="1" x14ac:dyDescent="0.3">
      <c r="H158" s="17"/>
      <c r="J158" s="15"/>
    </row>
    <row r="159" spans="8:10" ht="14.25" customHeight="1" x14ac:dyDescent="0.3">
      <c r="H159" s="17"/>
      <c r="J159" s="15"/>
    </row>
    <row r="160" spans="8:10" ht="14.25" customHeight="1" x14ac:dyDescent="0.3">
      <c r="H160" s="17"/>
      <c r="J160" s="15"/>
    </row>
    <row r="161" spans="8:10" ht="14.25" customHeight="1" x14ac:dyDescent="0.3">
      <c r="H161" s="17"/>
      <c r="J161" s="15"/>
    </row>
    <row r="162" spans="8:10" ht="14.25" customHeight="1" x14ac:dyDescent="0.3">
      <c r="H162" s="17"/>
      <c r="J162" s="15"/>
    </row>
    <row r="163" spans="8:10" ht="14.25" customHeight="1" x14ac:dyDescent="0.3">
      <c r="H163" s="17"/>
      <c r="J163" s="15"/>
    </row>
    <row r="164" spans="8:10" ht="14.25" customHeight="1" x14ac:dyDescent="0.3">
      <c r="H164" s="17"/>
      <c r="J164" s="15"/>
    </row>
    <row r="165" spans="8:10" ht="14.25" customHeight="1" x14ac:dyDescent="0.3">
      <c r="H165" s="17"/>
      <c r="J165" s="15"/>
    </row>
    <row r="166" spans="8:10" ht="14.25" customHeight="1" x14ac:dyDescent="0.3">
      <c r="H166" s="17"/>
      <c r="J166" s="15"/>
    </row>
    <row r="167" spans="8:10" ht="14.25" customHeight="1" x14ac:dyDescent="0.3">
      <c r="H167" s="17"/>
      <c r="J167" s="15"/>
    </row>
    <row r="168" spans="8:10" ht="14.25" customHeight="1" x14ac:dyDescent="0.3">
      <c r="H168" s="17"/>
      <c r="J168" s="15"/>
    </row>
    <row r="169" spans="8:10" ht="14.25" customHeight="1" x14ac:dyDescent="0.3">
      <c r="H169" s="17"/>
      <c r="J169" s="15"/>
    </row>
    <row r="170" spans="8:10" ht="14.25" customHeight="1" x14ac:dyDescent="0.3">
      <c r="H170" s="17"/>
      <c r="J170" s="15"/>
    </row>
    <row r="171" spans="8:10" ht="14.25" customHeight="1" x14ac:dyDescent="0.3">
      <c r="H171" s="17"/>
      <c r="J171" s="15"/>
    </row>
    <row r="172" spans="8:10" ht="14.25" customHeight="1" x14ac:dyDescent="0.3">
      <c r="H172" s="17"/>
      <c r="J172" s="15"/>
    </row>
    <row r="173" spans="8:10" ht="14.25" customHeight="1" x14ac:dyDescent="0.3">
      <c r="H173" s="17"/>
      <c r="J173" s="15"/>
    </row>
    <row r="174" spans="8:10" ht="14.25" customHeight="1" x14ac:dyDescent="0.3">
      <c r="H174" s="17"/>
      <c r="J174" s="15"/>
    </row>
    <row r="175" spans="8:10" ht="14.25" customHeight="1" x14ac:dyDescent="0.3">
      <c r="H175" s="17"/>
      <c r="J175" s="15"/>
    </row>
    <row r="176" spans="8:10" ht="14.25" customHeight="1" x14ac:dyDescent="0.3">
      <c r="H176" s="17"/>
      <c r="J176" s="15"/>
    </row>
    <row r="177" spans="8:10" ht="14.25" customHeight="1" x14ac:dyDescent="0.3">
      <c r="H177" s="17"/>
      <c r="J177" s="15"/>
    </row>
    <row r="178" spans="8:10" ht="14.25" customHeight="1" x14ac:dyDescent="0.3">
      <c r="H178" s="17"/>
      <c r="J178" s="15"/>
    </row>
    <row r="179" spans="8:10" ht="14.25" customHeight="1" x14ac:dyDescent="0.3">
      <c r="H179" s="17"/>
      <c r="J179" s="15"/>
    </row>
    <row r="180" spans="8:10" ht="14.25" customHeight="1" x14ac:dyDescent="0.3">
      <c r="H180" s="17"/>
      <c r="J180" s="15"/>
    </row>
    <row r="181" spans="8:10" ht="14.25" customHeight="1" x14ac:dyDescent="0.3">
      <c r="H181" s="17"/>
      <c r="J181" s="15"/>
    </row>
    <row r="182" spans="8:10" ht="14.25" customHeight="1" x14ac:dyDescent="0.3">
      <c r="H182" s="17"/>
      <c r="J182" s="15"/>
    </row>
    <row r="183" spans="8:10" ht="14.25" customHeight="1" x14ac:dyDescent="0.3">
      <c r="H183" s="17"/>
      <c r="J183" s="15"/>
    </row>
    <row r="184" spans="8:10" ht="14.25" customHeight="1" x14ac:dyDescent="0.3">
      <c r="H184" s="17"/>
      <c r="J184" s="15"/>
    </row>
    <row r="185" spans="8:10" ht="14.25" customHeight="1" x14ac:dyDescent="0.3">
      <c r="H185" s="17"/>
      <c r="J185" s="15"/>
    </row>
    <row r="186" spans="8:10" ht="14.25" customHeight="1" x14ac:dyDescent="0.3">
      <c r="H186" s="17"/>
      <c r="J186" s="15"/>
    </row>
    <row r="187" spans="8:10" ht="14.25" customHeight="1" x14ac:dyDescent="0.3">
      <c r="H187" s="17"/>
      <c r="J187" s="15"/>
    </row>
    <row r="188" spans="8:10" ht="14.25" customHeight="1" x14ac:dyDescent="0.3">
      <c r="H188" s="17"/>
      <c r="J188" s="15"/>
    </row>
    <row r="189" spans="8:10" ht="14.25" customHeight="1" x14ac:dyDescent="0.3">
      <c r="H189" s="17"/>
      <c r="J189" s="15"/>
    </row>
    <row r="190" spans="8:10" ht="14.25" customHeight="1" x14ac:dyDescent="0.3">
      <c r="H190" s="17"/>
      <c r="J190" s="15"/>
    </row>
    <row r="191" spans="8:10" ht="14.25" customHeight="1" x14ac:dyDescent="0.3">
      <c r="H191" s="17"/>
      <c r="J191" s="15"/>
    </row>
    <row r="192" spans="8:10" ht="14.25" customHeight="1" x14ac:dyDescent="0.3">
      <c r="H192" s="17"/>
      <c r="J192" s="15"/>
    </row>
    <row r="193" spans="8:10" ht="14.25" customHeight="1" x14ac:dyDescent="0.3">
      <c r="H193" s="17"/>
      <c r="J193" s="15"/>
    </row>
    <row r="194" spans="8:10" ht="14.25" customHeight="1" x14ac:dyDescent="0.3">
      <c r="H194" s="17"/>
      <c r="J194" s="15"/>
    </row>
    <row r="195" spans="8:10" ht="14.25" customHeight="1" x14ac:dyDescent="0.3">
      <c r="H195" s="17"/>
      <c r="J195" s="15"/>
    </row>
    <row r="196" spans="8:10" ht="14.25" customHeight="1" x14ac:dyDescent="0.3">
      <c r="H196" s="17"/>
      <c r="J196" s="15"/>
    </row>
    <row r="197" spans="8:10" ht="14.25" customHeight="1" x14ac:dyDescent="0.3">
      <c r="H197" s="17"/>
      <c r="J197" s="15"/>
    </row>
    <row r="198" spans="8:10" ht="14.25" customHeight="1" x14ac:dyDescent="0.3">
      <c r="H198" s="17"/>
      <c r="J198" s="15"/>
    </row>
    <row r="199" spans="8:10" ht="14.25" customHeight="1" x14ac:dyDescent="0.3">
      <c r="H199" s="17"/>
      <c r="J199" s="15"/>
    </row>
    <row r="200" spans="8:10" ht="14.25" customHeight="1" x14ac:dyDescent="0.3">
      <c r="H200" s="17"/>
      <c r="J200" s="15"/>
    </row>
    <row r="201" spans="8:10" ht="14.25" customHeight="1" x14ac:dyDescent="0.3">
      <c r="H201" s="17"/>
      <c r="J201" s="15"/>
    </row>
    <row r="202" spans="8:10" ht="14.25" customHeight="1" x14ac:dyDescent="0.3">
      <c r="H202" s="17"/>
      <c r="J202" s="15"/>
    </row>
    <row r="203" spans="8:10" ht="14.25" customHeight="1" x14ac:dyDescent="0.3">
      <c r="H203" s="17"/>
      <c r="J203" s="15"/>
    </row>
    <row r="204" spans="8:10" ht="14.25" customHeight="1" x14ac:dyDescent="0.3">
      <c r="H204" s="17"/>
      <c r="J204" s="15"/>
    </row>
    <row r="205" spans="8:10" ht="14.25" customHeight="1" x14ac:dyDescent="0.3">
      <c r="H205" s="17"/>
      <c r="J205" s="15"/>
    </row>
    <row r="206" spans="8:10" ht="14.25" customHeight="1" x14ac:dyDescent="0.3">
      <c r="H206" s="17"/>
      <c r="J206" s="15"/>
    </row>
    <row r="207" spans="8:10" ht="14.25" customHeight="1" x14ac:dyDescent="0.3">
      <c r="H207" s="17"/>
      <c r="J207" s="15"/>
    </row>
    <row r="208" spans="8:10" ht="14.25" customHeight="1" x14ac:dyDescent="0.3">
      <c r="H208" s="17"/>
      <c r="J208" s="15"/>
    </row>
    <row r="209" spans="8:10" ht="14.25" customHeight="1" x14ac:dyDescent="0.3">
      <c r="H209" s="17"/>
      <c r="J209" s="15"/>
    </row>
    <row r="210" spans="8:10" ht="14.25" customHeight="1" x14ac:dyDescent="0.3">
      <c r="H210" s="17"/>
      <c r="J210" s="15"/>
    </row>
    <row r="211" spans="8:10" ht="14.25" customHeight="1" x14ac:dyDescent="0.3">
      <c r="H211" s="17"/>
      <c r="J211" s="15"/>
    </row>
    <row r="212" spans="8:10" ht="14.25" customHeight="1" x14ac:dyDescent="0.3">
      <c r="H212" s="17"/>
      <c r="J212" s="15"/>
    </row>
    <row r="213" spans="8:10" ht="14.25" customHeight="1" x14ac:dyDescent="0.3">
      <c r="H213" s="17"/>
      <c r="J213" s="15"/>
    </row>
    <row r="214" spans="8:10" ht="14.25" customHeight="1" x14ac:dyDescent="0.3">
      <c r="H214" s="17"/>
      <c r="J214" s="15"/>
    </row>
    <row r="215" spans="8:10" ht="14.25" customHeight="1" x14ac:dyDescent="0.3">
      <c r="H215" s="17"/>
      <c r="J215" s="15"/>
    </row>
    <row r="216" spans="8:10" ht="14.25" customHeight="1" x14ac:dyDescent="0.3">
      <c r="H216" s="17"/>
      <c r="J216" s="15"/>
    </row>
    <row r="217" spans="8:10" ht="14.25" customHeight="1" x14ac:dyDescent="0.3">
      <c r="H217" s="17"/>
      <c r="J217" s="15"/>
    </row>
    <row r="218" spans="8:10" ht="14.25" customHeight="1" x14ac:dyDescent="0.3">
      <c r="H218" s="17"/>
      <c r="J218" s="15"/>
    </row>
    <row r="219" spans="8:10" ht="14.25" customHeight="1" x14ac:dyDescent="0.3">
      <c r="H219" s="17"/>
      <c r="J219" s="15"/>
    </row>
    <row r="220" spans="8:10" ht="14.25" customHeight="1" x14ac:dyDescent="0.3">
      <c r="H220" s="17"/>
      <c r="J220" s="15"/>
    </row>
    <row r="221" spans="8:10" ht="14.25" customHeight="1" x14ac:dyDescent="0.3">
      <c r="H221" s="17"/>
      <c r="J221" s="15"/>
    </row>
    <row r="222" spans="8:10" ht="14.25" customHeight="1" x14ac:dyDescent="0.3">
      <c r="H222" s="17"/>
      <c r="J222" s="15"/>
    </row>
    <row r="223" spans="8:10" ht="14.25" customHeight="1" x14ac:dyDescent="0.3">
      <c r="H223" s="17"/>
      <c r="J223" s="15"/>
    </row>
    <row r="224" spans="8:10" ht="14.25" customHeight="1" x14ac:dyDescent="0.3">
      <c r="H224" s="17"/>
      <c r="J224" s="15"/>
    </row>
    <row r="225" spans="8:10" ht="14.25" customHeight="1" x14ac:dyDescent="0.3">
      <c r="H225" s="17"/>
      <c r="J225" s="15"/>
    </row>
    <row r="226" spans="8:10" ht="14.25" customHeight="1" x14ac:dyDescent="0.3">
      <c r="H226" s="17"/>
      <c r="J226" s="15"/>
    </row>
    <row r="227" spans="8:10" ht="14.25" customHeight="1" x14ac:dyDescent="0.3">
      <c r="H227" s="17"/>
      <c r="J227" s="15"/>
    </row>
    <row r="228" spans="8:10" ht="14.25" customHeight="1" x14ac:dyDescent="0.3">
      <c r="H228" s="17"/>
      <c r="J228" s="15"/>
    </row>
    <row r="229" spans="8:10" ht="14.25" customHeight="1" x14ac:dyDescent="0.3">
      <c r="H229" s="17"/>
      <c r="J229" s="15"/>
    </row>
    <row r="230" spans="8:10" ht="14.25" customHeight="1" x14ac:dyDescent="0.3">
      <c r="H230" s="17"/>
      <c r="J230" s="15"/>
    </row>
    <row r="231" spans="8:10" ht="14.25" customHeight="1" x14ac:dyDescent="0.3">
      <c r="H231" s="17"/>
      <c r="J231" s="15"/>
    </row>
    <row r="232" spans="8:10" ht="14.25" customHeight="1" x14ac:dyDescent="0.3">
      <c r="H232" s="17"/>
      <c r="J232" s="15"/>
    </row>
    <row r="233" spans="8:10" ht="14.25" customHeight="1" x14ac:dyDescent="0.3">
      <c r="H233" s="17"/>
      <c r="J233" s="15"/>
    </row>
    <row r="234" spans="8:10" ht="14.25" customHeight="1" x14ac:dyDescent="0.3">
      <c r="H234" s="17"/>
      <c r="J234" s="15"/>
    </row>
    <row r="235" spans="8:10" ht="14.25" customHeight="1" x14ac:dyDescent="0.3">
      <c r="H235" s="17"/>
      <c r="J235" s="15"/>
    </row>
    <row r="236" spans="8:10" ht="14.25" customHeight="1" x14ac:dyDescent="0.3">
      <c r="H236" s="17"/>
      <c r="J236" s="15"/>
    </row>
    <row r="237" spans="8:10" ht="14.25" customHeight="1" x14ac:dyDescent="0.3">
      <c r="H237" s="17"/>
      <c r="J237" s="15"/>
    </row>
    <row r="238" spans="8:10" ht="14.25" customHeight="1" x14ac:dyDescent="0.3">
      <c r="H238" s="17"/>
      <c r="J238" s="15"/>
    </row>
    <row r="239" spans="8:10" ht="14.25" customHeight="1" x14ac:dyDescent="0.3">
      <c r="H239" s="17"/>
      <c r="J239" s="15"/>
    </row>
    <row r="240" spans="8:10" ht="14.25" customHeight="1" x14ac:dyDescent="0.3">
      <c r="H240" s="17"/>
      <c r="J240" s="15"/>
    </row>
    <row r="241" spans="8:10" ht="14.25" customHeight="1" x14ac:dyDescent="0.3">
      <c r="H241" s="17"/>
      <c r="J241" s="15"/>
    </row>
    <row r="242" spans="8:10" ht="14.25" customHeight="1" x14ac:dyDescent="0.3">
      <c r="H242" s="17"/>
      <c r="J242" s="15"/>
    </row>
    <row r="243" spans="8:10" ht="14.25" customHeight="1" x14ac:dyDescent="0.3">
      <c r="H243" s="17"/>
      <c r="J243" s="15"/>
    </row>
    <row r="244" spans="8:10" ht="14.25" customHeight="1" x14ac:dyDescent="0.3">
      <c r="H244" s="17"/>
      <c r="J244" s="15"/>
    </row>
    <row r="245" spans="8:10" ht="14.25" customHeight="1" x14ac:dyDescent="0.3">
      <c r="H245" s="17"/>
      <c r="J245" s="15"/>
    </row>
    <row r="246" spans="8:10" ht="14.25" customHeight="1" x14ac:dyDescent="0.3">
      <c r="H246" s="17"/>
      <c r="J246" s="15"/>
    </row>
    <row r="247" spans="8:10" ht="14.25" customHeight="1" x14ac:dyDescent="0.3">
      <c r="H247" s="17"/>
      <c r="J247" s="15"/>
    </row>
    <row r="248" spans="8:10" ht="14.25" customHeight="1" x14ac:dyDescent="0.3">
      <c r="H248" s="17"/>
      <c r="J248" s="15"/>
    </row>
    <row r="249" spans="8:10" ht="14.25" customHeight="1" x14ac:dyDescent="0.3">
      <c r="H249" s="17"/>
      <c r="J249" s="15"/>
    </row>
    <row r="250" spans="8:10" ht="14.25" customHeight="1" x14ac:dyDescent="0.3">
      <c r="H250" s="17"/>
      <c r="J250" s="15"/>
    </row>
    <row r="251" spans="8:10" ht="14.25" customHeight="1" x14ac:dyDescent="0.3">
      <c r="H251" s="17"/>
      <c r="J251" s="15"/>
    </row>
    <row r="252" spans="8:10" ht="14.25" customHeight="1" x14ac:dyDescent="0.3">
      <c r="H252" s="17"/>
      <c r="J252" s="15"/>
    </row>
    <row r="253" spans="8:10" ht="14.25" customHeight="1" x14ac:dyDescent="0.3">
      <c r="H253" s="17"/>
      <c r="J253" s="15"/>
    </row>
    <row r="254" spans="8:10" ht="14.25" customHeight="1" x14ac:dyDescent="0.3">
      <c r="H254" s="17"/>
      <c r="J254" s="15"/>
    </row>
    <row r="255" spans="8:10" ht="14.25" customHeight="1" x14ac:dyDescent="0.3">
      <c r="H255" s="17"/>
      <c r="J255" s="15"/>
    </row>
    <row r="256" spans="8:10" ht="14.25" customHeight="1" x14ac:dyDescent="0.3">
      <c r="H256" s="17"/>
      <c r="J256" s="15"/>
    </row>
    <row r="257" spans="8:10" ht="14.25" customHeight="1" x14ac:dyDescent="0.3">
      <c r="H257" s="17"/>
      <c r="J257" s="15"/>
    </row>
    <row r="258" spans="8:10" ht="14.25" customHeight="1" x14ac:dyDescent="0.3">
      <c r="H258" s="17"/>
      <c r="J258" s="15"/>
    </row>
    <row r="259" spans="8:10" ht="14.25" customHeight="1" x14ac:dyDescent="0.3">
      <c r="H259" s="17"/>
      <c r="J259" s="15"/>
    </row>
    <row r="260" spans="8:10" ht="14.25" customHeight="1" x14ac:dyDescent="0.3">
      <c r="H260" s="17"/>
      <c r="J260" s="15"/>
    </row>
    <row r="261" spans="8:10" ht="14.25" customHeight="1" x14ac:dyDescent="0.3">
      <c r="H261" s="17"/>
      <c r="J261" s="15"/>
    </row>
    <row r="262" spans="8:10" ht="14.25" customHeight="1" x14ac:dyDescent="0.3">
      <c r="H262" s="17"/>
      <c r="J262" s="15"/>
    </row>
    <row r="263" spans="8:10" ht="14.25" customHeight="1" x14ac:dyDescent="0.3">
      <c r="H263" s="17"/>
      <c r="J263" s="15"/>
    </row>
    <row r="264" spans="8:10" ht="14.25" customHeight="1" x14ac:dyDescent="0.3">
      <c r="H264" s="17"/>
      <c r="J264" s="15"/>
    </row>
    <row r="265" spans="8:10" ht="14.25" customHeight="1" x14ac:dyDescent="0.3">
      <c r="H265" s="17"/>
      <c r="J265" s="15"/>
    </row>
    <row r="266" spans="8:10" ht="14.25" customHeight="1" x14ac:dyDescent="0.3">
      <c r="H266" s="17"/>
      <c r="J266" s="15"/>
    </row>
    <row r="267" spans="8:10" ht="14.25" customHeight="1" x14ac:dyDescent="0.3">
      <c r="H267" s="17"/>
      <c r="J267" s="15"/>
    </row>
    <row r="268" spans="8:10" ht="14.25" customHeight="1" x14ac:dyDescent="0.3">
      <c r="H268" s="17"/>
      <c r="J268" s="15"/>
    </row>
    <row r="269" spans="8:10" ht="14.25" customHeight="1" x14ac:dyDescent="0.3">
      <c r="H269" s="17"/>
      <c r="J269" s="15"/>
    </row>
    <row r="270" spans="8:10" ht="14.25" customHeight="1" x14ac:dyDescent="0.3">
      <c r="H270" s="17"/>
      <c r="J270" s="15"/>
    </row>
    <row r="271" spans="8:10" ht="14.25" customHeight="1" x14ac:dyDescent="0.3">
      <c r="H271" s="17"/>
      <c r="J271" s="15"/>
    </row>
    <row r="272" spans="8:10" ht="14.25" customHeight="1" x14ac:dyDescent="0.3">
      <c r="H272" s="17"/>
      <c r="J272" s="15"/>
    </row>
    <row r="273" spans="8:10" ht="14.25" customHeight="1" x14ac:dyDescent="0.3">
      <c r="H273" s="17"/>
      <c r="J273" s="15"/>
    </row>
    <row r="274" spans="8:10" ht="14.25" customHeight="1" x14ac:dyDescent="0.3">
      <c r="H274" s="17"/>
      <c r="J274" s="15"/>
    </row>
    <row r="275" spans="8:10" ht="14.25" customHeight="1" x14ac:dyDescent="0.3">
      <c r="H275" s="17"/>
      <c r="J275" s="15"/>
    </row>
    <row r="276" spans="8:10" ht="14.25" customHeight="1" x14ac:dyDescent="0.3">
      <c r="H276" s="17"/>
      <c r="J276" s="15"/>
    </row>
    <row r="277" spans="8:10" ht="14.25" customHeight="1" x14ac:dyDescent="0.3">
      <c r="H277" s="17"/>
      <c r="J277" s="15"/>
    </row>
    <row r="278" spans="8:10" ht="14.25" customHeight="1" x14ac:dyDescent="0.3">
      <c r="H278" s="17"/>
      <c r="J278" s="15"/>
    </row>
    <row r="279" spans="8:10" ht="14.25" customHeight="1" x14ac:dyDescent="0.3">
      <c r="H279" s="17"/>
      <c r="J279" s="15"/>
    </row>
    <row r="280" spans="8:10" ht="14.25" customHeight="1" x14ac:dyDescent="0.3">
      <c r="H280" s="17"/>
      <c r="J280" s="15"/>
    </row>
    <row r="281" spans="8:10" ht="14.25" customHeight="1" x14ac:dyDescent="0.3">
      <c r="H281" s="17"/>
      <c r="J281" s="15"/>
    </row>
    <row r="282" spans="8:10" ht="14.25" customHeight="1" x14ac:dyDescent="0.3">
      <c r="H282" s="17"/>
      <c r="J282" s="15"/>
    </row>
    <row r="283" spans="8:10" ht="14.25" customHeight="1" x14ac:dyDescent="0.3">
      <c r="H283" s="17"/>
      <c r="J283" s="15"/>
    </row>
    <row r="284" spans="8:10" ht="14.25" customHeight="1" x14ac:dyDescent="0.3">
      <c r="H284" s="17"/>
      <c r="J284" s="15"/>
    </row>
    <row r="285" spans="8:10" ht="14.25" customHeight="1" x14ac:dyDescent="0.3">
      <c r="H285" s="17"/>
      <c r="J285" s="15"/>
    </row>
    <row r="286" spans="8:10" ht="14.25" customHeight="1" x14ac:dyDescent="0.3">
      <c r="H286" s="17"/>
      <c r="J286" s="15"/>
    </row>
    <row r="287" spans="8:10" ht="14.25" customHeight="1" x14ac:dyDescent="0.3">
      <c r="H287" s="17"/>
      <c r="J287" s="15"/>
    </row>
    <row r="288" spans="8:10" ht="14.25" customHeight="1" x14ac:dyDescent="0.3">
      <c r="H288" s="17"/>
      <c r="J288" s="15"/>
    </row>
    <row r="289" spans="8:10" ht="14.25" customHeight="1" x14ac:dyDescent="0.3">
      <c r="H289" s="17"/>
      <c r="J289" s="15"/>
    </row>
    <row r="290" spans="8:10" ht="14.25" customHeight="1" x14ac:dyDescent="0.3">
      <c r="H290" s="17"/>
      <c r="J290" s="15"/>
    </row>
    <row r="291" spans="8:10" ht="14.25" customHeight="1" x14ac:dyDescent="0.3">
      <c r="H291" s="17"/>
      <c r="J291" s="15"/>
    </row>
    <row r="292" spans="8:10" ht="14.25" customHeight="1" x14ac:dyDescent="0.3">
      <c r="H292" s="17"/>
      <c r="J292" s="15"/>
    </row>
    <row r="293" spans="8:10" ht="14.25" customHeight="1" x14ac:dyDescent="0.3">
      <c r="H293" s="17"/>
      <c r="J293" s="15"/>
    </row>
    <row r="294" spans="8:10" ht="14.25" customHeight="1" x14ac:dyDescent="0.3">
      <c r="H294" s="17"/>
      <c r="J294" s="15"/>
    </row>
    <row r="295" spans="8:10" ht="14.25" customHeight="1" x14ac:dyDescent="0.3">
      <c r="H295" s="17"/>
      <c r="J295" s="15"/>
    </row>
    <row r="296" spans="8:10" ht="14.25" customHeight="1" x14ac:dyDescent="0.3">
      <c r="H296" s="17"/>
      <c r="J296" s="15"/>
    </row>
    <row r="297" spans="8:10" ht="14.25" customHeight="1" x14ac:dyDescent="0.3">
      <c r="H297" s="17"/>
      <c r="J297" s="15"/>
    </row>
    <row r="298" spans="8:10" ht="14.25" customHeight="1" x14ac:dyDescent="0.3">
      <c r="H298" s="17"/>
      <c r="J298" s="15"/>
    </row>
    <row r="299" spans="8:10" ht="14.25" customHeight="1" x14ac:dyDescent="0.3">
      <c r="H299" s="17"/>
      <c r="J299" s="15"/>
    </row>
    <row r="300" spans="8:10" ht="14.25" customHeight="1" x14ac:dyDescent="0.3">
      <c r="H300" s="17"/>
      <c r="J300" s="15"/>
    </row>
    <row r="301" spans="8:10" ht="14.25" customHeight="1" x14ac:dyDescent="0.3">
      <c r="H301" s="17"/>
      <c r="J301" s="15"/>
    </row>
    <row r="302" spans="8:10" ht="14.25" customHeight="1" x14ac:dyDescent="0.3">
      <c r="H302" s="17"/>
      <c r="J302" s="15"/>
    </row>
    <row r="303" spans="8:10" ht="14.25" customHeight="1" x14ac:dyDescent="0.3">
      <c r="H303" s="17"/>
      <c r="J303" s="15"/>
    </row>
    <row r="304" spans="8:10" ht="14.25" customHeight="1" x14ac:dyDescent="0.3">
      <c r="H304" s="17"/>
      <c r="J304" s="15"/>
    </row>
    <row r="305" spans="8:10" ht="14.25" customHeight="1" x14ac:dyDescent="0.3">
      <c r="H305" s="17"/>
      <c r="J305" s="15"/>
    </row>
    <row r="306" spans="8:10" ht="14.25" customHeight="1" x14ac:dyDescent="0.3">
      <c r="H306" s="17"/>
      <c r="J306" s="15"/>
    </row>
    <row r="307" spans="8:10" ht="14.25" customHeight="1" x14ac:dyDescent="0.3">
      <c r="H307" s="17"/>
      <c r="J307" s="15"/>
    </row>
    <row r="308" spans="8:10" ht="14.25" customHeight="1" x14ac:dyDescent="0.3">
      <c r="H308" s="17"/>
      <c r="J308" s="15"/>
    </row>
    <row r="309" spans="8:10" ht="14.25" customHeight="1" x14ac:dyDescent="0.3">
      <c r="H309" s="17"/>
      <c r="J309" s="15"/>
    </row>
    <row r="310" spans="8:10" ht="14.25" customHeight="1" x14ac:dyDescent="0.3">
      <c r="H310" s="17"/>
      <c r="J310" s="15"/>
    </row>
    <row r="311" spans="8:10" ht="14.25" customHeight="1" x14ac:dyDescent="0.3">
      <c r="H311" s="17"/>
      <c r="J311" s="15"/>
    </row>
    <row r="312" spans="8:10" ht="14.25" customHeight="1" x14ac:dyDescent="0.3">
      <c r="H312" s="17"/>
      <c r="J312" s="15"/>
    </row>
    <row r="313" spans="8:10" ht="14.25" customHeight="1" x14ac:dyDescent="0.3">
      <c r="H313" s="17"/>
      <c r="J313" s="15"/>
    </row>
    <row r="314" spans="8:10" ht="14.25" customHeight="1" x14ac:dyDescent="0.3">
      <c r="H314" s="17"/>
      <c r="J314" s="15"/>
    </row>
    <row r="315" spans="8:10" ht="14.25" customHeight="1" x14ac:dyDescent="0.3">
      <c r="H315" s="17"/>
      <c r="J315" s="15"/>
    </row>
    <row r="316" spans="8:10" ht="14.25" customHeight="1" x14ac:dyDescent="0.3">
      <c r="H316" s="17"/>
      <c r="J316" s="15"/>
    </row>
    <row r="317" spans="8:10" ht="14.25" customHeight="1" x14ac:dyDescent="0.3">
      <c r="H317" s="17"/>
      <c r="J317" s="15"/>
    </row>
    <row r="318" spans="8:10" ht="14.25" customHeight="1" x14ac:dyDescent="0.3">
      <c r="H318" s="17"/>
      <c r="J318" s="15"/>
    </row>
    <row r="319" spans="8:10" ht="14.25" customHeight="1" x14ac:dyDescent="0.3">
      <c r="H319" s="17"/>
      <c r="J319" s="15"/>
    </row>
    <row r="320" spans="8:10" ht="14.25" customHeight="1" x14ac:dyDescent="0.3">
      <c r="H320" s="17"/>
      <c r="J320" s="15"/>
    </row>
    <row r="321" spans="8:10" ht="14.25" customHeight="1" x14ac:dyDescent="0.3">
      <c r="H321" s="17"/>
      <c r="J321" s="15"/>
    </row>
    <row r="322" spans="8:10" ht="14.25" customHeight="1" x14ac:dyDescent="0.3">
      <c r="H322" s="17"/>
      <c r="J322" s="15"/>
    </row>
    <row r="323" spans="8:10" ht="14.25" customHeight="1" x14ac:dyDescent="0.3">
      <c r="H323" s="17"/>
      <c r="J323" s="15"/>
    </row>
    <row r="324" spans="8:10" ht="14.25" customHeight="1" x14ac:dyDescent="0.3">
      <c r="H324" s="17"/>
      <c r="J324" s="15"/>
    </row>
    <row r="325" spans="8:10" ht="14.25" customHeight="1" x14ac:dyDescent="0.3">
      <c r="H325" s="17"/>
      <c r="J325" s="15"/>
    </row>
    <row r="326" spans="8:10" ht="14.25" customHeight="1" x14ac:dyDescent="0.3">
      <c r="H326" s="17"/>
      <c r="J326" s="15"/>
    </row>
    <row r="327" spans="8:10" ht="14.25" customHeight="1" x14ac:dyDescent="0.3">
      <c r="H327" s="17"/>
      <c r="J327" s="15"/>
    </row>
    <row r="328" spans="8:10" ht="14.25" customHeight="1" x14ac:dyDescent="0.3">
      <c r="H328" s="17"/>
      <c r="J328" s="15"/>
    </row>
    <row r="329" spans="8:10" ht="14.25" customHeight="1" x14ac:dyDescent="0.3">
      <c r="H329" s="17"/>
      <c r="J329" s="15"/>
    </row>
    <row r="330" spans="8:10" ht="14.25" customHeight="1" x14ac:dyDescent="0.3">
      <c r="H330" s="17"/>
      <c r="J330" s="15"/>
    </row>
    <row r="331" spans="8:10" ht="14.25" customHeight="1" x14ac:dyDescent="0.3">
      <c r="H331" s="17"/>
      <c r="J331" s="15"/>
    </row>
    <row r="332" spans="8:10" ht="14.25" customHeight="1" x14ac:dyDescent="0.3">
      <c r="H332" s="17"/>
      <c r="J332" s="15"/>
    </row>
    <row r="333" spans="8:10" ht="14.25" customHeight="1" x14ac:dyDescent="0.3">
      <c r="H333" s="17"/>
      <c r="J333" s="15"/>
    </row>
    <row r="334" spans="8:10" ht="14.25" customHeight="1" x14ac:dyDescent="0.3">
      <c r="H334" s="17"/>
      <c r="J334" s="15"/>
    </row>
    <row r="335" spans="8:10" ht="14.25" customHeight="1" x14ac:dyDescent="0.3">
      <c r="H335" s="17"/>
      <c r="J335" s="15"/>
    </row>
    <row r="336" spans="8:10" ht="14.25" customHeight="1" x14ac:dyDescent="0.3">
      <c r="H336" s="17"/>
      <c r="J336" s="15"/>
    </row>
    <row r="337" spans="8:10" ht="14.25" customHeight="1" x14ac:dyDescent="0.3">
      <c r="H337" s="17"/>
      <c r="J337" s="15"/>
    </row>
    <row r="338" spans="8:10" ht="14.25" customHeight="1" x14ac:dyDescent="0.3">
      <c r="H338" s="17"/>
      <c r="J338" s="15"/>
    </row>
    <row r="339" spans="8:10" ht="14.25" customHeight="1" x14ac:dyDescent="0.3">
      <c r="H339" s="17"/>
      <c r="J339" s="15"/>
    </row>
    <row r="340" spans="8:10" ht="14.25" customHeight="1" x14ac:dyDescent="0.3">
      <c r="H340" s="17"/>
      <c r="J340" s="15"/>
    </row>
    <row r="341" spans="8:10" ht="14.25" customHeight="1" x14ac:dyDescent="0.3">
      <c r="H341" s="17"/>
      <c r="J341" s="15"/>
    </row>
    <row r="342" spans="8:10" ht="14.25" customHeight="1" x14ac:dyDescent="0.3">
      <c r="H342" s="17"/>
      <c r="J342" s="15"/>
    </row>
    <row r="343" spans="8:10" ht="14.25" customHeight="1" x14ac:dyDescent="0.3">
      <c r="H343" s="17"/>
      <c r="J343" s="15"/>
    </row>
    <row r="344" spans="8:10" ht="14.25" customHeight="1" x14ac:dyDescent="0.3">
      <c r="H344" s="17"/>
      <c r="J344" s="15"/>
    </row>
    <row r="345" spans="8:10" ht="14.25" customHeight="1" x14ac:dyDescent="0.3">
      <c r="H345" s="17"/>
      <c r="J345" s="15"/>
    </row>
    <row r="346" spans="8:10" ht="14.25" customHeight="1" x14ac:dyDescent="0.3">
      <c r="H346" s="17"/>
      <c r="J346" s="15"/>
    </row>
    <row r="347" spans="8:10" ht="14.25" customHeight="1" x14ac:dyDescent="0.3">
      <c r="H347" s="17"/>
      <c r="J347" s="15"/>
    </row>
    <row r="348" spans="8:10" ht="14.25" customHeight="1" x14ac:dyDescent="0.3">
      <c r="H348" s="17"/>
      <c r="J348" s="15"/>
    </row>
    <row r="349" spans="8:10" ht="14.25" customHeight="1" x14ac:dyDescent="0.3">
      <c r="H349" s="17"/>
      <c r="J349" s="15"/>
    </row>
    <row r="350" spans="8:10" ht="14.25" customHeight="1" x14ac:dyDescent="0.3">
      <c r="H350" s="17"/>
      <c r="J350" s="15"/>
    </row>
    <row r="351" spans="8:10" ht="14.25" customHeight="1" x14ac:dyDescent="0.3">
      <c r="H351" s="17"/>
      <c r="J351" s="15"/>
    </row>
    <row r="352" spans="8:10" ht="14.25" customHeight="1" x14ac:dyDescent="0.3">
      <c r="H352" s="17"/>
      <c r="J352" s="15"/>
    </row>
    <row r="353" spans="8:10" ht="14.25" customHeight="1" x14ac:dyDescent="0.3">
      <c r="H353" s="17"/>
      <c r="J353" s="15"/>
    </row>
    <row r="354" spans="8:10" ht="14.25" customHeight="1" x14ac:dyDescent="0.3">
      <c r="H354" s="17"/>
      <c r="J354" s="15"/>
    </row>
    <row r="355" spans="8:10" ht="14.25" customHeight="1" x14ac:dyDescent="0.3">
      <c r="H355" s="17"/>
      <c r="J355" s="15"/>
    </row>
    <row r="356" spans="8:10" ht="14.25" customHeight="1" x14ac:dyDescent="0.3">
      <c r="H356" s="17"/>
      <c r="J356" s="15"/>
    </row>
    <row r="357" spans="8:10" ht="14.25" customHeight="1" x14ac:dyDescent="0.3">
      <c r="H357" s="17"/>
      <c r="J357" s="15"/>
    </row>
    <row r="358" spans="8:10" ht="14.25" customHeight="1" x14ac:dyDescent="0.3">
      <c r="H358" s="17"/>
      <c r="J358" s="15"/>
    </row>
    <row r="359" spans="8:10" ht="14.25" customHeight="1" x14ac:dyDescent="0.3">
      <c r="H359" s="17"/>
      <c r="J359" s="15"/>
    </row>
    <row r="360" spans="8:10" ht="14.25" customHeight="1" x14ac:dyDescent="0.3">
      <c r="H360" s="17"/>
      <c r="J360" s="15"/>
    </row>
    <row r="361" spans="8:10" ht="14.25" customHeight="1" x14ac:dyDescent="0.3">
      <c r="H361" s="17"/>
      <c r="J361" s="15"/>
    </row>
    <row r="362" spans="8:10" ht="14.25" customHeight="1" x14ac:dyDescent="0.3">
      <c r="H362" s="17"/>
      <c r="J362" s="15"/>
    </row>
    <row r="363" spans="8:10" ht="14.25" customHeight="1" x14ac:dyDescent="0.3">
      <c r="H363" s="17"/>
      <c r="J363" s="15"/>
    </row>
    <row r="364" spans="8:10" ht="14.25" customHeight="1" x14ac:dyDescent="0.3">
      <c r="H364" s="17"/>
      <c r="J364" s="15"/>
    </row>
    <row r="365" spans="8:10" ht="14.25" customHeight="1" x14ac:dyDescent="0.3">
      <c r="H365" s="17"/>
      <c r="J365" s="15"/>
    </row>
    <row r="366" spans="8:10" ht="14.25" customHeight="1" x14ac:dyDescent="0.3">
      <c r="H366" s="17"/>
      <c r="J366" s="15"/>
    </row>
    <row r="367" spans="8:10" ht="14.25" customHeight="1" x14ac:dyDescent="0.3">
      <c r="H367" s="17"/>
      <c r="J367" s="15"/>
    </row>
    <row r="368" spans="8:10" ht="14.25" customHeight="1" x14ac:dyDescent="0.3">
      <c r="H368" s="17"/>
      <c r="J368" s="15"/>
    </row>
    <row r="369" spans="8:10" ht="14.25" customHeight="1" x14ac:dyDescent="0.3">
      <c r="H369" s="17"/>
      <c r="J369" s="15"/>
    </row>
    <row r="370" spans="8:10" ht="14.25" customHeight="1" x14ac:dyDescent="0.3">
      <c r="H370" s="17"/>
      <c r="J370" s="15"/>
    </row>
    <row r="371" spans="8:10" ht="14.25" customHeight="1" x14ac:dyDescent="0.3">
      <c r="H371" s="17"/>
      <c r="J371" s="15"/>
    </row>
    <row r="372" spans="8:10" ht="14.25" customHeight="1" x14ac:dyDescent="0.3">
      <c r="H372" s="17"/>
      <c r="J372" s="15"/>
    </row>
    <row r="373" spans="8:10" ht="14.25" customHeight="1" x14ac:dyDescent="0.3">
      <c r="H373" s="17"/>
      <c r="J373" s="15"/>
    </row>
    <row r="374" spans="8:10" ht="14.25" customHeight="1" x14ac:dyDescent="0.3">
      <c r="H374" s="17"/>
      <c r="J374" s="15"/>
    </row>
    <row r="375" spans="8:10" ht="14.25" customHeight="1" x14ac:dyDescent="0.3">
      <c r="H375" s="17"/>
      <c r="J375" s="15"/>
    </row>
    <row r="376" spans="8:10" ht="14.25" customHeight="1" x14ac:dyDescent="0.3">
      <c r="H376" s="17"/>
      <c r="J376" s="15"/>
    </row>
    <row r="377" spans="8:10" ht="14.25" customHeight="1" x14ac:dyDescent="0.3">
      <c r="H377" s="17"/>
      <c r="J377" s="15"/>
    </row>
    <row r="378" spans="8:10" ht="14.25" customHeight="1" x14ac:dyDescent="0.3">
      <c r="H378" s="17"/>
      <c r="J378" s="15"/>
    </row>
    <row r="379" spans="8:10" ht="14.25" customHeight="1" x14ac:dyDescent="0.3">
      <c r="H379" s="17"/>
      <c r="J379" s="15"/>
    </row>
    <row r="380" spans="8:10" ht="14.25" customHeight="1" x14ac:dyDescent="0.3">
      <c r="H380" s="17"/>
      <c r="J380" s="15"/>
    </row>
    <row r="381" spans="8:10" ht="14.25" customHeight="1" x14ac:dyDescent="0.3">
      <c r="H381" s="17"/>
      <c r="J381" s="15"/>
    </row>
    <row r="382" spans="8:10" ht="14.25" customHeight="1" x14ac:dyDescent="0.3">
      <c r="H382" s="17"/>
      <c r="J382" s="15"/>
    </row>
    <row r="383" spans="8:10" ht="14.25" customHeight="1" x14ac:dyDescent="0.3">
      <c r="H383" s="17"/>
      <c r="J383" s="15"/>
    </row>
    <row r="384" spans="8:10" ht="14.25" customHeight="1" x14ac:dyDescent="0.3">
      <c r="H384" s="17"/>
      <c r="J384" s="15"/>
    </row>
    <row r="385" spans="8:10" ht="14.25" customHeight="1" x14ac:dyDescent="0.3">
      <c r="H385" s="17"/>
      <c r="J385" s="15"/>
    </row>
    <row r="386" spans="8:10" ht="14.25" customHeight="1" x14ac:dyDescent="0.3">
      <c r="H386" s="17"/>
      <c r="J386" s="15"/>
    </row>
    <row r="387" spans="8:10" ht="14.25" customHeight="1" x14ac:dyDescent="0.3">
      <c r="H387" s="17"/>
      <c r="J387" s="15"/>
    </row>
    <row r="388" spans="8:10" ht="14.25" customHeight="1" x14ac:dyDescent="0.3">
      <c r="H388" s="17"/>
      <c r="J388" s="15"/>
    </row>
    <row r="389" spans="8:10" ht="14.25" customHeight="1" x14ac:dyDescent="0.3">
      <c r="H389" s="17"/>
      <c r="J389" s="15"/>
    </row>
    <row r="390" spans="8:10" ht="14.25" customHeight="1" x14ac:dyDescent="0.3">
      <c r="H390" s="17"/>
      <c r="J390" s="15"/>
    </row>
    <row r="391" spans="8:10" ht="14.25" customHeight="1" x14ac:dyDescent="0.3">
      <c r="H391" s="17"/>
      <c r="J391" s="15"/>
    </row>
    <row r="392" spans="8:10" ht="14.25" customHeight="1" x14ac:dyDescent="0.3">
      <c r="H392" s="17"/>
      <c r="J392" s="15"/>
    </row>
    <row r="393" spans="8:10" ht="14.25" customHeight="1" x14ac:dyDescent="0.3">
      <c r="H393" s="17"/>
      <c r="J393" s="15"/>
    </row>
    <row r="394" spans="8:10" ht="14.25" customHeight="1" x14ac:dyDescent="0.3">
      <c r="H394" s="17"/>
      <c r="J394" s="15"/>
    </row>
    <row r="395" spans="8:10" ht="14.25" customHeight="1" x14ac:dyDescent="0.3">
      <c r="H395" s="17"/>
      <c r="J395" s="15"/>
    </row>
    <row r="396" spans="8:10" ht="14.25" customHeight="1" x14ac:dyDescent="0.3">
      <c r="H396" s="17"/>
      <c r="J396" s="15"/>
    </row>
    <row r="397" spans="8:10" ht="14.25" customHeight="1" x14ac:dyDescent="0.3">
      <c r="H397" s="17"/>
      <c r="J397" s="15"/>
    </row>
    <row r="398" spans="8:10" ht="14.25" customHeight="1" x14ac:dyDescent="0.3">
      <c r="H398" s="17"/>
      <c r="J398" s="15"/>
    </row>
    <row r="399" spans="8:10" ht="14.25" customHeight="1" x14ac:dyDescent="0.3">
      <c r="H399" s="17"/>
      <c r="J399" s="15"/>
    </row>
    <row r="400" spans="8:10" ht="14.25" customHeight="1" x14ac:dyDescent="0.3">
      <c r="H400" s="17"/>
      <c r="J400" s="15"/>
    </row>
    <row r="401" spans="8:10" ht="14.25" customHeight="1" x14ac:dyDescent="0.3">
      <c r="H401" s="17"/>
      <c r="J401" s="15"/>
    </row>
    <row r="402" spans="8:10" ht="14.25" customHeight="1" x14ac:dyDescent="0.3">
      <c r="H402" s="17"/>
      <c r="J402" s="15"/>
    </row>
    <row r="403" spans="8:10" ht="14.25" customHeight="1" x14ac:dyDescent="0.3">
      <c r="H403" s="17"/>
      <c r="J403" s="15"/>
    </row>
    <row r="404" spans="8:10" ht="14.25" customHeight="1" x14ac:dyDescent="0.3">
      <c r="H404" s="17"/>
      <c r="J404" s="15"/>
    </row>
    <row r="405" spans="8:10" ht="14.25" customHeight="1" x14ac:dyDescent="0.3">
      <c r="H405" s="17"/>
      <c r="J405" s="15"/>
    </row>
    <row r="406" spans="8:10" ht="14.25" customHeight="1" x14ac:dyDescent="0.3">
      <c r="H406" s="17"/>
      <c r="J406" s="15"/>
    </row>
    <row r="407" spans="8:10" ht="14.25" customHeight="1" x14ac:dyDescent="0.3">
      <c r="H407" s="17"/>
      <c r="J407" s="15"/>
    </row>
    <row r="408" spans="8:10" ht="14.25" customHeight="1" x14ac:dyDescent="0.3">
      <c r="H408" s="17"/>
      <c r="J408" s="15"/>
    </row>
    <row r="409" spans="8:10" ht="14.25" customHeight="1" x14ac:dyDescent="0.3">
      <c r="H409" s="17"/>
      <c r="J409" s="15"/>
    </row>
    <row r="410" spans="8:10" ht="14.25" customHeight="1" x14ac:dyDescent="0.3">
      <c r="H410" s="17"/>
      <c r="J410" s="15"/>
    </row>
    <row r="411" spans="8:10" ht="14.25" customHeight="1" x14ac:dyDescent="0.3">
      <c r="H411" s="17"/>
      <c r="J411" s="15"/>
    </row>
    <row r="412" spans="8:10" ht="14.25" customHeight="1" x14ac:dyDescent="0.3">
      <c r="H412" s="17"/>
      <c r="J412" s="15"/>
    </row>
    <row r="413" spans="8:10" ht="14.25" customHeight="1" x14ac:dyDescent="0.3">
      <c r="H413" s="17"/>
      <c r="J413" s="15"/>
    </row>
    <row r="414" spans="8:10" ht="14.25" customHeight="1" x14ac:dyDescent="0.3">
      <c r="H414" s="17"/>
      <c r="J414" s="15"/>
    </row>
    <row r="415" spans="8:10" ht="14.25" customHeight="1" x14ac:dyDescent="0.3">
      <c r="H415" s="17"/>
      <c r="J415" s="15"/>
    </row>
    <row r="416" spans="8:10" ht="14.25" customHeight="1" x14ac:dyDescent="0.3">
      <c r="H416" s="17"/>
      <c r="J416" s="15"/>
    </row>
    <row r="417" spans="8:10" ht="14.25" customHeight="1" x14ac:dyDescent="0.3">
      <c r="H417" s="17"/>
      <c r="J417" s="15"/>
    </row>
    <row r="418" spans="8:10" ht="14.25" customHeight="1" x14ac:dyDescent="0.3">
      <c r="H418" s="17"/>
      <c r="J418" s="15"/>
    </row>
    <row r="419" spans="8:10" ht="14.25" customHeight="1" x14ac:dyDescent="0.3">
      <c r="H419" s="17"/>
      <c r="J419" s="15"/>
    </row>
    <row r="420" spans="8:10" ht="14.25" customHeight="1" x14ac:dyDescent="0.3">
      <c r="H420" s="17"/>
      <c r="J420" s="15"/>
    </row>
    <row r="421" spans="8:10" ht="14.25" customHeight="1" x14ac:dyDescent="0.3">
      <c r="H421" s="17"/>
      <c r="J421" s="15"/>
    </row>
    <row r="422" spans="8:10" ht="14.25" customHeight="1" x14ac:dyDescent="0.3">
      <c r="H422" s="17"/>
      <c r="J422" s="15"/>
    </row>
    <row r="423" spans="8:10" ht="14.25" customHeight="1" x14ac:dyDescent="0.3">
      <c r="H423" s="17"/>
      <c r="J423" s="15"/>
    </row>
    <row r="424" spans="8:10" ht="14.25" customHeight="1" x14ac:dyDescent="0.3">
      <c r="H424" s="17"/>
      <c r="J424" s="15"/>
    </row>
    <row r="425" spans="8:10" ht="14.25" customHeight="1" x14ac:dyDescent="0.3">
      <c r="H425" s="17"/>
      <c r="J425" s="15"/>
    </row>
    <row r="426" spans="8:10" ht="14.25" customHeight="1" x14ac:dyDescent="0.3">
      <c r="H426" s="17"/>
      <c r="J426" s="15"/>
    </row>
    <row r="427" spans="8:10" ht="14.25" customHeight="1" x14ac:dyDescent="0.3">
      <c r="H427" s="17"/>
      <c r="J427" s="15"/>
    </row>
    <row r="428" spans="8:10" ht="14.25" customHeight="1" x14ac:dyDescent="0.3">
      <c r="H428" s="17"/>
      <c r="J428" s="15"/>
    </row>
    <row r="429" spans="8:10" ht="14.25" customHeight="1" x14ac:dyDescent="0.3">
      <c r="H429" s="17"/>
      <c r="J429" s="15"/>
    </row>
    <row r="430" spans="8:10" ht="14.25" customHeight="1" x14ac:dyDescent="0.3">
      <c r="H430" s="17"/>
      <c r="J430" s="15"/>
    </row>
    <row r="431" spans="8:10" ht="14.25" customHeight="1" x14ac:dyDescent="0.3">
      <c r="H431" s="17"/>
      <c r="J431" s="15"/>
    </row>
    <row r="432" spans="8:10" ht="14.25" customHeight="1" x14ac:dyDescent="0.3">
      <c r="H432" s="17"/>
      <c r="J432" s="15"/>
    </row>
    <row r="433" spans="8:10" ht="14.25" customHeight="1" x14ac:dyDescent="0.3">
      <c r="H433" s="17"/>
      <c r="J433" s="15"/>
    </row>
    <row r="434" spans="8:10" ht="14.25" customHeight="1" x14ac:dyDescent="0.3">
      <c r="H434" s="17"/>
      <c r="J434" s="15"/>
    </row>
    <row r="435" spans="8:10" ht="14.25" customHeight="1" x14ac:dyDescent="0.3">
      <c r="H435" s="17"/>
      <c r="J435" s="15"/>
    </row>
    <row r="436" spans="8:10" ht="14.25" customHeight="1" x14ac:dyDescent="0.3">
      <c r="H436" s="17"/>
      <c r="J436" s="15"/>
    </row>
    <row r="437" spans="8:10" ht="14.25" customHeight="1" x14ac:dyDescent="0.3">
      <c r="H437" s="17"/>
      <c r="J437" s="15"/>
    </row>
    <row r="438" spans="8:10" ht="14.25" customHeight="1" x14ac:dyDescent="0.3">
      <c r="H438" s="17"/>
      <c r="J438" s="15"/>
    </row>
    <row r="439" spans="8:10" ht="14.25" customHeight="1" x14ac:dyDescent="0.3">
      <c r="H439" s="17"/>
      <c r="J439" s="15"/>
    </row>
    <row r="440" spans="8:10" ht="14.25" customHeight="1" x14ac:dyDescent="0.3">
      <c r="H440" s="17"/>
      <c r="J440" s="15"/>
    </row>
    <row r="441" spans="8:10" ht="14.25" customHeight="1" x14ac:dyDescent="0.3">
      <c r="H441" s="17"/>
      <c r="J441" s="15"/>
    </row>
    <row r="442" spans="8:10" ht="14.25" customHeight="1" x14ac:dyDescent="0.3">
      <c r="H442" s="17"/>
      <c r="J442" s="15"/>
    </row>
    <row r="443" spans="8:10" ht="14.25" customHeight="1" x14ac:dyDescent="0.3">
      <c r="H443" s="17"/>
      <c r="J443" s="15"/>
    </row>
    <row r="444" spans="8:10" ht="14.25" customHeight="1" x14ac:dyDescent="0.3">
      <c r="H444" s="17"/>
      <c r="J444" s="15"/>
    </row>
    <row r="445" spans="8:10" ht="14.25" customHeight="1" x14ac:dyDescent="0.3">
      <c r="H445" s="17"/>
      <c r="J445" s="15"/>
    </row>
    <row r="446" spans="8:10" ht="14.25" customHeight="1" x14ac:dyDescent="0.3">
      <c r="H446" s="17"/>
      <c r="J446" s="15"/>
    </row>
    <row r="447" spans="8:10" ht="14.25" customHeight="1" x14ac:dyDescent="0.3">
      <c r="H447" s="17"/>
      <c r="J447" s="15"/>
    </row>
    <row r="448" spans="8:10" ht="14.25" customHeight="1" x14ac:dyDescent="0.3">
      <c r="H448" s="17"/>
      <c r="J448" s="15"/>
    </row>
    <row r="449" spans="8:10" ht="14.25" customHeight="1" x14ac:dyDescent="0.3">
      <c r="H449" s="17"/>
      <c r="J449" s="15"/>
    </row>
    <row r="450" spans="8:10" ht="14.25" customHeight="1" x14ac:dyDescent="0.3">
      <c r="H450" s="17"/>
      <c r="J450" s="15"/>
    </row>
    <row r="451" spans="8:10" ht="14.25" customHeight="1" x14ac:dyDescent="0.3">
      <c r="H451" s="17"/>
      <c r="J451" s="15"/>
    </row>
    <row r="452" spans="8:10" ht="14.25" customHeight="1" x14ac:dyDescent="0.3">
      <c r="H452" s="17"/>
      <c r="J452" s="15"/>
    </row>
    <row r="453" spans="8:10" ht="14.25" customHeight="1" x14ac:dyDescent="0.3">
      <c r="H453" s="17"/>
      <c r="J453" s="15"/>
    </row>
    <row r="454" spans="8:10" ht="14.25" customHeight="1" x14ac:dyDescent="0.3">
      <c r="H454" s="17"/>
      <c r="J454" s="15"/>
    </row>
    <row r="455" spans="8:10" ht="14.25" customHeight="1" x14ac:dyDescent="0.3">
      <c r="H455" s="17"/>
      <c r="J455" s="15"/>
    </row>
    <row r="456" spans="8:10" ht="14.25" customHeight="1" x14ac:dyDescent="0.3">
      <c r="H456" s="17"/>
      <c r="J456" s="15"/>
    </row>
    <row r="457" spans="8:10" ht="14.25" customHeight="1" x14ac:dyDescent="0.3">
      <c r="H457" s="17"/>
      <c r="J457" s="15"/>
    </row>
    <row r="458" spans="8:10" ht="14.25" customHeight="1" x14ac:dyDescent="0.3">
      <c r="H458" s="17"/>
      <c r="J458" s="15"/>
    </row>
    <row r="459" spans="8:10" ht="14.25" customHeight="1" x14ac:dyDescent="0.3">
      <c r="H459" s="17"/>
      <c r="J459" s="15"/>
    </row>
    <row r="460" spans="8:10" ht="14.25" customHeight="1" x14ac:dyDescent="0.3">
      <c r="H460" s="17"/>
      <c r="J460" s="15"/>
    </row>
    <row r="461" spans="8:10" ht="14.25" customHeight="1" x14ac:dyDescent="0.3">
      <c r="H461" s="17"/>
      <c r="J461" s="15"/>
    </row>
    <row r="462" spans="8:10" ht="14.25" customHeight="1" x14ac:dyDescent="0.3">
      <c r="H462" s="17"/>
      <c r="J462" s="15"/>
    </row>
    <row r="463" spans="8:10" ht="14.25" customHeight="1" x14ac:dyDescent="0.3">
      <c r="H463" s="17"/>
      <c r="J463" s="15"/>
    </row>
    <row r="464" spans="8:10" ht="14.25" customHeight="1" x14ac:dyDescent="0.3">
      <c r="H464" s="17"/>
      <c r="J464" s="15"/>
    </row>
    <row r="465" spans="8:10" ht="14.25" customHeight="1" x14ac:dyDescent="0.3">
      <c r="H465" s="17"/>
      <c r="J465" s="15"/>
    </row>
    <row r="466" spans="8:10" ht="14.25" customHeight="1" x14ac:dyDescent="0.3">
      <c r="H466" s="17"/>
      <c r="J466" s="15"/>
    </row>
    <row r="467" spans="8:10" ht="14.25" customHeight="1" x14ac:dyDescent="0.3">
      <c r="H467" s="17"/>
      <c r="J467" s="15"/>
    </row>
    <row r="468" spans="8:10" ht="14.25" customHeight="1" x14ac:dyDescent="0.3">
      <c r="H468" s="17"/>
      <c r="J468" s="15"/>
    </row>
    <row r="469" spans="8:10" ht="14.25" customHeight="1" x14ac:dyDescent="0.3">
      <c r="H469" s="17"/>
      <c r="J469" s="15"/>
    </row>
    <row r="470" spans="8:10" ht="14.25" customHeight="1" x14ac:dyDescent="0.3">
      <c r="H470" s="17"/>
      <c r="J470" s="15"/>
    </row>
    <row r="471" spans="8:10" ht="14.25" customHeight="1" x14ac:dyDescent="0.3">
      <c r="H471" s="17"/>
      <c r="J471" s="15"/>
    </row>
    <row r="472" spans="8:10" ht="14.25" customHeight="1" x14ac:dyDescent="0.3">
      <c r="H472" s="17"/>
      <c r="J472" s="15"/>
    </row>
    <row r="473" spans="8:10" ht="14.25" customHeight="1" x14ac:dyDescent="0.3">
      <c r="H473" s="17"/>
      <c r="J473" s="15"/>
    </row>
    <row r="474" spans="8:10" ht="14.25" customHeight="1" x14ac:dyDescent="0.3">
      <c r="H474" s="17"/>
      <c r="J474" s="15"/>
    </row>
    <row r="475" spans="8:10" ht="14.25" customHeight="1" x14ac:dyDescent="0.3">
      <c r="H475" s="17"/>
      <c r="J475" s="15"/>
    </row>
    <row r="476" spans="8:10" ht="14.25" customHeight="1" x14ac:dyDescent="0.3">
      <c r="H476" s="17"/>
      <c r="J476" s="15"/>
    </row>
    <row r="477" spans="8:10" ht="14.25" customHeight="1" x14ac:dyDescent="0.3">
      <c r="H477" s="17"/>
      <c r="J477" s="15"/>
    </row>
    <row r="478" spans="8:10" ht="14.25" customHeight="1" x14ac:dyDescent="0.3">
      <c r="H478" s="17"/>
      <c r="J478" s="15"/>
    </row>
    <row r="479" spans="8:10" ht="14.25" customHeight="1" x14ac:dyDescent="0.3">
      <c r="H479" s="17"/>
      <c r="J479" s="15"/>
    </row>
    <row r="480" spans="8:10" ht="14.25" customHeight="1" x14ac:dyDescent="0.3">
      <c r="H480" s="17"/>
      <c r="J480" s="15"/>
    </row>
    <row r="481" spans="8:10" ht="14.25" customHeight="1" x14ac:dyDescent="0.3">
      <c r="H481" s="17"/>
      <c r="J481" s="15"/>
    </row>
    <row r="482" spans="8:10" ht="14.25" customHeight="1" x14ac:dyDescent="0.3">
      <c r="H482" s="17"/>
      <c r="J482" s="15"/>
    </row>
    <row r="483" spans="8:10" ht="14.25" customHeight="1" x14ac:dyDescent="0.3">
      <c r="H483" s="17"/>
      <c r="J483" s="15"/>
    </row>
    <row r="484" spans="8:10" ht="14.25" customHeight="1" x14ac:dyDescent="0.3">
      <c r="H484" s="17"/>
      <c r="J484" s="15"/>
    </row>
    <row r="485" spans="8:10" ht="14.25" customHeight="1" x14ac:dyDescent="0.3">
      <c r="H485" s="17"/>
      <c r="J485" s="15"/>
    </row>
    <row r="486" spans="8:10" ht="14.25" customHeight="1" x14ac:dyDescent="0.3">
      <c r="H486" s="17"/>
      <c r="J486" s="15"/>
    </row>
    <row r="487" spans="8:10" ht="14.25" customHeight="1" x14ac:dyDescent="0.3">
      <c r="H487" s="17"/>
      <c r="J487" s="15"/>
    </row>
    <row r="488" spans="8:10" ht="14.25" customHeight="1" x14ac:dyDescent="0.3">
      <c r="H488" s="17"/>
      <c r="J488" s="15"/>
    </row>
    <row r="489" spans="8:10" ht="14.25" customHeight="1" x14ac:dyDescent="0.3">
      <c r="H489" s="17"/>
      <c r="J489" s="15"/>
    </row>
    <row r="490" spans="8:10" ht="14.25" customHeight="1" x14ac:dyDescent="0.3">
      <c r="H490" s="17"/>
      <c r="J490" s="15"/>
    </row>
    <row r="491" spans="8:10" ht="14.25" customHeight="1" x14ac:dyDescent="0.3">
      <c r="H491" s="17"/>
      <c r="J491" s="15"/>
    </row>
    <row r="492" spans="8:10" ht="14.25" customHeight="1" x14ac:dyDescent="0.3">
      <c r="H492" s="17"/>
      <c r="J492" s="15"/>
    </row>
    <row r="493" spans="8:10" ht="14.25" customHeight="1" x14ac:dyDescent="0.3">
      <c r="H493" s="17"/>
      <c r="J493" s="15"/>
    </row>
    <row r="494" spans="8:10" ht="14.25" customHeight="1" x14ac:dyDescent="0.3">
      <c r="H494" s="17"/>
      <c r="J494" s="15"/>
    </row>
    <row r="495" spans="8:10" ht="14.25" customHeight="1" x14ac:dyDescent="0.3">
      <c r="H495" s="17"/>
      <c r="J495" s="15"/>
    </row>
    <row r="496" spans="8:10" ht="14.25" customHeight="1" x14ac:dyDescent="0.3">
      <c r="H496" s="17"/>
      <c r="J496" s="15"/>
    </row>
    <row r="497" spans="8:10" ht="14.25" customHeight="1" x14ac:dyDescent="0.3">
      <c r="H497" s="17"/>
      <c r="J497" s="15"/>
    </row>
    <row r="498" spans="8:10" ht="14.25" customHeight="1" x14ac:dyDescent="0.3">
      <c r="H498" s="17"/>
      <c r="J498" s="15"/>
    </row>
    <row r="499" spans="8:10" ht="14.25" customHeight="1" x14ac:dyDescent="0.3">
      <c r="H499" s="17"/>
      <c r="J499" s="15"/>
    </row>
    <row r="500" spans="8:10" ht="14.25" customHeight="1" x14ac:dyDescent="0.3">
      <c r="H500" s="17"/>
      <c r="J500" s="15"/>
    </row>
    <row r="501" spans="8:10" ht="14.25" customHeight="1" x14ac:dyDescent="0.3">
      <c r="H501" s="17"/>
      <c r="J501" s="15"/>
    </row>
    <row r="502" spans="8:10" ht="14.25" customHeight="1" x14ac:dyDescent="0.3">
      <c r="H502" s="17"/>
      <c r="J502" s="15"/>
    </row>
    <row r="503" spans="8:10" ht="14.25" customHeight="1" x14ac:dyDescent="0.3">
      <c r="H503" s="17"/>
      <c r="J503" s="15"/>
    </row>
    <row r="504" spans="8:10" ht="14.25" customHeight="1" x14ac:dyDescent="0.3">
      <c r="H504" s="17"/>
      <c r="J504" s="15"/>
    </row>
    <row r="505" spans="8:10" ht="14.25" customHeight="1" x14ac:dyDescent="0.3">
      <c r="H505" s="17"/>
      <c r="J505" s="15"/>
    </row>
    <row r="506" spans="8:10" ht="14.25" customHeight="1" x14ac:dyDescent="0.3">
      <c r="H506" s="17"/>
      <c r="J506" s="15"/>
    </row>
    <row r="507" spans="8:10" ht="14.25" customHeight="1" x14ac:dyDescent="0.3">
      <c r="H507" s="17"/>
      <c r="J507" s="15"/>
    </row>
    <row r="508" spans="8:10" ht="14.25" customHeight="1" x14ac:dyDescent="0.3">
      <c r="H508" s="17"/>
      <c r="J508" s="15"/>
    </row>
    <row r="509" spans="8:10" ht="14.25" customHeight="1" x14ac:dyDescent="0.3">
      <c r="H509" s="17"/>
      <c r="J509" s="15"/>
    </row>
    <row r="510" spans="8:10" ht="14.25" customHeight="1" x14ac:dyDescent="0.3">
      <c r="H510" s="17"/>
      <c r="J510" s="15"/>
    </row>
    <row r="511" spans="8:10" ht="14.25" customHeight="1" x14ac:dyDescent="0.3">
      <c r="H511" s="17"/>
      <c r="J511" s="15"/>
    </row>
    <row r="512" spans="8:10" ht="14.25" customHeight="1" x14ac:dyDescent="0.3">
      <c r="H512" s="17"/>
      <c r="J512" s="15"/>
    </row>
    <row r="513" spans="8:10" ht="14.25" customHeight="1" x14ac:dyDescent="0.3">
      <c r="H513" s="17"/>
      <c r="J513" s="15"/>
    </row>
    <row r="514" spans="8:10" ht="14.25" customHeight="1" x14ac:dyDescent="0.3">
      <c r="H514" s="17"/>
      <c r="J514" s="15"/>
    </row>
    <row r="515" spans="8:10" ht="14.25" customHeight="1" x14ac:dyDescent="0.3">
      <c r="H515" s="17"/>
      <c r="J515" s="15"/>
    </row>
    <row r="516" spans="8:10" ht="14.25" customHeight="1" x14ac:dyDescent="0.3">
      <c r="H516" s="17"/>
      <c r="J516" s="15"/>
    </row>
    <row r="517" spans="8:10" ht="14.25" customHeight="1" x14ac:dyDescent="0.3">
      <c r="H517" s="17"/>
      <c r="J517" s="15"/>
    </row>
    <row r="518" spans="8:10" ht="14.25" customHeight="1" x14ac:dyDescent="0.3">
      <c r="H518" s="17"/>
      <c r="J518" s="15"/>
    </row>
    <row r="519" spans="8:10" ht="14.25" customHeight="1" x14ac:dyDescent="0.3">
      <c r="H519" s="17"/>
      <c r="J519" s="15"/>
    </row>
    <row r="520" spans="8:10" ht="14.25" customHeight="1" x14ac:dyDescent="0.3">
      <c r="H520" s="17"/>
      <c r="J520" s="15"/>
    </row>
    <row r="521" spans="8:10" ht="14.25" customHeight="1" x14ac:dyDescent="0.3">
      <c r="H521" s="17"/>
      <c r="J521" s="15"/>
    </row>
    <row r="522" spans="8:10" ht="14.25" customHeight="1" x14ac:dyDescent="0.3">
      <c r="H522" s="17"/>
      <c r="J522" s="15"/>
    </row>
    <row r="523" spans="8:10" ht="14.25" customHeight="1" x14ac:dyDescent="0.3">
      <c r="H523" s="17"/>
      <c r="J523" s="15"/>
    </row>
    <row r="524" spans="8:10" ht="14.25" customHeight="1" x14ac:dyDescent="0.3">
      <c r="H524" s="17"/>
      <c r="J524" s="15"/>
    </row>
    <row r="525" spans="8:10" ht="14.25" customHeight="1" x14ac:dyDescent="0.3">
      <c r="H525" s="17"/>
      <c r="J525" s="15"/>
    </row>
    <row r="526" spans="8:10" ht="14.25" customHeight="1" x14ac:dyDescent="0.3">
      <c r="H526" s="17"/>
      <c r="J526" s="15"/>
    </row>
    <row r="527" spans="8:10" ht="14.25" customHeight="1" x14ac:dyDescent="0.3">
      <c r="H527" s="17"/>
      <c r="J527" s="15"/>
    </row>
    <row r="528" spans="8:10" ht="14.25" customHeight="1" x14ac:dyDescent="0.3">
      <c r="H528" s="17"/>
      <c r="J528" s="15"/>
    </row>
    <row r="529" spans="8:10" ht="14.25" customHeight="1" x14ac:dyDescent="0.3">
      <c r="H529" s="17"/>
      <c r="J529" s="15"/>
    </row>
    <row r="530" spans="8:10" ht="14.25" customHeight="1" x14ac:dyDescent="0.3">
      <c r="H530" s="17"/>
      <c r="J530" s="15"/>
    </row>
    <row r="531" spans="8:10" ht="14.25" customHeight="1" x14ac:dyDescent="0.3">
      <c r="H531" s="17"/>
      <c r="J531" s="15"/>
    </row>
    <row r="532" spans="8:10" ht="14.25" customHeight="1" x14ac:dyDescent="0.3">
      <c r="H532" s="17"/>
      <c r="J532" s="15"/>
    </row>
    <row r="533" spans="8:10" ht="14.25" customHeight="1" x14ac:dyDescent="0.3">
      <c r="H533" s="17"/>
      <c r="J533" s="15"/>
    </row>
    <row r="534" spans="8:10" ht="14.25" customHeight="1" x14ac:dyDescent="0.3">
      <c r="H534" s="17"/>
      <c r="J534" s="15"/>
    </row>
    <row r="535" spans="8:10" ht="14.25" customHeight="1" x14ac:dyDescent="0.3">
      <c r="H535" s="17"/>
      <c r="J535" s="15"/>
    </row>
    <row r="536" spans="8:10" ht="14.25" customHeight="1" x14ac:dyDescent="0.3">
      <c r="H536" s="17"/>
      <c r="J536" s="15"/>
    </row>
    <row r="537" spans="8:10" ht="14.25" customHeight="1" x14ac:dyDescent="0.3">
      <c r="H537" s="17"/>
      <c r="J537" s="15"/>
    </row>
    <row r="538" spans="8:10" ht="14.25" customHeight="1" x14ac:dyDescent="0.3">
      <c r="H538" s="17"/>
      <c r="J538" s="15"/>
    </row>
    <row r="539" spans="8:10" ht="14.25" customHeight="1" x14ac:dyDescent="0.3">
      <c r="H539" s="17"/>
      <c r="J539" s="15"/>
    </row>
    <row r="540" spans="8:10" ht="14.25" customHeight="1" x14ac:dyDescent="0.3">
      <c r="H540" s="17"/>
      <c r="J540" s="15"/>
    </row>
    <row r="541" spans="8:10" ht="14.25" customHeight="1" x14ac:dyDescent="0.3">
      <c r="H541" s="17"/>
      <c r="J541" s="15"/>
    </row>
    <row r="542" spans="8:10" ht="14.25" customHeight="1" x14ac:dyDescent="0.3">
      <c r="H542" s="17"/>
      <c r="J542" s="15"/>
    </row>
    <row r="543" spans="8:10" ht="14.25" customHeight="1" x14ac:dyDescent="0.3">
      <c r="H543" s="17"/>
      <c r="J543" s="15"/>
    </row>
    <row r="544" spans="8:10" ht="14.25" customHeight="1" x14ac:dyDescent="0.3">
      <c r="H544" s="17"/>
      <c r="J544" s="15"/>
    </row>
    <row r="545" spans="8:10" ht="14.25" customHeight="1" x14ac:dyDescent="0.3">
      <c r="H545" s="17"/>
      <c r="J545" s="15"/>
    </row>
    <row r="546" spans="8:10" ht="14.25" customHeight="1" x14ac:dyDescent="0.3">
      <c r="H546" s="17"/>
      <c r="J546" s="15"/>
    </row>
    <row r="547" spans="8:10" ht="14.25" customHeight="1" x14ac:dyDescent="0.3">
      <c r="H547" s="17"/>
      <c r="J547" s="15"/>
    </row>
    <row r="548" spans="8:10" ht="14.25" customHeight="1" x14ac:dyDescent="0.3">
      <c r="H548" s="17"/>
      <c r="J548" s="15"/>
    </row>
    <row r="549" spans="8:10" ht="14.25" customHeight="1" x14ac:dyDescent="0.3">
      <c r="H549" s="17"/>
      <c r="J549" s="15"/>
    </row>
    <row r="550" spans="8:10" ht="14.25" customHeight="1" x14ac:dyDescent="0.3">
      <c r="H550" s="17"/>
      <c r="J550" s="15"/>
    </row>
    <row r="551" spans="8:10" ht="14.25" customHeight="1" x14ac:dyDescent="0.3">
      <c r="H551" s="17"/>
      <c r="J551" s="15"/>
    </row>
    <row r="552" spans="8:10" ht="14.25" customHeight="1" x14ac:dyDescent="0.3">
      <c r="H552" s="17"/>
      <c r="J552" s="15"/>
    </row>
    <row r="553" spans="8:10" ht="14.25" customHeight="1" x14ac:dyDescent="0.3">
      <c r="H553" s="17"/>
      <c r="J553" s="15"/>
    </row>
    <row r="554" spans="8:10" ht="14.25" customHeight="1" x14ac:dyDescent="0.3">
      <c r="H554" s="17"/>
      <c r="J554" s="15"/>
    </row>
    <row r="555" spans="8:10" ht="14.25" customHeight="1" x14ac:dyDescent="0.3">
      <c r="H555" s="17"/>
      <c r="J555" s="15"/>
    </row>
    <row r="556" spans="8:10" ht="14.25" customHeight="1" x14ac:dyDescent="0.3">
      <c r="H556" s="17"/>
      <c r="J556" s="15"/>
    </row>
    <row r="557" spans="8:10" ht="14.25" customHeight="1" x14ac:dyDescent="0.3">
      <c r="H557" s="17"/>
      <c r="J557" s="15"/>
    </row>
    <row r="558" spans="8:10" ht="14.25" customHeight="1" x14ac:dyDescent="0.3">
      <c r="H558" s="17"/>
      <c r="J558" s="15"/>
    </row>
    <row r="559" spans="8:10" ht="14.25" customHeight="1" x14ac:dyDescent="0.3">
      <c r="H559" s="17"/>
      <c r="J559" s="15"/>
    </row>
    <row r="560" spans="8:10" ht="14.25" customHeight="1" x14ac:dyDescent="0.3">
      <c r="H560" s="17"/>
      <c r="J560" s="15"/>
    </row>
    <row r="561" spans="8:10" ht="14.25" customHeight="1" x14ac:dyDescent="0.3">
      <c r="H561" s="17"/>
      <c r="J561" s="15"/>
    </row>
    <row r="562" spans="8:10" ht="14.25" customHeight="1" x14ac:dyDescent="0.3">
      <c r="H562" s="17"/>
      <c r="J562" s="15"/>
    </row>
    <row r="563" spans="8:10" ht="14.25" customHeight="1" x14ac:dyDescent="0.3">
      <c r="H563" s="17"/>
      <c r="J563" s="15"/>
    </row>
    <row r="564" spans="8:10" ht="14.25" customHeight="1" x14ac:dyDescent="0.3">
      <c r="H564" s="17"/>
      <c r="J564" s="15"/>
    </row>
    <row r="565" spans="8:10" ht="14.25" customHeight="1" x14ac:dyDescent="0.3">
      <c r="H565" s="17"/>
      <c r="J565" s="15"/>
    </row>
    <row r="566" spans="8:10" ht="14.25" customHeight="1" x14ac:dyDescent="0.3">
      <c r="H566" s="17"/>
      <c r="J566" s="15"/>
    </row>
    <row r="567" spans="8:10" ht="14.25" customHeight="1" x14ac:dyDescent="0.3">
      <c r="H567" s="17"/>
      <c r="J567" s="15"/>
    </row>
    <row r="568" spans="8:10" ht="14.25" customHeight="1" x14ac:dyDescent="0.3">
      <c r="H568" s="17"/>
      <c r="J568" s="15"/>
    </row>
    <row r="569" spans="8:10" ht="14.25" customHeight="1" x14ac:dyDescent="0.3">
      <c r="H569" s="17"/>
      <c r="J569" s="15"/>
    </row>
    <row r="570" spans="8:10" ht="14.25" customHeight="1" x14ac:dyDescent="0.3">
      <c r="H570" s="17"/>
      <c r="J570" s="15"/>
    </row>
    <row r="571" spans="8:10" ht="14.25" customHeight="1" x14ac:dyDescent="0.3">
      <c r="H571" s="17"/>
      <c r="J571" s="15"/>
    </row>
    <row r="572" spans="8:10" ht="14.25" customHeight="1" x14ac:dyDescent="0.3">
      <c r="H572" s="17"/>
      <c r="J572" s="15"/>
    </row>
    <row r="573" spans="8:10" ht="14.25" customHeight="1" x14ac:dyDescent="0.3">
      <c r="H573" s="17"/>
      <c r="J573" s="15"/>
    </row>
    <row r="574" spans="8:10" ht="14.25" customHeight="1" x14ac:dyDescent="0.3">
      <c r="H574" s="17"/>
      <c r="J574" s="15"/>
    </row>
    <row r="575" spans="8:10" ht="14.25" customHeight="1" x14ac:dyDescent="0.3">
      <c r="H575" s="17"/>
      <c r="J575" s="15"/>
    </row>
    <row r="576" spans="8:10" ht="14.25" customHeight="1" x14ac:dyDescent="0.3">
      <c r="H576" s="17"/>
      <c r="J576" s="15"/>
    </row>
    <row r="577" spans="8:10" ht="14.25" customHeight="1" x14ac:dyDescent="0.3">
      <c r="H577" s="17"/>
      <c r="J577" s="15"/>
    </row>
    <row r="578" spans="8:10" ht="14.25" customHeight="1" x14ac:dyDescent="0.3">
      <c r="H578" s="17"/>
      <c r="J578" s="15"/>
    </row>
    <row r="579" spans="8:10" ht="14.25" customHeight="1" x14ac:dyDescent="0.3">
      <c r="H579" s="17"/>
      <c r="J579" s="15"/>
    </row>
    <row r="580" spans="8:10" ht="14.25" customHeight="1" x14ac:dyDescent="0.3">
      <c r="H580" s="17"/>
      <c r="J580" s="15"/>
    </row>
    <row r="581" spans="8:10" ht="14.25" customHeight="1" x14ac:dyDescent="0.3">
      <c r="H581" s="17"/>
      <c r="J581" s="15"/>
    </row>
    <row r="582" spans="8:10" ht="14.25" customHeight="1" x14ac:dyDescent="0.3">
      <c r="H582" s="17"/>
      <c r="J582" s="15"/>
    </row>
    <row r="583" spans="8:10" ht="14.25" customHeight="1" x14ac:dyDescent="0.3">
      <c r="H583" s="17"/>
      <c r="J583" s="15"/>
    </row>
    <row r="584" spans="8:10" ht="14.25" customHeight="1" x14ac:dyDescent="0.3">
      <c r="H584" s="17"/>
      <c r="J584" s="15"/>
    </row>
    <row r="585" spans="8:10" ht="14.25" customHeight="1" x14ac:dyDescent="0.3">
      <c r="H585" s="17"/>
      <c r="J585" s="15"/>
    </row>
    <row r="586" spans="8:10" ht="14.25" customHeight="1" x14ac:dyDescent="0.3">
      <c r="H586" s="17"/>
      <c r="J586" s="15"/>
    </row>
    <row r="587" spans="8:10" ht="14.25" customHeight="1" x14ac:dyDescent="0.3">
      <c r="H587" s="17"/>
      <c r="J587" s="15"/>
    </row>
    <row r="588" spans="8:10" ht="14.25" customHeight="1" x14ac:dyDescent="0.3">
      <c r="H588" s="17"/>
      <c r="J588" s="15"/>
    </row>
    <row r="589" spans="8:10" ht="14.25" customHeight="1" x14ac:dyDescent="0.3">
      <c r="H589" s="17"/>
      <c r="J589" s="15"/>
    </row>
    <row r="590" spans="8:10" ht="14.25" customHeight="1" x14ac:dyDescent="0.3">
      <c r="H590" s="17"/>
      <c r="J590" s="15"/>
    </row>
    <row r="591" spans="8:10" ht="14.25" customHeight="1" x14ac:dyDescent="0.3">
      <c r="H591" s="17"/>
      <c r="J591" s="15"/>
    </row>
    <row r="592" spans="8:10" ht="14.25" customHeight="1" x14ac:dyDescent="0.3">
      <c r="H592" s="17"/>
      <c r="J592" s="15"/>
    </row>
    <row r="593" spans="8:10" ht="14.25" customHeight="1" x14ac:dyDescent="0.3">
      <c r="H593" s="17"/>
      <c r="J593" s="15"/>
    </row>
    <row r="594" spans="8:10" ht="14.25" customHeight="1" x14ac:dyDescent="0.3">
      <c r="H594" s="17"/>
      <c r="J594" s="15"/>
    </row>
    <row r="595" spans="8:10" ht="14.25" customHeight="1" x14ac:dyDescent="0.3">
      <c r="H595" s="17"/>
      <c r="J595" s="15"/>
    </row>
    <row r="596" spans="8:10" ht="14.25" customHeight="1" x14ac:dyDescent="0.3">
      <c r="H596" s="17"/>
      <c r="J596" s="15"/>
    </row>
    <row r="597" spans="8:10" ht="14.25" customHeight="1" x14ac:dyDescent="0.3">
      <c r="H597" s="17"/>
      <c r="J597" s="15"/>
    </row>
    <row r="598" spans="8:10" ht="14.25" customHeight="1" x14ac:dyDescent="0.3">
      <c r="H598" s="17"/>
      <c r="J598" s="15"/>
    </row>
    <row r="599" spans="8:10" ht="14.25" customHeight="1" x14ac:dyDescent="0.3">
      <c r="H599" s="17"/>
      <c r="J599" s="15"/>
    </row>
    <row r="600" spans="8:10" ht="14.25" customHeight="1" x14ac:dyDescent="0.3">
      <c r="H600" s="17"/>
      <c r="J600" s="15"/>
    </row>
    <row r="601" spans="8:10" ht="14.25" customHeight="1" x14ac:dyDescent="0.3">
      <c r="H601" s="17"/>
      <c r="J601" s="15"/>
    </row>
    <row r="602" spans="8:10" ht="14.25" customHeight="1" x14ac:dyDescent="0.3">
      <c r="H602" s="17"/>
      <c r="J602" s="15"/>
    </row>
    <row r="603" spans="8:10" ht="14.25" customHeight="1" x14ac:dyDescent="0.3">
      <c r="H603" s="17"/>
      <c r="J603" s="15"/>
    </row>
    <row r="604" spans="8:10" ht="14.25" customHeight="1" x14ac:dyDescent="0.3">
      <c r="H604" s="17"/>
      <c r="J604" s="15"/>
    </row>
    <row r="605" spans="8:10" ht="14.25" customHeight="1" x14ac:dyDescent="0.3">
      <c r="H605" s="17"/>
      <c r="J605" s="15"/>
    </row>
    <row r="606" spans="8:10" ht="14.25" customHeight="1" x14ac:dyDescent="0.3">
      <c r="H606" s="17"/>
      <c r="J606" s="15"/>
    </row>
    <row r="607" spans="8:10" ht="14.25" customHeight="1" x14ac:dyDescent="0.3">
      <c r="H607" s="17"/>
      <c r="J607" s="15"/>
    </row>
    <row r="608" spans="8:10" ht="14.25" customHeight="1" x14ac:dyDescent="0.3">
      <c r="H608" s="17"/>
      <c r="J608" s="15"/>
    </row>
    <row r="609" spans="8:10" ht="14.25" customHeight="1" x14ac:dyDescent="0.3">
      <c r="H609" s="17"/>
      <c r="J609" s="15"/>
    </row>
    <row r="610" spans="8:10" ht="14.25" customHeight="1" x14ac:dyDescent="0.3">
      <c r="H610" s="17"/>
      <c r="J610" s="15"/>
    </row>
    <row r="611" spans="8:10" ht="14.25" customHeight="1" x14ac:dyDescent="0.3">
      <c r="H611" s="17"/>
      <c r="J611" s="15"/>
    </row>
    <row r="612" spans="8:10" ht="14.25" customHeight="1" x14ac:dyDescent="0.3">
      <c r="H612" s="17"/>
      <c r="J612" s="15"/>
    </row>
    <row r="613" spans="8:10" ht="14.25" customHeight="1" x14ac:dyDescent="0.3">
      <c r="H613" s="17"/>
      <c r="J613" s="15"/>
    </row>
    <row r="614" spans="8:10" ht="14.25" customHeight="1" x14ac:dyDescent="0.3">
      <c r="H614" s="17"/>
      <c r="J614" s="15"/>
    </row>
    <row r="615" spans="8:10" ht="14.25" customHeight="1" x14ac:dyDescent="0.3">
      <c r="H615" s="17"/>
      <c r="J615" s="15"/>
    </row>
    <row r="616" spans="8:10" ht="14.25" customHeight="1" x14ac:dyDescent="0.3">
      <c r="H616" s="17"/>
      <c r="J616" s="15"/>
    </row>
    <row r="617" spans="8:10" ht="14.25" customHeight="1" x14ac:dyDescent="0.3">
      <c r="H617" s="17"/>
      <c r="J617" s="15"/>
    </row>
    <row r="618" spans="8:10" ht="14.25" customHeight="1" x14ac:dyDescent="0.3">
      <c r="H618" s="17"/>
      <c r="J618" s="15"/>
    </row>
    <row r="619" spans="8:10" ht="14.25" customHeight="1" x14ac:dyDescent="0.3">
      <c r="H619" s="17"/>
      <c r="J619" s="15"/>
    </row>
    <row r="620" spans="8:10" ht="14.25" customHeight="1" x14ac:dyDescent="0.3">
      <c r="H620" s="17"/>
      <c r="J620" s="15"/>
    </row>
    <row r="621" spans="8:10" ht="14.25" customHeight="1" x14ac:dyDescent="0.3">
      <c r="H621" s="17"/>
      <c r="J621" s="15"/>
    </row>
    <row r="622" spans="8:10" ht="14.25" customHeight="1" x14ac:dyDescent="0.3">
      <c r="H622" s="17"/>
      <c r="J622" s="15"/>
    </row>
    <row r="623" spans="8:10" ht="14.25" customHeight="1" x14ac:dyDescent="0.3">
      <c r="H623" s="17"/>
      <c r="J623" s="15"/>
    </row>
    <row r="624" spans="8:10" ht="14.25" customHeight="1" x14ac:dyDescent="0.3">
      <c r="H624" s="17"/>
      <c r="J624" s="15"/>
    </row>
    <row r="625" spans="8:10" ht="14.25" customHeight="1" x14ac:dyDescent="0.3">
      <c r="H625" s="17"/>
      <c r="J625" s="15"/>
    </row>
    <row r="626" spans="8:10" ht="14.25" customHeight="1" x14ac:dyDescent="0.3">
      <c r="H626" s="17"/>
      <c r="J626" s="15"/>
    </row>
    <row r="627" spans="8:10" ht="14.25" customHeight="1" x14ac:dyDescent="0.3">
      <c r="H627" s="17"/>
      <c r="J627" s="15"/>
    </row>
    <row r="628" spans="8:10" ht="14.25" customHeight="1" x14ac:dyDescent="0.3">
      <c r="H628" s="17"/>
      <c r="J628" s="15"/>
    </row>
    <row r="629" spans="8:10" ht="14.25" customHeight="1" x14ac:dyDescent="0.3">
      <c r="H629" s="17"/>
      <c r="J629" s="15"/>
    </row>
    <row r="630" spans="8:10" ht="14.25" customHeight="1" x14ac:dyDescent="0.3">
      <c r="H630" s="17"/>
      <c r="J630" s="15"/>
    </row>
    <row r="631" spans="8:10" ht="14.25" customHeight="1" x14ac:dyDescent="0.3">
      <c r="H631" s="17"/>
      <c r="J631" s="15"/>
    </row>
    <row r="632" spans="8:10" ht="14.25" customHeight="1" x14ac:dyDescent="0.3">
      <c r="H632" s="17"/>
      <c r="J632" s="15"/>
    </row>
    <row r="633" spans="8:10" ht="14.25" customHeight="1" x14ac:dyDescent="0.3">
      <c r="H633" s="17"/>
      <c r="J633" s="15"/>
    </row>
    <row r="634" spans="8:10" ht="14.25" customHeight="1" x14ac:dyDescent="0.3">
      <c r="H634" s="17"/>
      <c r="J634" s="15"/>
    </row>
    <row r="635" spans="8:10" ht="14.25" customHeight="1" x14ac:dyDescent="0.3">
      <c r="H635" s="17"/>
      <c r="J635" s="15"/>
    </row>
    <row r="636" spans="8:10" ht="14.25" customHeight="1" x14ac:dyDescent="0.3">
      <c r="H636" s="17"/>
      <c r="J636" s="15"/>
    </row>
    <row r="637" spans="8:10" ht="14.25" customHeight="1" x14ac:dyDescent="0.3">
      <c r="H637" s="17"/>
      <c r="J637" s="15"/>
    </row>
    <row r="638" spans="8:10" ht="14.25" customHeight="1" x14ac:dyDescent="0.3">
      <c r="H638" s="17"/>
      <c r="J638" s="15"/>
    </row>
    <row r="639" spans="8:10" ht="14.25" customHeight="1" x14ac:dyDescent="0.3">
      <c r="H639" s="17"/>
      <c r="J639" s="15"/>
    </row>
    <row r="640" spans="8:10" ht="14.25" customHeight="1" x14ac:dyDescent="0.3">
      <c r="H640" s="17"/>
      <c r="J640" s="15"/>
    </row>
    <row r="641" spans="8:10" ht="14.25" customHeight="1" x14ac:dyDescent="0.3">
      <c r="H641" s="17"/>
      <c r="J641" s="15"/>
    </row>
    <row r="642" spans="8:10" ht="14.25" customHeight="1" x14ac:dyDescent="0.3">
      <c r="H642" s="17"/>
      <c r="J642" s="15"/>
    </row>
    <row r="643" spans="8:10" ht="14.25" customHeight="1" x14ac:dyDescent="0.3">
      <c r="H643" s="17"/>
      <c r="J643" s="15"/>
    </row>
    <row r="644" spans="8:10" ht="14.25" customHeight="1" x14ac:dyDescent="0.3">
      <c r="H644" s="17"/>
      <c r="J644" s="15"/>
    </row>
    <row r="645" spans="8:10" ht="14.25" customHeight="1" x14ac:dyDescent="0.3">
      <c r="H645" s="17"/>
      <c r="J645" s="15"/>
    </row>
    <row r="646" spans="8:10" ht="14.25" customHeight="1" x14ac:dyDescent="0.3">
      <c r="H646" s="17"/>
      <c r="J646" s="15"/>
    </row>
    <row r="647" spans="8:10" ht="14.25" customHeight="1" x14ac:dyDescent="0.3">
      <c r="H647" s="17"/>
      <c r="J647" s="15"/>
    </row>
    <row r="648" spans="8:10" ht="14.25" customHeight="1" x14ac:dyDescent="0.3">
      <c r="H648" s="17"/>
      <c r="J648" s="15"/>
    </row>
    <row r="649" spans="8:10" ht="14.25" customHeight="1" x14ac:dyDescent="0.3">
      <c r="H649" s="17"/>
      <c r="J649" s="15"/>
    </row>
    <row r="650" spans="8:10" ht="14.25" customHeight="1" x14ac:dyDescent="0.3">
      <c r="H650" s="17"/>
      <c r="J650" s="15"/>
    </row>
    <row r="651" spans="8:10" ht="14.25" customHeight="1" x14ac:dyDescent="0.3">
      <c r="H651" s="17"/>
      <c r="J651" s="15"/>
    </row>
    <row r="652" spans="8:10" ht="14.25" customHeight="1" x14ac:dyDescent="0.3">
      <c r="H652" s="17"/>
      <c r="J652" s="15"/>
    </row>
    <row r="653" spans="8:10" ht="14.25" customHeight="1" x14ac:dyDescent="0.3">
      <c r="H653" s="17"/>
      <c r="J653" s="15"/>
    </row>
    <row r="654" spans="8:10" ht="14.25" customHeight="1" x14ac:dyDescent="0.3">
      <c r="H654" s="17"/>
      <c r="J654" s="15"/>
    </row>
    <row r="655" spans="8:10" ht="14.25" customHeight="1" x14ac:dyDescent="0.3">
      <c r="H655" s="17"/>
      <c r="J655" s="15"/>
    </row>
    <row r="656" spans="8:10" ht="14.25" customHeight="1" x14ac:dyDescent="0.3">
      <c r="H656" s="17"/>
      <c r="J656" s="15"/>
    </row>
    <row r="657" spans="8:10" ht="14.25" customHeight="1" x14ac:dyDescent="0.3">
      <c r="H657" s="17"/>
      <c r="J657" s="15"/>
    </row>
    <row r="658" spans="8:10" ht="14.25" customHeight="1" x14ac:dyDescent="0.3">
      <c r="H658" s="17"/>
      <c r="J658" s="15"/>
    </row>
    <row r="659" spans="8:10" ht="14.25" customHeight="1" x14ac:dyDescent="0.3">
      <c r="H659" s="17"/>
      <c r="J659" s="15"/>
    </row>
    <row r="660" spans="8:10" ht="14.25" customHeight="1" x14ac:dyDescent="0.3">
      <c r="H660" s="17"/>
      <c r="J660" s="15"/>
    </row>
    <row r="661" spans="8:10" ht="14.25" customHeight="1" x14ac:dyDescent="0.3">
      <c r="H661" s="17"/>
      <c r="J661" s="15"/>
    </row>
    <row r="662" spans="8:10" ht="14.25" customHeight="1" x14ac:dyDescent="0.3">
      <c r="H662" s="17"/>
      <c r="J662" s="15"/>
    </row>
    <row r="663" spans="8:10" ht="14.25" customHeight="1" x14ac:dyDescent="0.3">
      <c r="H663" s="17"/>
      <c r="J663" s="15"/>
    </row>
    <row r="664" spans="8:10" ht="14.25" customHeight="1" x14ac:dyDescent="0.3">
      <c r="H664" s="17"/>
      <c r="J664" s="15"/>
    </row>
    <row r="665" spans="8:10" ht="14.25" customHeight="1" x14ac:dyDescent="0.3">
      <c r="H665" s="17"/>
      <c r="J665" s="15"/>
    </row>
    <row r="666" spans="8:10" ht="14.25" customHeight="1" x14ac:dyDescent="0.3">
      <c r="H666" s="17"/>
      <c r="J666" s="15"/>
    </row>
    <row r="667" spans="8:10" ht="14.25" customHeight="1" x14ac:dyDescent="0.3">
      <c r="H667" s="17"/>
      <c r="J667" s="15"/>
    </row>
    <row r="668" spans="8:10" ht="14.25" customHeight="1" x14ac:dyDescent="0.3">
      <c r="H668" s="17"/>
      <c r="J668" s="15"/>
    </row>
    <row r="669" spans="8:10" ht="14.25" customHeight="1" x14ac:dyDescent="0.3">
      <c r="H669" s="17"/>
      <c r="J669" s="15"/>
    </row>
    <row r="670" spans="8:10" ht="14.25" customHeight="1" x14ac:dyDescent="0.3">
      <c r="H670" s="17"/>
      <c r="J670" s="15"/>
    </row>
    <row r="671" spans="8:10" ht="14.25" customHeight="1" x14ac:dyDescent="0.3">
      <c r="H671" s="17"/>
      <c r="J671" s="15"/>
    </row>
    <row r="672" spans="8:10" ht="14.25" customHeight="1" x14ac:dyDescent="0.3">
      <c r="H672" s="17"/>
      <c r="J672" s="15"/>
    </row>
    <row r="673" spans="8:10" ht="14.25" customHeight="1" x14ac:dyDescent="0.3">
      <c r="H673" s="17"/>
      <c r="J673" s="15"/>
    </row>
    <row r="674" spans="8:10" ht="14.25" customHeight="1" x14ac:dyDescent="0.3">
      <c r="H674" s="17"/>
      <c r="J674" s="15"/>
    </row>
    <row r="675" spans="8:10" ht="14.25" customHeight="1" x14ac:dyDescent="0.3">
      <c r="H675" s="17"/>
      <c r="J675" s="15"/>
    </row>
    <row r="676" spans="8:10" ht="14.25" customHeight="1" x14ac:dyDescent="0.3">
      <c r="H676" s="17"/>
      <c r="J676" s="15"/>
    </row>
    <row r="677" spans="8:10" ht="14.25" customHeight="1" x14ac:dyDescent="0.3">
      <c r="H677" s="17"/>
      <c r="J677" s="15"/>
    </row>
    <row r="678" spans="8:10" ht="14.25" customHeight="1" x14ac:dyDescent="0.3">
      <c r="H678" s="17"/>
      <c r="J678" s="15"/>
    </row>
    <row r="679" spans="8:10" ht="14.25" customHeight="1" x14ac:dyDescent="0.3">
      <c r="H679" s="17"/>
      <c r="J679" s="15"/>
    </row>
    <row r="680" spans="8:10" ht="14.25" customHeight="1" x14ac:dyDescent="0.3">
      <c r="H680" s="17"/>
      <c r="J680" s="15"/>
    </row>
    <row r="681" spans="8:10" ht="14.25" customHeight="1" x14ac:dyDescent="0.3">
      <c r="H681" s="17"/>
      <c r="J681" s="15"/>
    </row>
    <row r="682" spans="8:10" ht="14.25" customHeight="1" x14ac:dyDescent="0.3">
      <c r="H682" s="17"/>
      <c r="J682" s="15"/>
    </row>
    <row r="683" spans="8:10" ht="14.25" customHeight="1" x14ac:dyDescent="0.3">
      <c r="H683" s="17"/>
      <c r="J683" s="15"/>
    </row>
    <row r="684" spans="8:10" ht="14.25" customHeight="1" x14ac:dyDescent="0.3">
      <c r="H684" s="17"/>
      <c r="J684" s="15"/>
    </row>
    <row r="685" spans="8:10" ht="14.25" customHeight="1" x14ac:dyDescent="0.3">
      <c r="H685" s="17"/>
      <c r="J685" s="15"/>
    </row>
    <row r="686" spans="8:10" ht="14.25" customHeight="1" x14ac:dyDescent="0.3">
      <c r="H686" s="17"/>
      <c r="J686" s="15"/>
    </row>
    <row r="687" spans="8:10" ht="14.25" customHeight="1" x14ac:dyDescent="0.3">
      <c r="H687" s="17"/>
      <c r="J687" s="15"/>
    </row>
    <row r="688" spans="8:10" ht="14.25" customHeight="1" x14ac:dyDescent="0.3">
      <c r="H688" s="17"/>
      <c r="J688" s="15"/>
    </row>
    <row r="689" spans="8:10" ht="14.25" customHeight="1" x14ac:dyDescent="0.3">
      <c r="H689" s="17"/>
      <c r="J689" s="15"/>
    </row>
    <row r="690" spans="8:10" ht="14.25" customHeight="1" x14ac:dyDescent="0.3">
      <c r="H690" s="17"/>
      <c r="J690" s="15"/>
    </row>
    <row r="691" spans="8:10" ht="14.25" customHeight="1" x14ac:dyDescent="0.3">
      <c r="H691" s="17"/>
      <c r="J691" s="15"/>
    </row>
    <row r="692" spans="8:10" ht="14.25" customHeight="1" x14ac:dyDescent="0.3">
      <c r="H692" s="17"/>
      <c r="J692" s="15"/>
    </row>
    <row r="693" spans="8:10" ht="14.25" customHeight="1" x14ac:dyDescent="0.3">
      <c r="H693" s="17"/>
      <c r="J693" s="15"/>
    </row>
    <row r="694" spans="8:10" ht="14.25" customHeight="1" x14ac:dyDescent="0.3">
      <c r="H694" s="17"/>
      <c r="J694" s="15"/>
    </row>
    <row r="695" spans="8:10" ht="14.25" customHeight="1" x14ac:dyDescent="0.3">
      <c r="H695" s="17"/>
      <c r="J695" s="15"/>
    </row>
    <row r="696" spans="8:10" ht="14.25" customHeight="1" x14ac:dyDescent="0.3">
      <c r="H696" s="17"/>
      <c r="J696" s="15"/>
    </row>
    <row r="697" spans="8:10" ht="14.25" customHeight="1" x14ac:dyDescent="0.3">
      <c r="H697" s="17"/>
      <c r="J697" s="15"/>
    </row>
    <row r="698" spans="8:10" ht="14.25" customHeight="1" x14ac:dyDescent="0.3">
      <c r="H698" s="17"/>
      <c r="J698" s="15"/>
    </row>
    <row r="699" spans="8:10" ht="14.25" customHeight="1" x14ac:dyDescent="0.3">
      <c r="H699" s="17"/>
      <c r="J699" s="15"/>
    </row>
    <row r="700" spans="8:10" ht="14.25" customHeight="1" x14ac:dyDescent="0.3">
      <c r="H700" s="17"/>
      <c r="J700" s="15"/>
    </row>
    <row r="701" spans="8:10" ht="14.25" customHeight="1" x14ac:dyDescent="0.3">
      <c r="H701" s="17"/>
      <c r="J701" s="15"/>
    </row>
    <row r="702" spans="8:10" ht="14.25" customHeight="1" x14ac:dyDescent="0.3">
      <c r="H702" s="17"/>
      <c r="J702" s="15"/>
    </row>
    <row r="703" spans="8:10" ht="14.25" customHeight="1" x14ac:dyDescent="0.3">
      <c r="H703" s="17"/>
      <c r="J703" s="15"/>
    </row>
    <row r="704" spans="8:10" ht="14.25" customHeight="1" x14ac:dyDescent="0.3">
      <c r="H704" s="17"/>
      <c r="J704" s="15"/>
    </row>
    <row r="705" spans="8:10" ht="14.25" customHeight="1" x14ac:dyDescent="0.3">
      <c r="H705" s="17"/>
      <c r="J705" s="15"/>
    </row>
    <row r="706" spans="8:10" ht="14.25" customHeight="1" x14ac:dyDescent="0.3">
      <c r="H706" s="17"/>
      <c r="J706" s="15"/>
    </row>
    <row r="707" spans="8:10" ht="14.25" customHeight="1" x14ac:dyDescent="0.3">
      <c r="H707" s="17"/>
      <c r="J707" s="15"/>
    </row>
    <row r="708" spans="8:10" ht="14.25" customHeight="1" x14ac:dyDescent="0.3">
      <c r="H708" s="17"/>
      <c r="J708" s="15"/>
    </row>
    <row r="709" spans="8:10" ht="14.25" customHeight="1" x14ac:dyDescent="0.3">
      <c r="H709" s="17"/>
      <c r="J709" s="15"/>
    </row>
    <row r="710" spans="8:10" ht="14.25" customHeight="1" x14ac:dyDescent="0.3">
      <c r="H710" s="17"/>
      <c r="J710" s="15"/>
    </row>
    <row r="711" spans="8:10" ht="14.25" customHeight="1" x14ac:dyDescent="0.3">
      <c r="H711" s="17"/>
      <c r="J711" s="15"/>
    </row>
    <row r="712" spans="8:10" ht="14.25" customHeight="1" x14ac:dyDescent="0.3">
      <c r="H712" s="17"/>
      <c r="J712" s="15"/>
    </row>
    <row r="713" spans="8:10" ht="14.25" customHeight="1" x14ac:dyDescent="0.3">
      <c r="H713" s="17"/>
      <c r="J713" s="15"/>
    </row>
    <row r="714" spans="8:10" ht="14.25" customHeight="1" x14ac:dyDescent="0.3">
      <c r="H714" s="17"/>
      <c r="J714" s="15"/>
    </row>
    <row r="715" spans="8:10" ht="14.25" customHeight="1" x14ac:dyDescent="0.3">
      <c r="H715" s="17"/>
      <c r="J715" s="15"/>
    </row>
    <row r="716" spans="8:10" ht="14.25" customHeight="1" x14ac:dyDescent="0.3">
      <c r="H716" s="17"/>
      <c r="J716" s="15"/>
    </row>
    <row r="717" spans="8:10" ht="14.25" customHeight="1" x14ac:dyDescent="0.3">
      <c r="H717" s="17"/>
      <c r="J717" s="15"/>
    </row>
    <row r="718" spans="8:10" ht="14.25" customHeight="1" x14ac:dyDescent="0.3">
      <c r="H718" s="17"/>
      <c r="J718" s="15"/>
    </row>
    <row r="719" spans="8:10" ht="14.25" customHeight="1" x14ac:dyDescent="0.3">
      <c r="H719" s="17"/>
      <c r="J719" s="15"/>
    </row>
    <row r="720" spans="8:10" ht="14.25" customHeight="1" x14ac:dyDescent="0.3">
      <c r="H720" s="17"/>
      <c r="J720" s="15"/>
    </row>
    <row r="721" spans="8:10" ht="14.25" customHeight="1" x14ac:dyDescent="0.3">
      <c r="H721" s="17"/>
      <c r="J721" s="15"/>
    </row>
    <row r="722" spans="8:10" ht="14.25" customHeight="1" x14ac:dyDescent="0.3">
      <c r="H722" s="17"/>
      <c r="J722" s="15"/>
    </row>
    <row r="723" spans="8:10" ht="14.25" customHeight="1" x14ac:dyDescent="0.3">
      <c r="H723" s="17"/>
      <c r="J723" s="15"/>
    </row>
    <row r="724" spans="8:10" ht="14.25" customHeight="1" x14ac:dyDescent="0.3">
      <c r="H724" s="17"/>
      <c r="J724" s="15"/>
    </row>
    <row r="725" spans="8:10" ht="14.25" customHeight="1" x14ac:dyDescent="0.3">
      <c r="H725" s="17"/>
      <c r="J725" s="15"/>
    </row>
    <row r="726" spans="8:10" ht="14.25" customHeight="1" x14ac:dyDescent="0.3">
      <c r="H726" s="17"/>
      <c r="J726" s="15"/>
    </row>
    <row r="727" spans="8:10" ht="14.25" customHeight="1" x14ac:dyDescent="0.3">
      <c r="H727" s="17"/>
      <c r="J727" s="15"/>
    </row>
    <row r="728" spans="8:10" ht="14.25" customHeight="1" x14ac:dyDescent="0.3">
      <c r="H728" s="17"/>
      <c r="J728" s="15"/>
    </row>
    <row r="729" spans="8:10" ht="14.25" customHeight="1" x14ac:dyDescent="0.3">
      <c r="H729" s="17"/>
      <c r="J729" s="15"/>
    </row>
    <row r="730" spans="8:10" ht="14.25" customHeight="1" x14ac:dyDescent="0.3">
      <c r="H730" s="17"/>
      <c r="J730" s="15"/>
    </row>
    <row r="731" spans="8:10" ht="14.25" customHeight="1" x14ac:dyDescent="0.3">
      <c r="H731" s="17"/>
      <c r="J731" s="15"/>
    </row>
    <row r="732" spans="8:10" ht="14.25" customHeight="1" x14ac:dyDescent="0.3">
      <c r="H732" s="17"/>
      <c r="J732" s="15"/>
    </row>
    <row r="733" spans="8:10" ht="14.25" customHeight="1" x14ac:dyDescent="0.3">
      <c r="H733" s="17"/>
      <c r="J733" s="15"/>
    </row>
    <row r="734" spans="8:10" ht="14.25" customHeight="1" x14ac:dyDescent="0.3">
      <c r="H734" s="17"/>
      <c r="J734" s="15"/>
    </row>
    <row r="735" spans="8:10" ht="14.25" customHeight="1" x14ac:dyDescent="0.3">
      <c r="H735" s="17"/>
      <c r="J735" s="15"/>
    </row>
    <row r="736" spans="8:10" ht="14.25" customHeight="1" x14ac:dyDescent="0.3">
      <c r="H736" s="17"/>
      <c r="J736" s="15"/>
    </row>
    <row r="737" spans="8:10" ht="14.25" customHeight="1" x14ac:dyDescent="0.3">
      <c r="H737" s="17"/>
      <c r="J737" s="15"/>
    </row>
    <row r="738" spans="8:10" ht="14.25" customHeight="1" x14ac:dyDescent="0.3">
      <c r="H738" s="17"/>
      <c r="J738" s="15"/>
    </row>
    <row r="739" spans="8:10" ht="14.25" customHeight="1" x14ac:dyDescent="0.3">
      <c r="H739" s="17"/>
      <c r="J739" s="15"/>
    </row>
    <row r="740" spans="8:10" ht="14.25" customHeight="1" x14ac:dyDescent="0.3">
      <c r="H740" s="17"/>
      <c r="J740" s="15"/>
    </row>
    <row r="741" spans="8:10" ht="14.25" customHeight="1" x14ac:dyDescent="0.3">
      <c r="H741" s="17"/>
      <c r="J741" s="15"/>
    </row>
    <row r="742" spans="8:10" ht="14.25" customHeight="1" x14ac:dyDescent="0.3">
      <c r="H742" s="17"/>
      <c r="J742" s="15"/>
    </row>
    <row r="743" spans="8:10" ht="14.25" customHeight="1" x14ac:dyDescent="0.3">
      <c r="H743" s="17"/>
      <c r="J743" s="15"/>
    </row>
    <row r="744" spans="8:10" ht="14.25" customHeight="1" x14ac:dyDescent="0.3">
      <c r="H744" s="17"/>
      <c r="J744" s="15"/>
    </row>
    <row r="745" spans="8:10" ht="14.25" customHeight="1" x14ac:dyDescent="0.3">
      <c r="H745" s="17"/>
      <c r="J745" s="15"/>
    </row>
    <row r="746" spans="8:10" ht="14.25" customHeight="1" x14ac:dyDescent="0.3">
      <c r="H746" s="17"/>
      <c r="J746" s="15"/>
    </row>
    <row r="747" spans="8:10" ht="14.25" customHeight="1" x14ac:dyDescent="0.3">
      <c r="H747" s="17"/>
      <c r="J747" s="15"/>
    </row>
    <row r="748" spans="8:10" ht="14.25" customHeight="1" x14ac:dyDescent="0.3">
      <c r="H748" s="17"/>
      <c r="J748" s="15"/>
    </row>
    <row r="749" spans="8:10" ht="14.25" customHeight="1" x14ac:dyDescent="0.3">
      <c r="H749" s="17"/>
      <c r="J749" s="15"/>
    </row>
    <row r="750" spans="8:10" ht="14.25" customHeight="1" x14ac:dyDescent="0.3">
      <c r="H750" s="17"/>
      <c r="J750" s="15"/>
    </row>
    <row r="751" spans="8:10" ht="14.25" customHeight="1" x14ac:dyDescent="0.3">
      <c r="H751" s="17"/>
      <c r="J751" s="15"/>
    </row>
    <row r="752" spans="8:10" ht="14.25" customHeight="1" x14ac:dyDescent="0.3">
      <c r="H752" s="17"/>
      <c r="J752" s="15"/>
    </row>
    <row r="753" spans="8:10" ht="14.25" customHeight="1" x14ac:dyDescent="0.3">
      <c r="H753" s="17"/>
      <c r="J753" s="15"/>
    </row>
    <row r="754" spans="8:10" ht="14.25" customHeight="1" x14ac:dyDescent="0.3">
      <c r="H754" s="17"/>
      <c r="J754" s="15"/>
    </row>
    <row r="755" spans="8:10" ht="14.25" customHeight="1" x14ac:dyDescent="0.3">
      <c r="H755" s="17"/>
      <c r="J755" s="15"/>
    </row>
    <row r="756" spans="8:10" ht="14.25" customHeight="1" x14ac:dyDescent="0.3">
      <c r="H756" s="17"/>
      <c r="J756" s="15"/>
    </row>
    <row r="757" spans="8:10" ht="14.25" customHeight="1" x14ac:dyDescent="0.3">
      <c r="H757" s="17"/>
      <c r="J757" s="15"/>
    </row>
    <row r="758" spans="8:10" ht="14.25" customHeight="1" x14ac:dyDescent="0.3">
      <c r="H758" s="17"/>
      <c r="J758" s="15"/>
    </row>
    <row r="759" spans="8:10" ht="14.25" customHeight="1" x14ac:dyDescent="0.3">
      <c r="H759" s="17"/>
      <c r="J759" s="15"/>
    </row>
    <row r="760" spans="8:10" ht="14.25" customHeight="1" x14ac:dyDescent="0.3">
      <c r="H760" s="17"/>
      <c r="J760" s="15"/>
    </row>
    <row r="761" spans="8:10" ht="14.25" customHeight="1" x14ac:dyDescent="0.3">
      <c r="H761" s="17"/>
      <c r="J761" s="15"/>
    </row>
    <row r="762" spans="8:10" ht="14.25" customHeight="1" x14ac:dyDescent="0.3">
      <c r="H762" s="17"/>
      <c r="J762" s="15"/>
    </row>
    <row r="763" spans="8:10" ht="14.25" customHeight="1" x14ac:dyDescent="0.3">
      <c r="H763" s="17"/>
      <c r="J763" s="15"/>
    </row>
    <row r="764" spans="8:10" ht="14.25" customHeight="1" x14ac:dyDescent="0.3">
      <c r="H764" s="17"/>
      <c r="J764" s="15"/>
    </row>
    <row r="765" spans="8:10" ht="14.25" customHeight="1" x14ac:dyDescent="0.3">
      <c r="H765" s="17"/>
      <c r="J765" s="15"/>
    </row>
    <row r="766" spans="8:10" ht="14.25" customHeight="1" x14ac:dyDescent="0.3">
      <c r="H766" s="17"/>
      <c r="J766" s="15"/>
    </row>
    <row r="767" spans="8:10" ht="14.25" customHeight="1" x14ac:dyDescent="0.3">
      <c r="H767" s="17"/>
      <c r="J767" s="15"/>
    </row>
    <row r="768" spans="8:10" ht="14.25" customHeight="1" x14ac:dyDescent="0.3">
      <c r="H768" s="17"/>
      <c r="J768" s="15"/>
    </row>
    <row r="769" spans="8:10" ht="14.25" customHeight="1" x14ac:dyDescent="0.3">
      <c r="H769" s="17"/>
      <c r="J769" s="15"/>
    </row>
    <row r="770" spans="8:10" ht="14.25" customHeight="1" x14ac:dyDescent="0.3">
      <c r="H770" s="17"/>
      <c r="J770" s="15"/>
    </row>
    <row r="771" spans="8:10" ht="14.25" customHeight="1" x14ac:dyDescent="0.3">
      <c r="H771" s="17"/>
      <c r="J771" s="15"/>
    </row>
    <row r="772" spans="8:10" ht="14.25" customHeight="1" x14ac:dyDescent="0.3">
      <c r="H772" s="17"/>
      <c r="J772" s="15"/>
    </row>
    <row r="773" spans="8:10" ht="14.25" customHeight="1" x14ac:dyDescent="0.3">
      <c r="H773" s="17"/>
      <c r="J773" s="15"/>
    </row>
    <row r="774" spans="8:10" ht="14.25" customHeight="1" x14ac:dyDescent="0.3">
      <c r="H774" s="17"/>
      <c r="J774" s="15"/>
    </row>
    <row r="775" spans="8:10" ht="14.25" customHeight="1" x14ac:dyDescent="0.3">
      <c r="H775" s="17"/>
      <c r="J775" s="15"/>
    </row>
    <row r="776" spans="8:10" ht="14.25" customHeight="1" x14ac:dyDescent="0.3">
      <c r="H776" s="17"/>
      <c r="J776" s="15"/>
    </row>
    <row r="777" spans="8:10" ht="14.25" customHeight="1" x14ac:dyDescent="0.3">
      <c r="H777" s="17"/>
      <c r="J777" s="15"/>
    </row>
    <row r="778" spans="8:10" ht="14.25" customHeight="1" x14ac:dyDescent="0.3">
      <c r="H778" s="17"/>
      <c r="J778" s="15"/>
    </row>
    <row r="779" spans="8:10" ht="14.25" customHeight="1" x14ac:dyDescent="0.3">
      <c r="H779" s="17"/>
      <c r="J779" s="15"/>
    </row>
    <row r="780" spans="8:10" ht="14.25" customHeight="1" x14ac:dyDescent="0.3">
      <c r="H780" s="17"/>
      <c r="J780" s="15"/>
    </row>
    <row r="781" spans="8:10" ht="14.25" customHeight="1" x14ac:dyDescent="0.3">
      <c r="H781" s="17"/>
      <c r="J781" s="15"/>
    </row>
    <row r="782" spans="8:10" ht="14.25" customHeight="1" x14ac:dyDescent="0.3">
      <c r="H782" s="17"/>
      <c r="J782" s="15"/>
    </row>
    <row r="783" spans="8:10" ht="14.25" customHeight="1" x14ac:dyDescent="0.3">
      <c r="H783" s="17"/>
      <c r="J783" s="15"/>
    </row>
    <row r="784" spans="8:10" ht="14.25" customHeight="1" x14ac:dyDescent="0.3">
      <c r="H784" s="17"/>
      <c r="J784" s="15"/>
    </row>
    <row r="785" spans="8:10" ht="14.25" customHeight="1" x14ac:dyDescent="0.3">
      <c r="H785" s="17"/>
      <c r="J785" s="15"/>
    </row>
    <row r="786" spans="8:10" ht="14.25" customHeight="1" x14ac:dyDescent="0.3">
      <c r="H786" s="17"/>
      <c r="J786" s="15"/>
    </row>
    <row r="787" spans="8:10" ht="14.25" customHeight="1" x14ac:dyDescent="0.3">
      <c r="H787" s="17"/>
      <c r="J787" s="15"/>
    </row>
    <row r="788" spans="8:10" ht="14.25" customHeight="1" x14ac:dyDescent="0.3">
      <c r="H788" s="17"/>
      <c r="J788" s="15"/>
    </row>
    <row r="789" spans="8:10" ht="14.25" customHeight="1" x14ac:dyDescent="0.3">
      <c r="H789" s="17"/>
      <c r="J789" s="15"/>
    </row>
    <row r="790" spans="8:10" ht="14.25" customHeight="1" x14ac:dyDescent="0.3">
      <c r="H790" s="17"/>
      <c r="J790" s="15"/>
    </row>
    <row r="791" spans="8:10" ht="14.25" customHeight="1" x14ac:dyDescent="0.3">
      <c r="H791" s="17"/>
      <c r="J791" s="15"/>
    </row>
    <row r="792" spans="8:10" ht="14.25" customHeight="1" x14ac:dyDescent="0.3">
      <c r="H792" s="17"/>
      <c r="J792" s="15"/>
    </row>
    <row r="793" spans="8:10" ht="14.25" customHeight="1" x14ac:dyDescent="0.3">
      <c r="H793" s="17"/>
      <c r="J793" s="15"/>
    </row>
    <row r="794" spans="8:10" ht="14.25" customHeight="1" x14ac:dyDescent="0.3">
      <c r="H794" s="17"/>
      <c r="J794" s="15"/>
    </row>
    <row r="795" spans="8:10" ht="14.25" customHeight="1" x14ac:dyDescent="0.3">
      <c r="H795" s="17"/>
      <c r="J795" s="15"/>
    </row>
    <row r="796" spans="8:10" ht="14.25" customHeight="1" x14ac:dyDescent="0.3">
      <c r="H796" s="17"/>
      <c r="J796" s="15"/>
    </row>
    <row r="797" spans="8:10" ht="14.25" customHeight="1" x14ac:dyDescent="0.3">
      <c r="H797" s="17"/>
      <c r="J797" s="15"/>
    </row>
    <row r="798" spans="8:10" ht="14.25" customHeight="1" x14ac:dyDescent="0.3">
      <c r="H798" s="17"/>
      <c r="J798" s="15"/>
    </row>
    <row r="799" spans="8:10" ht="14.25" customHeight="1" x14ac:dyDescent="0.3">
      <c r="H799" s="17"/>
      <c r="J799" s="15"/>
    </row>
    <row r="800" spans="8:10" ht="14.25" customHeight="1" x14ac:dyDescent="0.3">
      <c r="H800" s="17"/>
      <c r="J800" s="15"/>
    </row>
    <row r="801" spans="8:10" ht="14.25" customHeight="1" x14ac:dyDescent="0.3">
      <c r="H801" s="17"/>
      <c r="J801" s="15"/>
    </row>
    <row r="802" spans="8:10" ht="14.25" customHeight="1" x14ac:dyDescent="0.3">
      <c r="H802" s="17"/>
      <c r="J802" s="15"/>
    </row>
    <row r="803" spans="8:10" ht="14.25" customHeight="1" x14ac:dyDescent="0.3">
      <c r="H803" s="17"/>
      <c r="J803" s="15"/>
    </row>
    <row r="804" spans="8:10" ht="14.25" customHeight="1" x14ac:dyDescent="0.3">
      <c r="H804" s="17"/>
      <c r="J804" s="15"/>
    </row>
    <row r="805" spans="8:10" ht="14.25" customHeight="1" x14ac:dyDescent="0.3">
      <c r="H805" s="17"/>
      <c r="J805" s="15"/>
    </row>
    <row r="806" spans="8:10" ht="14.25" customHeight="1" x14ac:dyDescent="0.3">
      <c r="H806" s="17"/>
      <c r="J806" s="15"/>
    </row>
    <row r="807" spans="8:10" ht="14.25" customHeight="1" x14ac:dyDescent="0.3">
      <c r="H807" s="17"/>
      <c r="J807" s="15"/>
    </row>
    <row r="808" spans="8:10" ht="14.25" customHeight="1" x14ac:dyDescent="0.3">
      <c r="H808" s="17"/>
      <c r="J808" s="15"/>
    </row>
    <row r="809" spans="8:10" ht="14.25" customHeight="1" x14ac:dyDescent="0.3">
      <c r="H809" s="17"/>
      <c r="J809" s="15"/>
    </row>
    <row r="810" spans="8:10" ht="14.25" customHeight="1" x14ac:dyDescent="0.3">
      <c r="H810" s="17"/>
      <c r="J810" s="15"/>
    </row>
    <row r="811" spans="8:10" ht="14.25" customHeight="1" x14ac:dyDescent="0.3">
      <c r="H811" s="17"/>
      <c r="J811" s="15"/>
    </row>
    <row r="812" spans="8:10" ht="14.25" customHeight="1" x14ac:dyDescent="0.3">
      <c r="H812" s="17"/>
      <c r="J812" s="15"/>
    </row>
    <row r="813" spans="8:10" ht="14.25" customHeight="1" x14ac:dyDescent="0.3">
      <c r="H813" s="17"/>
      <c r="J813" s="15"/>
    </row>
    <row r="814" spans="8:10" ht="14.25" customHeight="1" x14ac:dyDescent="0.3">
      <c r="H814" s="17"/>
      <c r="J814" s="15"/>
    </row>
    <row r="815" spans="8:10" ht="14.25" customHeight="1" x14ac:dyDescent="0.3">
      <c r="H815" s="17"/>
      <c r="J815" s="15"/>
    </row>
    <row r="816" spans="8:10" ht="14.25" customHeight="1" x14ac:dyDescent="0.3">
      <c r="H816" s="17"/>
      <c r="J816" s="15"/>
    </row>
    <row r="817" spans="8:10" ht="14.25" customHeight="1" x14ac:dyDescent="0.3">
      <c r="H817" s="17"/>
      <c r="J817" s="15"/>
    </row>
    <row r="818" spans="8:10" ht="14.25" customHeight="1" x14ac:dyDescent="0.3">
      <c r="H818" s="17"/>
      <c r="J818" s="15"/>
    </row>
    <row r="819" spans="8:10" ht="14.25" customHeight="1" x14ac:dyDescent="0.3">
      <c r="H819" s="17"/>
      <c r="J819" s="15"/>
    </row>
    <row r="820" spans="8:10" ht="14.25" customHeight="1" x14ac:dyDescent="0.3">
      <c r="H820" s="17"/>
      <c r="J820" s="15"/>
    </row>
    <row r="821" spans="8:10" ht="14.25" customHeight="1" x14ac:dyDescent="0.3">
      <c r="H821" s="17"/>
      <c r="J821" s="15"/>
    </row>
    <row r="822" spans="8:10" ht="14.25" customHeight="1" x14ac:dyDescent="0.3">
      <c r="H822" s="17"/>
      <c r="J822" s="15"/>
    </row>
    <row r="823" spans="8:10" ht="14.25" customHeight="1" x14ac:dyDescent="0.3">
      <c r="H823" s="17"/>
      <c r="J823" s="15"/>
    </row>
    <row r="824" spans="8:10" ht="14.25" customHeight="1" x14ac:dyDescent="0.3">
      <c r="H824" s="17"/>
      <c r="J824" s="15"/>
    </row>
    <row r="825" spans="8:10" ht="14.25" customHeight="1" x14ac:dyDescent="0.3">
      <c r="H825" s="17"/>
      <c r="J825" s="15"/>
    </row>
    <row r="826" spans="8:10" ht="14.25" customHeight="1" x14ac:dyDescent="0.3">
      <c r="H826" s="17"/>
      <c r="J826" s="15"/>
    </row>
    <row r="827" spans="8:10" ht="14.25" customHeight="1" x14ac:dyDescent="0.3">
      <c r="H827" s="17"/>
      <c r="J827" s="15"/>
    </row>
    <row r="828" spans="8:10" ht="14.25" customHeight="1" x14ac:dyDescent="0.3">
      <c r="H828" s="17"/>
      <c r="J828" s="15"/>
    </row>
    <row r="829" spans="8:10" ht="14.25" customHeight="1" x14ac:dyDescent="0.3">
      <c r="H829" s="17"/>
      <c r="J829" s="15"/>
    </row>
    <row r="830" spans="8:10" ht="14.25" customHeight="1" x14ac:dyDescent="0.3">
      <c r="H830" s="17"/>
      <c r="J830" s="15"/>
    </row>
    <row r="831" spans="8:10" ht="14.25" customHeight="1" x14ac:dyDescent="0.3">
      <c r="H831" s="17"/>
      <c r="J831" s="15"/>
    </row>
    <row r="832" spans="8:10" ht="14.25" customHeight="1" x14ac:dyDescent="0.3">
      <c r="H832" s="17"/>
      <c r="J832" s="15"/>
    </row>
    <row r="833" spans="8:10" ht="14.25" customHeight="1" x14ac:dyDescent="0.3">
      <c r="H833" s="17"/>
      <c r="J833" s="15"/>
    </row>
    <row r="834" spans="8:10" ht="14.25" customHeight="1" x14ac:dyDescent="0.3">
      <c r="H834" s="17"/>
      <c r="J834" s="15"/>
    </row>
    <row r="835" spans="8:10" ht="14.25" customHeight="1" x14ac:dyDescent="0.3">
      <c r="H835" s="17"/>
      <c r="J835" s="15"/>
    </row>
    <row r="836" spans="8:10" ht="14.25" customHeight="1" x14ac:dyDescent="0.3">
      <c r="H836" s="17"/>
      <c r="J836" s="15"/>
    </row>
    <row r="837" spans="8:10" ht="14.25" customHeight="1" x14ac:dyDescent="0.3">
      <c r="H837" s="17"/>
      <c r="J837" s="15"/>
    </row>
    <row r="838" spans="8:10" ht="14.25" customHeight="1" x14ac:dyDescent="0.3">
      <c r="H838" s="17"/>
      <c r="J838" s="15"/>
    </row>
    <row r="839" spans="8:10" ht="14.25" customHeight="1" x14ac:dyDescent="0.3">
      <c r="H839" s="17"/>
      <c r="J839" s="15"/>
    </row>
    <row r="840" spans="8:10" ht="14.25" customHeight="1" x14ac:dyDescent="0.3">
      <c r="H840" s="17"/>
      <c r="J840" s="15"/>
    </row>
    <row r="841" spans="8:10" ht="14.25" customHeight="1" x14ac:dyDescent="0.3">
      <c r="H841" s="17"/>
      <c r="J841" s="15"/>
    </row>
    <row r="842" spans="8:10" ht="14.25" customHeight="1" x14ac:dyDescent="0.3">
      <c r="H842" s="17"/>
      <c r="J842" s="15"/>
    </row>
    <row r="843" spans="8:10" ht="14.25" customHeight="1" x14ac:dyDescent="0.3">
      <c r="H843" s="17"/>
      <c r="J843" s="15"/>
    </row>
    <row r="844" spans="8:10" ht="14.25" customHeight="1" x14ac:dyDescent="0.3">
      <c r="H844" s="17"/>
      <c r="J844" s="15"/>
    </row>
    <row r="845" spans="8:10" ht="14.25" customHeight="1" x14ac:dyDescent="0.3">
      <c r="H845" s="17"/>
      <c r="J845" s="15"/>
    </row>
    <row r="846" spans="8:10" ht="14.25" customHeight="1" x14ac:dyDescent="0.3">
      <c r="H846" s="17"/>
      <c r="J846" s="15"/>
    </row>
    <row r="847" spans="8:10" ht="14.25" customHeight="1" x14ac:dyDescent="0.3">
      <c r="H847" s="17"/>
      <c r="J847" s="15"/>
    </row>
    <row r="848" spans="8:10" ht="14.25" customHeight="1" x14ac:dyDescent="0.3">
      <c r="H848" s="17"/>
      <c r="J848" s="15"/>
    </row>
    <row r="849" spans="8:10" ht="14.25" customHeight="1" x14ac:dyDescent="0.3">
      <c r="H849" s="17"/>
      <c r="J849" s="15"/>
    </row>
    <row r="850" spans="8:10" ht="14.25" customHeight="1" x14ac:dyDescent="0.3">
      <c r="H850" s="17"/>
      <c r="J850" s="15"/>
    </row>
    <row r="851" spans="8:10" ht="14.25" customHeight="1" x14ac:dyDescent="0.3">
      <c r="H851" s="17"/>
      <c r="J851" s="15"/>
    </row>
    <row r="852" spans="8:10" ht="14.25" customHeight="1" x14ac:dyDescent="0.3">
      <c r="H852" s="17"/>
      <c r="J852" s="15"/>
    </row>
    <row r="853" spans="8:10" ht="14.25" customHeight="1" x14ac:dyDescent="0.3">
      <c r="H853" s="17"/>
      <c r="J853" s="15"/>
    </row>
    <row r="854" spans="8:10" ht="14.25" customHeight="1" x14ac:dyDescent="0.3">
      <c r="H854" s="17"/>
      <c r="J854" s="15"/>
    </row>
    <row r="855" spans="8:10" ht="14.25" customHeight="1" x14ac:dyDescent="0.3">
      <c r="H855" s="17"/>
      <c r="J855" s="15"/>
    </row>
    <row r="856" spans="8:10" ht="14.25" customHeight="1" x14ac:dyDescent="0.3">
      <c r="H856" s="17"/>
      <c r="J856" s="15"/>
    </row>
    <row r="857" spans="8:10" ht="14.25" customHeight="1" x14ac:dyDescent="0.3">
      <c r="H857" s="17"/>
      <c r="J857" s="15"/>
    </row>
    <row r="858" spans="8:10" ht="14.25" customHeight="1" x14ac:dyDescent="0.3">
      <c r="H858" s="17"/>
      <c r="J858" s="15"/>
    </row>
    <row r="859" spans="8:10" ht="14.25" customHeight="1" x14ac:dyDescent="0.3">
      <c r="H859" s="17"/>
      <c r="J859" s="15"/>
    </row>
    <row r="860" spans="8:10" ht="14.25" customHeight="1" x14ac:dyDescent="0.3">
      <c r="H860" s="17"/>
      <c r="J860" s="15"/>
    </row>
    <row r="861" spans="8:10" ht="14.25" customHeight="1" x14ac:dyDescent="0.3">
      <c r="H861" s="17"/>
      <c r="J861" s="15"/>
    </row>
    <row r="862" spans="8:10" ht="14.25" customHeight="1" x14ac:dyDescent="0.3">
      <c r="H862" s="17"/>
      <c r="J862" s="15"/>
    </row>
    <row r="863" spans="8:10" ht="14.25" customHeight="1" x14ac:dyDescent="0.3">
      <c r="H863" s="17"/>
      <c r="J863" s="15"/>
    </row>
    <row r="864" spans="8:10" ht="14.25" customHeight="1" x14ac:dyDescent="0.3">
      <c r="H864" s="17"/>
      <c r="J864" s="15"/>
    </row>
    <row r="865" spans="8:10" ht="14.25" customHeight="1" x14ac:dyDescent="0.3">
      <c r="H865" s="17"/>
      <c r="J865" s="15"/>
    </row>
    <row r="866" spans="8:10" ht="14.25" customHeight="1" x14ac:dyDescent="0.3">
      <c r="H866" s="17"/>
      <c r="J866" s="15"/>
    </row>
    <row r="867" spans="8:10" ht="14.25" customHeight="1" x14ac:dyDescent="0.3">
      <c r="H867" s="17"/>
      <c r="J867" s="15"/>
    </row>
    <row r="868" spans="8:10" ht="14.25" customHeight="1" x14ac:dyDescent="0.3">
      <c r="H868" s="17"/>
      <c r="J868" s="15"/>
    </row>
    <row r="869" spans="8:10" ht="14.25" customHeight="1" x14ac:dyDescent="0.3">
      <c r="H869" s="17"/>
      <c r="J869" s="15"/>
    </row>
    <row r="870" spans="8:10" ht="14.25" customHeight="1" x14ac:dyDescent="0.3">
      <c r="H870" s="17"/>
      <c r="J870" s="15"/>
    </row>
    <row r="871" spans="8:10" ht="14.25" customHeight="1" x14ac:dyDescent="0.3">
      <c r="H871" s="17"/>
      <c r="J871" s="15"/>
    </row>
    <row r="872" spans="8:10" ht="14.25" customHeight="1" x14ac:dyDescent="0.3">
      <c r="H872" s="17"/>
      <c r="J872" s="15"/>
    </row>
    <row r="873" spans="8:10" ht="14.25" customHeight="1" x14ac:dyDescent="0.3">
      <c r="H873" s="17"/>
      <c r="J873" s="15"/>
    </row>
    <row r="874" spans="8:10" ht="14.25" customHeight="1" x14ac:dyDescent="0.3">
      <c r="H874" s="17"/>
      <c r="J874" s="15"/>
    </row>
    <row r="875" spans="8:10" ht="14.25" customHeight="1" x14ac:dyDescent="0.3">
      <c r="H875" s="17"/>
      <c r="J875" s="15"/>
    </row>
    <row r="876" spans="8:10" ht="14.25" customHeight="1" x14ac:dyDescent="0.3">
      <c r="H876" s="17"/>
      <c r="J876" s="15"/>
    </row>
    <row r="877" spans="8:10" ht="14.25" customHeight="1" x14ac:dyDescent="0.3">
      <c r="H877" s="17"/>
      <c r="J877" s="15"/>
    </row>
    <row r="878" spans="8:10" ht="14.25" customHeight="1" x14ac:dyDescent="0.3">
      <c r="H878" s="17"/>
      <c r="J878" s="15"/>
    </row>
    <row r="879" spans="8:10" ht="14.25" customHeight="1" x14ac:dyDescent="0.3">
      <c r="H879" s="17"/>
      <c r="J879" s="15"/>
    </row>
    <row r="880" spans="8:10" ht="14.25" customHeight="1" x14ac:dyDescent="0.3">
      <c r="H880" s="17"/>
      <c r="J880" s="15"/>
    </row>
    <row r="881" spans="8:10" ht="14.25" customHeight="1" x14ac:dyDescent="0.3">
      <c r="H881" s="17"/>
      <c r="J881" s="15"/>
    </row>
    <row r="882" spans="8:10" ht="14.25" customHeight="1" x14ac:dyDescent="0.3">
      <c r="H882" s="17"/>
      <c r="J882" s="15"/>
    </row>
    <row r="883" spans="8:10" ht="14.25" customHeight="1" x14ac:dyDescent="0.3">
      <c r="H883" s="17"/>
      <c r="J883" s="15"/>
    </row>
    <row r="884" spans="8:10" ht="14.25" customHeight="1" x14ac:dyDescent="0.3">
      <c r="H884" s="17"/>
      <c r="J884" s="15"/>
    </row>
    <row r="885" spans="8:10" ht="14.25" customHeight="1" x14ac:dyDescent="0.3">
      <c r="H885" s="17"/>
      <c r="J885" s="15"/>
    </row>
    <row r="886" spans="8:10" ht="14.25" customHeight="1" x14ac:dyDescent="0.3">
      <c r="H886" s="17"/>
      <c r="J886" s="15"/>
    </row>
    <row r="887" spans="8:10" ht="14.25" customHeight="1" x14ac:dyDescent="0.3">
      <c r="H887" s="17"/>
      <c r="J887" s="15"/>
    </row>
    <row r="888" spans="8:10" ht="14.25" customHeight="1" x14ac:dyDescent="0.3">
      <c r="H888" s="17"/>
      <c r="J888" s="15"/>
    </row>
    <row r="889" spans="8:10" ht="14.25" customHeight="1" x14ac:dyDescent="0.3">
      <c r="H889" s="17"/>
      <c r="J889" s="15"/>
    </row>
    <row r="890" spans="8:10" ht="14.25" customHeight="1" x14ac:dyDescent="0.3">
      <c r="H890" s="17"/>
      <c r="J890" s="15"/>
    </row>
    <row r="891" spans="8:10" ht="14.25" customHeight="1" x14ac:dyDescent="0.3">
      <c r="H891" s="17"/>
      <c r="J891" s="15"/>
    </row>
    <row r="892" spans="8:10" ht="14.25" customHeight="1" x14ac:dyDescent="0.3">
      <c r="H892" s="17"/>
      <c r="J892" s="15"/>
    </row>
    <row r="893" spans="8:10" ht="14.25" customHeight="1" x14ac:dyDescent="0.3">
      <c r="H893" s="17"/>
      <c r="J893" s="15"/>
    </row>
    <row r="894" spans="8:10" ht="14.25" customHeight="1" x14ac:dyDescent="0.3">
      <c r="H894" s="17"/>
      <c r="J894" s="15"/>
    </row>
    <row r="895" spans="8:10" ht="14.25" customHeight="1" x14ac:dyDescent="0.3">
      <c r="H895" s="17"/>
      <c r="J895" s="15"/>
    </row>
    <row r="896" spans="8:10" ht="14.25" customHeight="1" x14ac:dyDescent="0.3">
      <c r="H896" s="17"/>
      <c r="J896" s="15"/>
    </row>
    <row r="897" spans="8:10" ht="14.25" customHeight="1" x14ac:dyDescent="0.3">
      <c r="H897" s="17"/>
      <c r="J897" s="15"/>
    </row>
    <row r="898" spans="8:10" ht="14.25" customHeight="1" x14ac:dyDescent="0.3">
      <c r="H898" s="17"/>
      <c r="J898" s="15"/>
    </row>
    <row r="899" spans="8:10" ht="14.25" customHeight="1" x14ac:dyDescent="0.3">
      <c r="H899" s="17"/>
      <c r="J899" s="15"/>
    </row>
    <row r="900" spans="8:10" ht="14.25" customHeight="1" x14ac:dyDescent="0.3">
      <c r="H900" s="17"/>
      <c r="J900" s="15"/>
    </row>
    <row r="901" spans="8:10" ht="14.25" customHeight="1" x14ac:dyDescent="0.3">
      <c r="H901" s="17"/>
      <c r="J901" s="15"/>
    </row>
    <row r="902" spans="8:10" ht="14.25" customHeight="1" x14ac:dyDescent="0.3">
      <c r="H902" s="17"/>
      <c r="J902" s="15"/>
    </row>
    <row r="903" spans="8:10" ht="14.25" customHeight="1" x14ac:dyDescent="0.3">
      <c r="H903" s="17"/>
      <c r="J903" s="15"/>
    </row>
    <row r="904" spans="8:10" ht="14.25" customHeight="1" x14ac:dyDescent="0.3">
      <c r="H904" s="17"/>
      <c r="J904" s="15"/>
    </row>
    <row r="905" spans="8:10" ht="14.25" customHeight="1" x14ac:dyDescent="0.3">
      <c r="H905" s="17"/>
      <c r="J905" s="15"/>
    </row>
    <row r="906" spans="8:10" ht="14.25" customHeight="1" x14ac:dyDescent="0.3">
      <c r="H906" s="17"/>
      <c r="J906" s="15"/>
    </row>
    <row r="907" spans="8:10" ht="14.25" customHeight="1" x14ac:dyDescent="0.3">
      <c r="H907" s="17"/>
      <c r="J907" s="15"/>
    </row>
    <row r="908" spans="8:10" ht="14.25" customHeight="1" x14ac:dyDescent="0.3">
      <c r="H908" s="17"/>
      <c r="J908" s="15"/>
    </row>
    <row r="909" spans="8:10" ht="14.25" customHeight="1" x14ac:dyDescent="0.3">
      <c r="H909" s="17"/>
      <c r="J909" s="15"/>
    </row>
    <row r="910" spans="8:10" ht="14.25" customHeight="1" x14ac:dyDescent="0.3">
      <c r="H910" s="17"/>
      <c r="J910" s="15"/>
    </row>
    <row r="911" spans="8:10" ht="14.25" customHeight="1" x14ac:dyDescent="0.3">
      <c r="H911" s="17"/>
      <c r="J911" s="15"/>
    </row>
    <row r="912" spans="8:10" ht="14.25" customHeight="1" x14ac:dyDescent="0.3">
      <c r="H912" s="17"/>
      <c r="J912" s="15"/>
    </row>
    <row r="913" spans="8:10" ht="14.25" customHeight="1" x14ac:dyDescent="0.3">
      <c r="H913" s="17"/>
      <c r="J913" s="15"/>
    </row>
    <row r="914" spans="8:10" ht="14.25" customHeight="1" x14ac:dyDescent="0.3">
      <c r="H914" s="17"/>
      <c r="J914" s="15"/>
    </row>
    <row r="915" spans="8:10" ht="14.25" customHeight="1" x14ac:dyDescent="0.3">
      <c r="H915" s="17"/>
      <c r="J915" s="15"/>
    </row>
    <row r="916" spans="8:10" ht="14.25" customHeight="1" x14ac:dyDescent="0.3">
      <c r="H916" s="17"/>
      <c r="J916" s="15"/>
    </row>
    <row r="917" spans="8:10" ht="14.25" customHeight="1" x14ac:dyDescent="0.3">
      <c r="H917" s="17"/>
      <c r="J917" s="15"/>
    </row>
    <row r="918" spans="8:10" ht="14.25" customHeight="1" x14ac:dyDescent="0.3">
      <c r="H918" s="17"/>
      <c r="J918" s="15"/>
    </row>
    <row r="919" spans="8:10" ht="14.25" customHeight="1" x14ac:dyDescent="0.3">
      <c r="H919" s="17"/>
      <c r="J919" s="15"/>
    </row>
    <row r="920" spans="8:10" ht="14.25" customHeight="1" x14ac:dyDescent="0.3">
      <c r="H920" s="17"/>
      <c r="J920" s="15"/>
    </row>
    <row r="921" spans="8:10" ht="14.25" customHeight="1" x14ac:dyDescent="0.3">
      <c r="H921" s="17"/>
      <c r="J921" s="15"/>
    </row>
    <row r="922" spans="8:10" ht="14.25" customHeight="1" x14ac:dyDescent="0.3">
      <c r="H922" s="17"/>
      <c r="J922" s="15"/>
    </row>
    <row r="923" spans="8:10" ht="14.25" customHeight="1" x14ac:dyDescent="0.3">
      <c r="H923" s="17"/>
      <c r="J923" s="15"/>
    </row>
    <row r="924" spans="8:10" ht="14.25" customHeight="1" x14ac:dyDescent="0.3">
      <c r="H924" s="17"/>
      <c r="J924" s="15"/>
    </row>
    <row r="925" spans="8:10" ht="14.25" customHeight="1" x14ac:dyDescent="0.3">
      <c r="H925" s="17"/>
      <c r="J925" s="15"/>
    </row>
    <row r="926" spans="8:10" ht="14.25" customHeight="1" x14ac:dyDescent="0.3">
      <c r="H926" s="17"/>
      <c r="J926" s="15"/>
    </row>
    <row r="927" spans="8:10" ht="14.25" customHeight="1" x14ac:dyDescent="0.3">
      <c r="H927" s="17"/>
      <c r="J927" s="15"/>
    </row>
    <row r="928" spans="8:10" ht="14.25" customHeight="1" x14ac:dyDescent="0.3">
      <c r="H928" s="17"/>
      <c r="J928" s="15"/>
    </row>
    <row r="929" spans="8:10" ht="14.25" customHeight="1" x14ac:dyDescent="0.3">
      <c r="H929" s="17"/>
      <c r="J929" s="15"/>
    </row>
    <row r="930" spans="8:10" ht="14.25" customHeight="1" x14ac:dyDescent="0.3">
      <c r="H930" s="17"/>
      <c r="J930" s="15"/>
    </row>
    <row r="931" spans="8:10" ht="14.25" customHeight="1" x14ac:dyDescent="0.3">
      <c r="H931" s="17"/>
      <c r="J931" s="15"/>
    </row>
    <row r="932" spans="8:10" ht="14.25" customHeight="1" x14ac:dyDescent="0.3">
      <c r="H932" s="17"/>
      <c r="J932" s="15"/>
    </row>
    <row r="933" spans="8:10" ht="14.25" customHeight="1" x14ac:dyDescent="0.3">
      <c r="H933" s="17"/>
      <c r="J933" s="15"/>
    </row>
    <row r="934" spans="8:10" ht="14.25" customHeight="1" x14ac:dyDescent="0.3">
      <c r="H934" s="17"/>
      <c r="J934" s="15"/>
    </row>
    <row r="935" spans="8:10" ht="14.25" customHeight="1" x14ac:dyDescent="0.3">
      <c r="H935" s="17"/>
      <c r="J935" s="15"/>
    </row>
    <row r="936" spans="8:10" ht="14.25" customHeight="1" x14ac:dyDescent="0.3">
      <c r="H936" s="17"/>
      <c r="J936" s="15"/>
    </row>
    <row r="937" spans="8:10" ht="14.25" customHeight="1" x14ac:dyDescent="0.3">
      <c r="H937" s="17"/>
      <c r="J937" s="15"/>
    </row>
    <row r="938" spans="8:10" ht="14.25" customHeight="1" x14ac:dyDescent="0.3">
      <c r="H938" s="17"/>
      <c r="J938" s="15"/>
    </row>
    <row r="939" spans="8:10" ht="14.25" customHeight="1" x14ac:dyDescent="0.3">
      <c r="H939" s="17"/>
      <c r="J939" s="15"/>
    </row>
    <row r="940" spans="8:10" ht="14.25" customHeight="1" x14ac:dyDescent="0.3">
      <c r="H940" s="17"/>
      <c r="J940" s="15"/>
    </row>
    <row r="941" spans="8:10" ht="14.25" customHeight="1" x14ac:dyDescent="0.3">
      <c r="H941" s="17"/>
      <c r="J941" s="15"/>
    </row>
    <row r="942" spans="8:10" ht="14.25" customHeight="1" x14ac:dyDescent="0.3">
      <c r="H942" s="17"/>
      <c r="J942" s="15"/>
    </row>
    <row r="943" spans="8:10" ht="14.25" customHeight="1" x14ac:dyDescent="0.3">
      <c r="H943" s="17"/>
      <c r="J943" s="15"/>
    </row>
    <row r="944" spans="8:10" ht="14.25" customHeight="1" x14ac:dyDescent="0.3">
      <c r="H944" s="17"/>
      <c r="J944" s="15"/>
    </row>
    <row r="945" spans="8:10" ht="14.25" customHeight="1" x14ac:dyDescent="0.3">
      <c r="H945" s="17"/>
      <c r="J945" s="15"/>
    </row>
    <row r="946" spans="8:10" ht="14.25" customHeight="1" x14ac:dyDescent="0.3">
      <c r="H946" s="17"/>
      <c r="J946" s="15"/>
    </row>
    <row r="947" spans="8:10" ht="14.25" customHeight="1" x14ac:dyDescent="0.3">
      <c r="H947" s="17"/>
      <c r="J947" s="15"/>
    </row>
    <row r="948" spans="8:10" ht="14.25" customHeight="1" x14ac:dyDescent="0.3">
      <c r="H948" s="17"/>
      <c r="J948" s="15"/>
    </row>
    <row r="949" spans="8:10" ht="14.25" customHeight="1" x14ac:dyDescent="0.3">
      <c r="H949" s="17"/>
      <c r="J949" s="15"/>
    </row>
    <row r="950" spans="8:10" ht="14.25" customHeight="1" x14ac:dyDescent="0.3">
      <c r="H950" s="17"/>
      <c r="J950" s="15"/>
    </row>
    <row r="951" spans="8:10" ht="14.25" customHeight="1" x14ac:dyDescent="0.3">
      <c r="H951" s="17"/>
      <c r="J951" s="15"/>
    </row>
    <row r="952" spans="8:10" ht="14.25" customHeight="1" x14ac:dyDescent="0.3">
      <c r="H952" s="17"/>
      <c r="J952" s="15"/>
    </row>
    <row r="953" spans="8:10" ht="14.25" customHeight="1" x14ac:dyDescent="0.3">
      <c r="H953" s="17"/>
      <c r="J953" s="15"/>
    </row>
    <row r="954" spans="8:10" ht="14.25" customHeight="1" x14ac:dyDescent="0.3">
      <c r="H954" s="17"/>
      <c r="J954" s="15"/>
    </row>
    <row r="955" spans="8:10" ht="14.25" customHeight="1" x14ac:dyDescent="0.3">
      <c r="H955" s="17"/>
      <c r="J955" s="15"/>
    </row>
    <row r="956" spans="8:10" ht="14.25" customHeight="1" x14ac:dyDescent="0.3">
      <c r="H956" s="17"/>
      <c r="J956" s="15"/>
    </row>
    <row r="957" spans="8:10" ht="14.25" customHeight="1" x14ac:dyDescent="0.3">
      <c r="H957" s="17"/>
      <c r="J957" s="15"/>
    </row>
    <row r="958" spans="8:10" ht="14.25" customHeight="1" x14ac:dyDescent="0.3">
      <c r="H958" s="17"/>
      <c r="J958" s="15"/>
    </row>
    <row r="959" spans="8:10" ht="14.25" customHeight="1" x14ac:dyDescent="0.3">
      <c r="H959" s="17"/>
      <c r="J959" s="15"/>
    </row>
    <row r="960" spans="8:10" ht="14.25" customHeight="1" x14ac:dyDescent="0.3">
      <c r="H960" s="17"/>
      <c r="J960" s="15"/>
    </row>
    <row r="961" spans="8:10" ht="14.25" customHeight="1" x14ac:dyDescent="0.3">
      <c r="H961" s="17"/>
      <c r="J961" s="15"/>
    </row>
    <row r="962" spans="8:10" ht="14.25" customHeight="1" x14ac:dyDescent="0.3">
      <c r="H962" s="17"/>
      <c r="J962" s="15"/>
    </row>
    <row r="963" spans="8:10" ht="14.25" customHeight="1" x14ac:dyDescent="0.3">
      <c r="H963" s="17"/>
      <c r="J963" s="15"/>
    </row>
    <row r="964" spans="8:10" ht="14.25" customHeight="1" x14ac:dyDescent="0.3">
      <c r="H964" s="17"/>
      <c r="J964" s="15"/>
    </row>
    <row r="965" spans="8:10" ht="14.25" customHeight="1" x14ac:dyDescent="0.3">
      <c r="H965" s="17"/>
      <c r="J965" s="15"/>
    </row>
    <row r="966" spans="8:10" ht="14.25" customHeight="1" x14ac:dyDescent="0.3">
      <c r="H966" s="17"/>
      <c r="J966" s="15"/>
    </row>
    <row r="967" spans="8:10" ht="14.25" customHeight="1" x14ac:dyDescent="0.3">
      <c r="H967" s="17"/>
      <c r="J967" s="15"/>
    </row>
    <row r="968" spans="8:10" ht="14.25" customHeight="1" x14ac:dyDescent="0.3">
      <c r="H968" s="17"/>
      <c r="J968" s="15"/>
    </row>
    <row r="969" spans="8:10" ht="14.25" customHeight="1" x14ac:dyDescent="0.3">
      <c r="H969" s="17"/>
      <c r="J969" s="15"/>
    </row>
    <row r="970" spans="8:10" ht="14.25" customHeight="1" x14ac:dyDescent="0.3">
      <c r="H970" s="17"/>
      <c r="J970" s="15"/>
    </row>
    <row r="971" spans="8:10" ht="14.25" customHeight="1" x14ac:dyDescent="0.3">
      <c r="H971" s="17"/>
      <c r="J971" s="15"/>
    </row>
    <row r="972" spans="8:10" ht="14.25" customHeight="1" x14ac:dyDescent="0.3">
      <c r="H972" s="17"/>
      <c r="J972" s="15"/>
    </row>
    <row r="973" spans="8:10" ht="14.25" customHeight="1" x14ac:dyDescent="0.3">
      <c r="H973" s="17"/>
      <c r="J973" s="15"/>
    </row>
    <row r="974" spans="8:10" ht="14.25" customHeight="1" x14ac:dyDescent="0.3">
      <c r="H974" s="17"/>
      <c r="J974" s="15"/>
    </row>
    <row r="975" spans="8:10" ht="14.25" customHeight="1" x14ac:dyDescent="0.3">
      <c r="H975" s="17"/>
      <c r="J975" s="15"/>
    </row>
    <row r="976" spans="8:10" ht="14.25" customHeight="1" x14ac:dyDescent="0.3">
      <c r="H976" s="17"/>
      <c r="J976" s="15"/>
    </row>
    <row r="977" spans="8:10" ht="14.25" customHeight="1" x14ac:dyDescent="0.3">
      <c r="H977" s="17"/>
      <c r="J977" s="15"/>
    </row>
    <row r="978" spans="8:10" ht="14.25" customHeight="1" x14ac:dyDescent="0.3">
      <c r="H978" s="17"/>
      <c r="J978" s="15"/>
    </row>
    <row r="979" spans="8:10" ht="14.25" customHeight="1" x14ac:dyDescent="0.3">
      <c r="H979" s="17"/>
      <c r="J979" s="15"/>
    </row>
    <row r="980" spans="8:10" ht="14.25" customHeight="1" x14ac:dyDescent="0.3">
      <c r="H980" s="17"/>
      <c r="J980" s="15"/>
    </row>
    <row r="981" spans="8:10" ht="14.25" customHeight="1" x14ac:dyDescent="0.3">
      <c r="H981" s="17"/>
      <c r="J981" s="15"/>
    </row>
    <row r="982" spans="8:10" ht="14.25" customHeight="1" x14ac:dyDescent="0.3">
      <c r="H982" s="17"/>
      <c r="J982" s="15"/>
    </row>
    <row r="983" spans="8:10" ht="14.25" customHeight="1" x14ac:dyDescent="0.3">
      <c r="H983" s="17"/>
      <c r="J983" s="15"/>
    </row>
    <row r="984" spans="8:10" ht="14.25" customHeight="1" x14ac:dyDescent="0.3">
      <c r="H984" s="17"/>
      <c r="J984" s="15"/>
    </row>
    <row r="985" spans="8:10" ht="14.25" customHeight="1" x14ac:dyDescent="0.3">
      <c r="H985" s="17"/>
      <c r="J985" s="15"/>
    </row>
    <row r="986" spans="8:10" ht="14.25" customHeight="1" x14ac:dyDescent="0.3">
      <c r="H986" s="17"/>
      <c r="J986" s="15"/>
    </row>
    <row r="987" spans="8:10" ht="14.25" customHeight="1" x14ac:dyDescent="0.3">
      <c r="H987" s="17"/>
      <c r="J987" s="15"/>
    </row>
    <row r="988" spans="8:10" ht="14.25" customHeight="1" x14ac:dyDescent="0.3">
      <c r="H988" s="17"/>
      <c r="J988" s="15"/>
    </row>
    <row r="989" spans="8:10" ht="14.25" customHeight="1" x14ac:dyDescent="0.3">
      <c r="H989" s="17"/>
      <c r="J989" s="15"/>
    </row>
    <row r="990" spans="8:10" ht="14.25" customHeight="1" x14ac:dyDescent="0.3">
      <c r="H990" s="17"/>
      <c r="J990" s="15"/>
    </row>
    <row r="991" spans="8:10" ht="14.25" customHeight="1" x14ac:dyDescent="0.3">
      <c r="H991" s="17"/>
      <c r="J991" s="15"/>
    </row>
    <row r="992" spans="8:10" ht="14.25" customHeight="1" x14ac:dyDescent="0.3">
      <c r="H992" s="17"/>
      <c r="J992" s="15"/>
    </row>
    <row r="993" spans="8:10" ht="14.25" customHeight="1" x14ac:dyDescent="0.3">
      <c r="H993" s="17"/>
      <c r="J993" s="15"/>
    </row>
    <row r="994" spans="8:10" ht="14.25" customHeight="1" x14ac:dyDescent="0.3">
      <c r="H994" s="17"/>
      <c r="J994" s="15"/>
    </row>
    <row r="995" spans="8:10" ht="14.25" customHeight="1" x14ac:dyDescent="0.3">
      <c r="H995" s="17"/>
      <c r="J995" s="15"/>
    </row>
    <row r="996" spans="8:10" ht="14.25" customHeight="1" x14ac:dyDescent="0.3">
      <c r="H996" s="17"/>
      <c r="J996" s="15"/>
    </row>
    <row r="997" spans="8:10" ht="14.25" customHeight="1" x14ac:dyDescent="0.3">
      <c r="H997" s="17"/>
      <c r="J997" s="15"/>
    </row>
    <row r="998" spans="8:10" ht="14.25" customHeight="1" x14ac:dyDescent="0.3">
      <c r="H998" s="17"/>
      <c r="J998" s="15"/>
    </row>
    <row r="999" spans="8:10" ht="14.25" customHeight="1" x14ac:dyDescent="0.3">
      <c r="H999" s="17"/>
      <c r="J999" s="15"/>
    </row>
    <row r="1000" spans="8:10" ht="14.25" customHeight="1" x14ac:dyDescent="0.3">
      <c r="H1000" s="17"/>
      <c r="J1000" s="15"/>
    </row>
    <row r="1001" spans="8:10" ht="14.25" customHeight="1" x14ac:dyDescent="0.3">
      <c r="H1001" s="17"/>
      <c r="J1001" s="15"/>
    </row>
  </sheetData>
  <mergeCells count="15">
    <mergeCell ref="B49:J49"/>
    <mergeCell ref="B55:J56"/>
    <mergeCell ref="B4:J4"/>
    <mergeCell ref="B10:J11"/>
    <mergeCell ref="B24:J25"/>
    <mergeCell ref="B31:J31"/>
    <mergeCell ref="B37:J38"/>
    <mergeCell ref="B69:J70"/>
    <mergeCell ref="B75:J75"/>
    <mergeCell ref="B81:J82"/>
    <mergeCell ref="A102:E102"/>
    <mergeCell ref="A101:B101"/>
    <mergeCell ref="A100:B100"/>
    <mergeCell ref="A99:H99"/>
    <mergeCell ref="A97:B97"/>
  </mergeCells>
  <conditionalFormatting sqref="C97">
    <cfRule type="cellIs" dxfId="1" priority="1" operator="between">
      <formula>30</formula>
      <formula>60</formula>
    </cfRule>
    <cfRule type="expression" dxfId="0" priority="2">
      <formula>"AND(c57&gt;=30;c57&lt;=60)"</formula>
    </cfRule>
  </conditionalFormatting>
  <pageMargins left="0.7" right="0.7" top="0.75" bottom="0.75" header="0" footer="0"/>
  <pageSetup orientation="landscape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A381D-D99A-4B9C-A646-5E0BAE1C9D7E}">
  <dimension ref="A1:J13"/>
  <sheetViews>
    <sheetView tabSelected="1" workbookViewId="0">
      <selection activeCell="F16" sqref="F16"/>
    </sheetView>
  </sheetViews>
  <sheetFormatPr defaultRowHeight="14.4" x14ac:dyDescent="0.3"/>
  <sheetData>
    <row r="1" spans="1:10" ht="16.2" thickBot="1" x14ac:dyDescent="0.35">
      <c r="A1" s="87" t="s">
        <v>115</v>
      </c>
      <c r="B1" s="88"/>
      <c r="C1" s="88"/>
      <c r="D1" s="88"/>
      <c r="E1" s="88"/>
      <c r="F1" s="89"/>
      <c r="G1" s="84"/>
      <c r="H1" s="77"/>
      <c r="I1" s="76"/>
      <c r="J1" s="78"/>
    </row>
    <row r="2" spans="1:10" ht="16.2" thickBot="1" x14ac:dyDescent="0.35">
      <c r="A2" s="98" t="s">
        <v>181</v>
      </c>
      <c r="B2" s="99"/>
      <c r="C2" s="100" t="s">
        <v>182</v>
      </c>
      <c r="D2" s="101"/>
      <c r="E2" s="102" t="s">
        <v>116</v>
      </c>
      <c r="F2" s="103"/>
      <c r="G2" s="80"/>
      <c r="H2" s="77"/>
      <c r="I2" s="76"/>
      <c r="J2" s="78"/>
    </row>
    <row r="3" spans="1:10" ht="15.6" x14ac:dyDescent="0.3">
      <c r="A3" s="94" t="s">
        <v>117</v>
      </c>
      <c r="B3" s="95"/>
      <c r="C3" s="94" t="s">
        <v>118</v>
      </c>
      <c r="D3" s="96"/>
      <c r="E3" s="97">
        <v>35</v>
      </c>
      <c r="F3" s="96"/>
      <c r="G3" s="80"/>
      <c r="H3" s="77"/>
      <c r="I3" s="76"/>
      <c r="J3" s="78"/>
    </row>
    <row r="4" spans="1:10" ht="15.6" x14ac:dyDescent="0.3">
      <c r="A4" s="82" t="s">
        <v>119</v>
      </c>
      <c r="B4" s="90"/>
      <c r="C4" s="82" t="s">
        <v>120</v>
      </c>
      <c r="D4" s="85"/>
      <c r="E4" s="92">
        <v>85</v>
      </c>
      <c r="F4" s="85"/>
      <c r="G4" s="80"/>
      <c r="H4" s="77"/>
      <c r="I4" s="76"/>
      <c r="J4" s="78"/>
    </row>
    <row r="5" spans="1:10" ht="15.6" x14ac:dyDescent="0.3">
      <c r="A5" s="82" t="s">
        <v>121</v>
      </c>
      <c r="B5" s="90"/>
      <c r="C5" s="82" t="s">
        <v>122</v>
      </c>
      <c r="D5" s="85"/>
      <c r="E5" s="92">
        <v>35</v>
      </c>
      <c r="F5" s="85"/>
      <c r="G5" s="80"/>
      <c r="H5" s="77"/>
      <c r="I5" s="76"/>
      <c r="J5" s="78"/>
    </row>
    <row r="6" spans="1:10" ht="15.6" x14ac:dyDescent="0.3">
      <c r="A6" s="104" t="s">
        <v>123</v>
      </c>
      <c r="B6" s="105"/>
      <c r="C6" s="104" t="s">
        <v>124</v>
      </c>
      <c r="D6" s="105"/>
      <c r="E6" s="104">
        <v>85</v>
      </c>
      <c r="F6" s="105"/>
      <c r="G6" s="80"/>
      <c r="H6" s="77"/>
      <c r="I6" s="76"/>
      <c r="J6" s="78"/>
    </row>
    <row r="7" spans="1:10" ht="15.6" x14ac:dyDescent="0.3">
      <c r="A7" s="104" t="s">
        <v>120</v>
      </c>
      <c r="B7" s="105"/>
      <c r="C7" s="104" t="s">
        <v>124</v>
      </c>
      <c r="D7" s="105"/>
      <c r="E7" s="104">
        <v>5</v>
      </c>
      <c r="F7" s="105"/>
      <c r="G7" s="80"/>
      <c r="H7" s="77"/>
      <c r="I7" s="76"/>
      <c r="J7" s="78"/>
    </row>
    <row r="8" spans="1:10" ht="15.6" x14ac:dyDescent="0.3">
      <c r="A8" s="104" t="s">
        <v>122</v>
      </c>
      <c r="B8" s="105"/>
      <c r="C8" s="104" t="s">
        <v>118</v>
      </c>
      <c r="D8" s="105"/>
      <c r="E8" s="104">
        <v>5</v>
      </c>
      <c r="F8" s="105"/>
      <c r="G8" s="80"/>
      <c r="H8" s="77"/>
      <c r="I8" s="76"/>
      <c r="J8" s="78"/>
    </row>
    <row r="9" spans="1:10" ht="15.6" x14ac:dyDescent="0.3">
      <c r="A9" s="104" t="s">
        <v>117</v>
      </c>
      <c r="B9" s="105"/>
      <c r="C9" s="104" t="s">
        <v>121</v>
      </c>
      <c r="D9" s="105"/>
      <c r="E9" s="104">
        <v>5</v>
      </c>
      <c r="F9" s="105"/>
      <c r="G9" s="80"/>
      <c r="H9" s="77"/>
      <c r="I9" s="76"/>
      <c r="J9" s="78"/>
    </row>
    <row r="10" spans="1:10" ht="16.2" thickBot="1" x14ac:dyDescent="0.35">
      <c r="A10" s="83" t="s">
        <v>123</v>
      </c>
      <c r="B10" s="91"/>
      <c r="C10" s="83" t="s">
        <v>119</v>
      </c>
      <c r="D10" s="86"/>
      <c r="E10" s="93">
        <v>5</v>
      </c>
      <c r="F10" s="86"/>
      <c r="G10" s="80"/>
      <c r="H10" s="77"/>
      <c r="I10" s="76"/>
      <c r="J10" s="78"/>
    </row>
    <row r="11" spans="1:10" x14ac:dyDescent="0.3">
      <c r="A11" s="76"/>
      <c r="B11" s="76"/>
      <c r="C11" s="76"/>
      <c r="D11" s="76"/>
      <c r="F11" s="76"/>
      <c r="G11" s="76"/>
      <c r="H11" s="77"/>
      <c r="I11" s="76"/>
      <c r="J11" s="78"/>
    </row>
    <row r="12" spans="1:10" ht="15.6" x14ac:dyDescent="0.3">
      <c r="A12" s="79" t="s">
        <v>125</v>
      </c>
      <c r="B12" s="79"/>
      <c r="C12" s="79"/>
      <c r="D12" s="79"/>
      <c r="E12" s="81">
        <f>SUM(E3:F10)</f>
        <v>260</v>
      </c>
      <c r="F12" s="81"/>
      <c r="G12" s="76"/>
      <c r="H12" s="77"/>
      <c r="I12" s="76"/>
      <c r="J12" s="78"/>
    </row>
    <row r="13" spans="1:10" x14ac:dyDescent="0.3">
      <c r="A13" s="76"/>
      <c r="B13" s="76"/>
      <c r="C13" s="76"/>
      <c r="D13" s="76"/>
      <c r="E13" s="76"/>
      <c r="F13" s="76"/>
      <c r="G13" s="76"/>
      <c r="H13" s="77"/>
      <c r="I13" s="76"/>
      <c r="J13" s="78"/>
    </row>
  </sheetData>
  <mergeCells count="30">
    <mergeCell ref="C8:D8"/>
    <mergeCell ref="E8:F8"/>
    <mergeCell ref="E7:F7"/>
    <mergeCell ref="C7:D7"/>
    <mergeCell ref="E12:F12"/>
    <mergeCell ref="A1:F1"/>
    <mergeCell ref="A6:B6"/>
    <mergeCell ref="C6:D6"/>
    <mergeCell ref="E6:F6"/>
    <mergeCell ref="E9:F9"/>
    <mergeCell ref="C9:D9"/>
    <mergeCell ref="A9:B9"/>
    <mergeCell ref="A7:B7"/>
    <mergeCell ref="A8:B8"/>
    <mergeCell ref="C4:D4"/>
    <mergeCell ref="C5:D5"/>
    <mergeCell ref="C10:D10"/>
    <mergeCell ref="A12:D12"/>
    <mergeCell ref="E2:F2"/>
    <mergeCell ref="E3:F3"/>
    <mergeCell ref="E4:F4"/>
    <mergeCell ref="E5:F5"/>
    <mergeCell ref="E10:F10"/>
    <mergeCell ref="A2:B2"/>
    <mergeCell ref="A3:B3"/>
    <mergeCell ref="A4:B4"/>
    <mergeCell ref="A5:B5"/>
    <mergeCell ref="A10:B10"/>
    <mergeCell ref="C2:D2"/>
    <mergeCell ref="C3:D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00"/>
  <sheetViews>
    <sheetView workbookViewId="0"/>
  </sheetViews>
  <sheetFormatPr defaultColWidth="14.44140625" defaultRowHeight="15" customHeight="1" x14ac:dyDescent="0.3"/>
  <cols>
    <col min="1" max="1" width="8.6640625" customWidth="1"/>
    <col min="2" max="2" width="15.88671875" customWidth="1"/>
    <col min="3" max="3" width="24.33203125" customWidth="1"/>
    <col min="4" max="4" width="22.5546875" customWidth="1"/>
    <col min="5" max="5" width="23.5546875" customWidth="1"/>
    <col min="6" max="6" width="23.109375" customWidth="1"/>
    <col min="7" max="7" width="20.109375" customWidth="1"/>
    <col min="8" max="26" width="8.6640625" customWidth="1"/>
  </cols>
  <sheetData>
    <row r="1" spans="1:8" ht="14.25" customHeight="1" x14ac:dyDescent="0.3">
      <c r="A1" s="20" t="s">
        <v>131</v>
      </c>
      <c r="B1" s="21" t="s">
        <v>132</v>
      </c>
      <c r="C1" s="21" t="s">
        <v>133</v>
      </c>
      <c r="D1" s="21" t="s">
        <v>134</v>
      </c>
      <c r="E1" s="21" t="s">
        <v>135</v>
      </c>
      <c r="F1" s="21" t="s">
        <v>136</v>
      </c>
      <c r="G1" s="22" t="s">
        <v>137</v>
      </c>
      <c r="H1" s="20" t="s">
        <v>131</v>
      </c>
    </row>
    <row r="2" spans="1:8" ht="14.25" customHeight="1" x14ac:dyDescent="0.3">
      <c r="A2" s="74" t="s">
        <v>138</v>
      </c>
      <c r="B2" s="23">
        <v>2</v>
      </c>
      <c r="C2" s="24" t="s">
        <v>139</v>
      </c>
      <c r="D2" s="24"/>
      <c r="E2" s="24" t="s">
        <v>140</v>
      </c>
      <c r="F2" s="24">
        <v>0</v>
      </c>
      <c r="G2" s="25">
        <v>0</v>
      </c>
      <c r="H2" s="74" t="s">
        <v>138</v>
      </c>
    </row>
    <row r="3" spans="1:8" ht="14.25" customHeight="1" x14ac:dyDescent="0.3">
      <c r="A3" s="75"/>
      <c r="B3" s="23">
        <v>1</v>
      </c>
      <c r="C3" s="24" t="s">
        <v>141</v>
      </c>
      <c r="D3" s="24"/>
      <c r="E3" s="24"/>
      <c r="F3" s="24">
        <v>0</v>
      </c>
      <c r="G3" s="25">
        <v>0</v>
      </c>
      <c r="H3" s="75"/>
    </row>
    <row r="4" spans="1:8" ht="14.25" customHeight="1" x14ac:dyDescent="0.3">
      <c r="A4" s="75"/>
      <c r="B4" s="23">
        <v>1</v>
      </c>
      <c r="C4" s="24" t="s">
        <v>142</v>
      </c>
      <c r="D4" s="24"/>
      <c r="E4" s="24" t="s">
        <v>143</v>
      </c>
      <c r="F4" s="24">
        <v>750</v>
      </c>
      <c r="G4" s="25">
        <v>200</v>
      </c>
      <c r="H4" s="75"/>
    </row>
    <row r="5" spans="1:8" ht="14.25" customHeight="1" x14ac:dyDescent="0.3">
      <c r="A5" s="75"/>
      <c r="B5" s="23">
        <v>1</v>
      </c>
      <c r="C5" s="24" t="s">
        <v>141</v>
      </c>
      <c r="D5" s="24"/>
      <c r="G5" s="25">
        <v>0</v>
      </c>
      <c r="H5" s="75"/>
    </row>
    <row r="6" spans="1:8" ht="14.25" customHeight="1" x14ac:dyDescent="0.3">
      <c r="A6" s="75"/>
      <c r="B6" s="23">
        <v>1</v>
      </c>
      <c r="C6" s="24" t="s">
        <v>144</v>
      </c>
      <c r="D6" s="24"/>
      <c r="E6" s="24" t="s">
        <v>145</v>
      </c>
      <c r="F6" s="24">
        <v>0</v>
      </c>
      <c r="G6" s="25">
        <v>0</v>
      </c>
      <c r="H6" s="75"/>
    </row>
    <row r="7" spans="1:8" ht="14.25" customHeight="1" x14ac:dyDescent="0.3">
      <c r="A7" s="75"/>
      <c r="B7" s="23">
        <v>1</v>
      </c>
      <c r="C7" s="26" t="s">
        <v>141</v>
      </c>
      <c r="D7" s="24"/>
      <c r="E7" s="24"/>
      <c r="F7" s="24">
        <v>0</v>
      </c>
      <c r="G7" s="25">
        <v>0</v>
      </c>
      <c r="H7" s="75"/>
    </row>
    <row r="8" spans="1:8" ht="14.25" customHeight="1" x14ac:dyDescent="0.3">
      <c r="A8" s="75"/>
      <c r="B8" s="27">
        <v>1</v>
      </c>
      <c r="C8" s="28" t="s">
        <v>146</v>
      </c>
      <c r="D8" s="23"/>
      <c r="E8" s="24" t="s">
        <v>147</v>
      </c>
      <c r="F8" s="24">
        <v>300</v>
      </c>
      <c r="G8" s="25">
        <v>50</v>
      </c>
      <c r="H8" s="75"/>
    </row>
    <row r="9" spans="1:8" ht="14.25" customHeight="1" x14ac:dyDescent="0.3">
      <c r="A9" s="75"/>
      <c r="B9" s="27">
        <v>1</v>
      </c>
      <c r="C9" s="28" t="s">
        <v>141</v>
      </c>
      <c r="D9" s="23"/>
      <c r="F9" s="24"/>
      <c r="G9" s="25"/>
      <c r="H9" s="75"/>
    </row>
    <row r="10" spans="1:8" ht="14.25" customHeight="1" x14ac:dyDescent="0.3">
      <c r="A10" s="75"/>
      <c r="B10" s="27">
        <v>1</v>
      </c>
      <c r="C10" s="29" t="s">
        <v>144</v>
      </c>
      <c r="D10" s="23"/>
      <c r="E10" s="24" t="s">
        <v>145</v>
      </c>
      <c r="F10" s="24"/>
      <c r="G10" s="25"/>
      <c r="H10" s="75"/>
    </row>
    <row r="11" spans="1:8" ht="14.25" customHeight="1" x14ac:dyDescent="0.3">
      <c r="A11" s="75"/>
      <c r="B11" s="23">
        <v>1</v>
      </c>
      <c r="C11" s="30" t="s">
        <v>148</v>
      </c>
      <c r="D11" s="24"/>
      <c r="E11" s="24"/>
      <c r="F11" s="24"/>
      <c r="G11" s="25"/>
      <c r="H11" s="75"/>
    </row>
    <row r="12" spans="1:8" ht="14.25" customHeight="1" x14ac:dyDescent="0.3">
      <c r="A12" s="75"/>
      <c r="B12" s="23">
        <v>1</v>
      </c>
      <c r="C12" s="31" t="s">
        <v>149</v>
      </c>
      <c r="D12" s="24"/>
      <c r="E12" s="24"/>
      <c r="F12" s="24"/>
      <c r="G12" s="25"/>
      <c r="H12" s="75"/>
    </row>
    <row r="13" spans="1:8" ht="14.25" customHeight="1" x14ac:dyDescent="0.3">
      <c r="A13" s="75"/>
      <c r="B13" s="23">
        <v>1</v>
      </c>
      <c r="C13" s="31" t="s">
        <v>150</v>
      </c>
      <c r="D13" s="24"/>
      <c r="E13" s="24"/>
      <c r="F13" s="24"/>
      <c r="G13" s="25"/>
      <c r="H13" s="75"/>
    </row>
    <row r="14" spans="1:8" ht="14.25" customHeight="1" x14ac:dyDescent="0.3">
      <c r="A14" s="75"/>
      <c r="B14" s="23">
        <v>1</v>
      </c>
      <c r="C14" s="24"/>
      <c r="D14" s="24"/>
      <c r="E14" s="24"/>
      <c r="F14" s="24"/>
      <c r="G14" s="25"/>
      <c r="H14" s="75"/>
    </row>
    <row r="15" spans="1:8" ht="14.25" customHeight="1" x14ac:dyDescent="0.3">
      <c r="A15" s="75"/>
      <c r="B15" s="23">
        <v>1</v>
      </c>
      <c r="C15" s="24" t="s">
        <v>144</v>
      </c>
      <c r="D15" s="24"/>
      <c r="E15" s="24"/>
      <c r="F15" s="24"/>
      <c r="G15" s="25"/>
      <c r="H15" s="75"/>
    </row>
    <row r="16" spans="1:8" ht="14.25" customHeight="1" x14ac:dyDescent="0.3">
      <c r="A16" s="75"/>
      <c r="B16" s="23">
        <v>1</v>
      </c>
      <c r="C16" s="24" t="s">
        <v>144</v>
      </c>
      <c r="D16" s="24"/>
      <c r="E16" s="24"/>
      <c r="F16" s="24"/>
      <c r="G16" s="25"/>
      <c r="H16" s="75"/>
    </row>
    <row r="17" spans="1:8" ht="14.25" customHeight="1" x14ac:dyDescent="0.3">
      <c r="A17" s="75"/>
      <c r="B17" s="27">
        <v>7</v>
      </c>
      <c r="C17" s="32"/>
      <c r="D17" s="23"/>
      <c r="E17" s="24"/>
      <c r="F17" s="24"/>
      <c r="G17" s="25"/>
      <c r="H17" s="75"/>
    </row>
    <row r="18" spans="1:8" ht="14.25" customHeight="1" x14ac:dyDescent="0.3">
      <c r="A18" s="75"/>
      <c r="B18" s="27"/>
      <c r="C18" s="33"/>
      <c r="D18" s="23"/>
      <c r="E18" s="24"/>
      <c r="F18" s="24"/>
      <c r="G18" s="25"/>
      <c r="H18" s="75"/>
    </row>
    <row r="19" spans="1:8" ht="14.25" customHeight="1" x14ac:dyDescent="0.3">
      <c r="A19" s="75"/>
      <c r="B19" s="27"/>
      <c r="C19" s="33"/>
      <c r="D19" s="23"/>
      <c r="E19" s="24"/>
      <c r="F19" s="24"/>
      <c r="G19" s="25"/>
      <c r="H19" s="75"/>
    </row>
    <row r="20" spans="1:8" ht="14.25" customHeight="1" x14ac:dyDescent="0.3">
      <c r="A20" s="75"/>
      <c r="B20" s="27"/>
      <c r="C20" s="33"/>
      <c r="D20" s="23"/>
      <c r="E20" s="24"/>
      <c r="F20" s="24"/>
      <c r="G20" s="25"/>
      <c r="H20" s="75"/>
    </row>
    <row r="21" spans="1:8" ht="14.25" customHeight="1" x14ac:dyDescent="0.3">
      <c r="A21" s="75"/>
      <c r="B21" s="27"/>
      <c r="C21" s="33"/>
      <c r="D21" s="23"/>
      <c r="E21" s="24"/>
      <c r="F21" s="24"/>
      <c r="G21" s="25"/>
      <c r="H21" s="75"/>
    </row>
    <row r="22" spans="1:8" ht="14.25" customHeight="1" x14ac:dyDescent="0.3">
      <c r="A22" s="75"/>
      <c r="B22" s="27"/>
      <c r="C22" s="33"/>
      <c r="D22" s="23"/>
      <c r="E22" s="24"/>
      <c r="F22" s="24"/>
      <c r="G22" s="25"/>
      <c r="H22" s="75"/>
    </row>
    <row r="23" spans="1:8" ht="14.25" customHeight="1" x14ac:dyDescent="0.3">
      <c r="A23" s="75"/>
      <c r="B23" s="27"/>
      <c r="C23" s="34"/>
      <c r="D23" s="23"/>
      <c r="E23" s="24"/>
      <c r="F23" s="24"/>
      <c r="G23" s="25"/>
      <c r="H23" s="75"/>
    </row>
    <row r="24" spans="1:8" ht="14.25" customHeight="1" x14ac:dyDescent="0.3">
      <c r="A24" s="75"/>
      <c r="B24" s="23">
        <v>1</v>
      </c>
      <c r="C24" s="24" t="s">
        <v>144</v>
      </c>
      <c r="D24" s="24"/>
      <c r="E24" s="24"/>
      <c r="F24" s="24"/>
      <c r="G24" s="25"/>
      <c r="H24" s="75"/>
    </row>
    <row r="25" spans="1:8" ht="14.25" customHeight="1" x14ac:dyDescent="0.3">
      <c r="A25" s="75"/>
      <c r="B25" s="23">
        <v>1</v>
      </c>
      <c r="C25" s="24" t="s">
        <v>144</v>
      </c>
      <c r="D25" s="24"/>
      <c r="E25" s="24"/>
      <c r="F25" s="24"/>
      <c r="G25" s="25"/>
      <c r="H25" s="75"/>
    </row>
    <row r="26" spans="1:8" ht="14.25" customHeight="1" x14ac:dyDescent="0.3">
      <c r="A26" s="75"/>
      <c r="B26" s="23">
        <v>1</v>
      </c>
      <c r="C26" s="24" t="s">
        <v>144</v>
      </c>
      <c r="D26" s="24"/>
      <c r="E26" s="24"/>
      <c r="F26" s="24"/>
      <c r="G26" s="25"/>
      <c r="H26" s="75"/>
    </row>
    <row r="27" spans="1:8" ht="14.25" customHeight="1" x14ac:dyDescent="0.3">
      <c r="A27" s="75"/>
      <c r="B27" s="23">
        <v>1</v>
      </c>
      <c r="C27" s="24"/>
      <c r="D27" s="24"/>
      <c r="E27" s="24"/>
      <c r="F27" s="24"/>
      <c r="G27" s="25"/>
      <c r="H27" s="75"/>
    </row>
    <row r="28" spans="1:8" ht="14.25" customHeight="1" x14ac:dyDescent="0.3">
      <c r="A28" s="75"/>
      <c r="B28" s="23">
        <v>1</v>
      </c>
      <c r="C28" s="24"/>
      <c r="D28" s="24"/>
      <c r="E28" s="24"/>
      <c r="F28" s="24"/>
      <c r="G28" s="25"/>
      <c r="H28" s="75"/>
    </row>
    <row r="29" spans="1:8" ht="14.25" customHeight="1" x14ac:dyDescent="0.3">
      <c r="A29" s="75"/>
      <c r="B29" s="23">
        <v>1</v>
      </c>
      <c r="C29" s="24" t="s">
        <v>151</v>
      </c>
      <c r="E29" s="24" t="s">
        <v>152</v>
      </c>
      <c r="F29" s="24">
        <v>200</v>
      </c>
      <c r="G29" s="25">
        <v>50</v>
      </c>
      <c r="H29" s="75"/>
    </row>
    <row r="30" spans="1:8" ht="14.25" customHeight="1" x14ac:dyDescent="0.3">
      <c r="A30" s="75"/>
      <c r="B30" s="23">
        <v>6</v>
      </c>
      <c r="C30" s="6" t="s">
        <v>153</v>
      </c>
      <c r="D30" s="24"/>
      <c r="E30" s="24"/>
      <c r="F30" s="24"/>
      <c r="G30" s="25"/>
      <c r="H30" s="75"/>
    </row>
    <row r="31" spans="1:8" ht="14.25" customHeight="1" x14ac:dyDescent="0.3">
      <c r="A31" s="75"/>
      <c r="B31" s="23"/>
      <c r="C31" s="24"/>
      <c r="D31" s="24"/>
      <c r="E31" s="24"/>
      <c r="F31" s="24"/>
      <c r="G31" s="25"/>
      <c r="H31" s="75"/>
    </row>
    <row r="32" spans="1:8" ht="14.25" customHeight="1" x14ac:dyDescent="0.3">
      <c r="A32" s="75"/>
      <c r="B32" s="23"/>
      <c r="C32" s="24"/>
      <c r="D32" s="24"/>
      <c r="E32" s="24"/>
      <c r="F32" s="24"/>
      <c r="G32" s="25"/>
      <c r="H32" s="75"/>
    </row>
    <row r="33" spans="1:8" ht="14.25" customHeight="1" x14ac:dyDescent="0.3">
      <c r="A33" s="75"/>
      <c r="B33" s="23"/>
      <c r="C33" s="24"/>
      <c r="D33" s="24"/>
      <c r="E33" s="24"/>
      <c r="F33" s="24"/>
      <c r="G33" s="25"/>
      <c r="H33" s="75"/>
    </row>
    <row r="34" spans="1:8" ht="14.25" customHeight="1" x14ac:dyDescent="0.3">
      <c r="A34" s="75"/>
      <c r="B34" s="23">
        <v>1</v>
      </c>
      <c r="C34" s="24" t="s">
        <v>144</v>
      </c>
      <c r="D34" s="24"/>
      <c r="E34" s="24" t="s">
        <v>147</v>
      </c>
      <c r="F34" s="24"/>
      <c r="G34" s="25"/>
      <c r="H34" s="75"/>
    </row>
    <row r="35" spans="1:8" ht="14.25" customHeight="1" x14ac:dyDescent="0.3">
      <c r="A35" s="75"/>
      <c r="B35" s="23">
        <v>1</v>
      </c>
      <c r="C35" s="24" t="s">
        <v>154</v>
      </c>
      <c r="D35" s="24"/>
      <c r="E35" s="24"/>
      <c r="F35" s="24"/>
      <c r="G35" s="25"/>
      <c r="H35" s="75"/>
    </row>
    <row r="36" spans="1:8" ht="14.25" customHeight="1" x14ac:dyDescent="0.3">
      <c r="A36" s="75"/>
      <c r="B36" s="23">
        <v>1</v>
      </c>
      <c r="C36" s="24" t="s">
        <v>155</v>
      </c>
      <c r="D36" s="24"/>
      <c r="E36" s="24" t="s">
        <v>143</v>
      </c>
      <c r="F36" s="24">
        <v>750</v>
      </c>
      <c r="G36" s="25">
        <v>200</v>
      </c>
      <c r="H36" s="75"/>
    </row>
    <row r="37" spans="1:8" ht="14.25" customHeight="1" x14ac:dyDescent="0.3">
      <c r="A37" s="75"/>
      <c r="B37" s="23">
        <v>2</v>
      </c>
      <c r="C37" s="24" t="s">
        <v>156</v>
      </c>
      <c r="D37" s="24"/>
      <c r="E37" s="24"/>
      <c r="F37" s="24"/>
      <c r="G37" s="25"/>
      <c r="H37" s="75"/>
    </row>
    <row r="38" spans="1:8" ht="14.25" customHeight="1" x14ac:dyDescent="0.3">
      <c r="A38" s="75"/>
      <c r="B38" s="23">
        <v>4</v>
      </c>
      <c r="C38" s="24" t="s">
        <v>157</v>
      </c>
      <c r="D38" s="24"/>
      <c r="E38" s="24"/>
      <c r="F38" s="35">
        <v>1000</v>
      </c>
      <c r="G38" s="25">
        <v>250</v>
      </c>
      <c r="H38" s="75"/>
    </row>
    <row r="39" spans="1:8" ht="14.25" customHeight="1" x14ac:dyDescent="0.3">
      <c r="A39" s="75"/>
      <c r="B39" s="23">
        <v>4</v>
      </c>
      <c r="C39" s="24" t="s">
        <v>158</v>
      </c>
      <c r="D39" s="24"/>
      <c r="E39" s="24"/>
      <c r="F39" s="35">
        <v>1000</v>
      </c>
      <c r="G39" s="25">
        <v>250</v>
      </c>
      <c r="H39" s="75"/>
    </row>
    <row r="40" spans="1:8" ht="14.25" customHeight="1" x14ac:dyDescent="0.3">
      <c r="A40" s="75"/>
      <c r="B40" s="23"/>
      <c r="C40" s="24"/>
      <c r="D40" s="24"/>
      <c r="E40" s="24"/>
      <c r="F40" s="24"/>
      <c r="G40" s="25"/>
      <c r="H40" s="75"/>
    </row>
    <row r="41" spans="1:8" ht="14.25" customHeight="1" x14ac:dyDescent="0.3">
      <c r="A41" s="75"/>
      <c r="B41" s="23"/>
      <c r="C41" s="24"/>
      <c r="D41" s="24"/>
      <c r="E41" s="24"/>
      <c r="F41" s="24"/>
      <c r="G41" s="25"/>
      <c r="H41" s="75"/>
    </row>
    <row r="42" spans="1:8" ht="14.25" customHeight="1" x14ac:dyDescent="0.3">
      <c r="A42" s="75"/>
      <c r="B42" s="36"/>
      <c r="C42" s="26"/>
      <c r="D42" s="26"/>
      <c r="E42" s="26"/>
      <c r="F42" s="26"/>
      <c r="G42" s="37"/>
      <c r="H42" s="75"/>
    </row>
    <row r="43" spans="1:8" ht="14.25" customHeight="1" x14ac:dyDescent="0.3">
      <c r="A43" s="38" t="s">
        <v>159</v>
      </c>
      <c r="B43" s="39">
        <f>SUM(B2:B42)</f>
        <v>48</v>
      </c>
      <c r="C43" s="39"/>
      <c r="D43" s="39"/>
      <c r="E43" s="39"/>
      <c r="F43" s="39">
        <f>SUM(F2:F37)</f>
        <v>2000</v>
      </c>
      <c r="G43" s="39">
        <f>SUM(G2:G42)</f>
        <v>1000</v>
      </c>
      <c r="H43" s="40"/>
    </row>
    <row r="44" spans="1:8" ht="14.25" customHeight="1" x14ac:dyDescent="0.3">
      <c r="E44" s="41" t="s">
        <v>160</v>
      </c>
      <c r="F44" s="41">
        <f>F38+F39</f>
        <v>2000</v>
      </c>
    </row>
    <row r="45" spans="1:8" ht="14.25" customHeight="1" x14ac:dyDescent="0.3">
      <c r="F45" s="42" t="s">
        <v>161</v>
      </c>
      <c r="G45" s="42" t="s">
        <v>162</v>
      </c>
    </row>
    <row r="46" spans="1:8" ht="14.25" customHeight="1" x14ac:dyDescent="0.3">
      <c r="C46" s="43" t="s">
        <v>163</v>
      </c>
      <c r="D46" s="21"/>
      <c r="E46" s="21"/>
      <c r="F46" s="21">
        <v>2500</v>
      </c>
      <c r="G46" s="22">
        <v>12000</v>
      </c>
    </row>
    <row r="47" spans="1:8" ht="14.25" customHeight="1" x14ac:dyDescent="0.3">
      <c r="C47" s="44" t="s">
        <v>164</v>
      </c>
      <c r="D47" s="45"/>
      <c r="E47" s="45"/>
      <c r="F47" s="45">
        <v>2500</v>
      </c>
      <c r="G47" s="46">
        <v>12000</v>
      </c>
    </row>
    <row r="48" spans="1:8" ht="14.25" customHeight="1" x14ac:dyDescent="0.3"/>
    <row r="49" spans="1:7" ht="14.25" customHeight="1" x14ac:dyDescent="0.3">
      <c r="E49" s="47" t="s">
        <v>159</v>
      </c>
      <c r="F49" s="47">
        <f t="shared" ref="F49:G49" si="0">SUM(F46:F47)</f>
        <v>5000</v>
      </c>
      <c r="G49" s="47">
        <f t="shared" si="0"/>
        <v>24000</v>
      </c>
    </row>
    <row r="50" spans="1:7" ht="42.75" customHeight="1" x14ac:dyDescent="0.3">
      <c r="C50" s="48" t="s">
        <v>165</v>
      </c>
      <c r="D50" s="49">
        <v>352</v>
      </c>
      <c r="E50" s="13"/>
      <c r="F50" s="13"/>
      <c r="G50" s="13"/>
    </row>
    <row r="51" spans="1:7" ht="48.75" customHeight="1" x14ac:dyDescent="0.3">
      <c r="C51" s="50" t="s">
        <v>166</v>
      </c>
      <c r="D51" s="51">
        <f>COUNTIF(C1:C43,"Patch Pannel UTP")*24</f>
        <v>192</v>
      </c>
      <c r="E51" s="52" t="s">
        <v>167</v>
      </c>
      <c r="F51" s="13"/>
      <c r="G51" s="13"/>
    </row>
    <row r="52" spans="1:7" ht="14.25" customHeight="1" x14ac:dyDescent="0.3">
      <c r="E52" s="13"/>
      <c r="F52" s="13"/>
      <c r="G52" s="13"/>
    </row>
    <row r="53" spans="1:7" ht="14.25" customHeight="1" x14ac:dyDescent="0.3">
      <c r="A53" s="42" t="s">
        <v>168</v>
      </c>
      <c r="B53" s="42" t="s">
        <v>169</v>
      </c>
    </row>
    <row r="54" spans="1:7" ht="14.25" customHeight="1" x14ac:dyDescent="0.3">
      <c r="B54" s="42" t="s">
        <v>170</v>
      </c>
    </row>
    <row r="55" spans="1:7" ht="14.25" customHeight="1" x14ac:dyDescent="0.3">
      <c r="B55" s="42" t="s">
        <v>171</v>
      </c>
    </row>
    <row r="56" spans="1:7" ht="14.25" customHeight="1" x14ac:dyDescent="0.3">
      <c r="B56" s="35" t="s">
        <v>172</v>
      </c>
      <c r="C56" s="35"/>
      <c r="D56" s="35"/>
      <c r="E56" s="35"/>
      <c r="F56" s="35"/>
      <c r="G56" s="35"/>
    </row>
    <row r="57" spans="1:7" ht="14.25" customHeight="1" x14ac:dyDescent="0.3">
      <c r="B57" s="42" t="s">
        <v>173</v>
      </c>
    </row>
    <row r="58" spans="1:7" ht="14.25" customHeight="1" x14ac:dyDescent="0.3">
      <c r="B58" s="42" t="s">
        <v>174</v>
      </c>
    </row>
    <row r="59" spans="1:7" ht="14.25" customHeight="1" x14ac:dyDescent="0.3">
      <c r="B59" s="49" t="s">
        <v>175</v>
      </c>
      <c r="C59" s="49"/>
      <c r="D59" s="49"/>
      <c r="E59" s="49"/>
      <c r="F59" s="49"/>
      <c r="G59" s="49"/>
    </row>
    <row r="60" spans="1:7" ht="14.25" customHeight="1" x14ac:dyDescent="0.3">
      <c r="B60" s="49" t="s">
        <v>176</v>
      </c>
      <c r="C60" s="49"/>
      <c r="D60" s="49"/>
      <c r="E60" s="49"/>
      <c r="F60" s="49"/>
      <c r="G60" s="49"/>
    </row>
    <row r="61" spans="1:7" ht="14.25" customHeight="1" x14ac:dyDescent="0.3">
      <c r="B61" s="53" t="s">
        <v>177</v>
      </c>
      <c r="C61" s="53"/>
      <c r="D61" s="53"/>
      <c r="E61" s="53"/>
      <c r="F61" s="53"/>
      <c r="G61" s="53"/>
    </row>
    <row r="62" spans="1:7" ht="14.25" customHeight="1" x14ac:dyDescent="0.3">
      <c r="B62" s="42" t="s">
        <v>178</v>
      </c>
    </row>
    <row r="63" spans="1:7" ht="14.25" customHeight="1" x14ac:dyDescent="0.3">
      <c r="B63" s="42" t="s">
        <v>179</v>
      </c>
    </row>
    <row r="64" spans="1:7" ht="14.25" customHeight="1" x14ac:dyDescent="0.35">
      <c r="B64" s="54" t="s">
        <v>180</v>
      </c>
      <c r="C64" s="54"/>
      <c r="D64" s="54"/>
      <c r="E64" s="54"/>
      <c r="F64" s="54"/>
      <c r="G64" s="54"/>
    </row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2">
    <mergeCell ref="A2:A42"/>
    <mergeCell ref="H2:H42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000"/>
  <sheetViews>
    <sheetView workbookViewId="0"/>
  </sheetViews>
  <sheetFormatPr defaultColWidth="14.44140625" defaultRowHeight="15" customHeight="1" x14ac:dyDescent="0.3"/>
  <cols>
    <col min="1" max="26" width="8.6640625" customWidth="1"/>
  </cols>
  <sheetData>
    <row r="1" ht="14.25" customHeight="1" x14ac:dyDescent="0.3"/>
    <row r="2" ht="14.25" customHeight="1" x14ac:dyDescent="0.3"/>
    <row r="3" ht="14.25" customHeight="1" x14ac:dyDescent="0.3"/>
    <row r="4" ht="14.25" customHeight="1" x14ac:dyDescent="0.3"/>
    <row r="5" ht="14.25" customHeight="1" x14ac:dyDescent="0.3"/>
    <row r="6" ht="14.25" customHeight="1" x14ac:dyDescent="0.3"/>
    <row r="7" ht="14.25" customHeight="1" x14ac:dyDescent="0.3"/>
    <row r="8" ht="14.25" customHeight="1" x14ac:dyDescent="0.3"/>
    <row r="9" ht="14.25" customHeight="1" x14ac:dyDescent="0.3"/>
    <row r="10" ht="14.25" customHeight="1" x14ac:dyDescent="0.3"/>
    <row r="11" ht="14.25" customHeight="1" x14ac:dyDescent="0.3"/>
    <row r="12" ht="14.25" customHeight="1" x14ac:dyDescent="0.3"/>
    <row r="13" ht="14.25" customHeight="1" x14ac:dyDescent="0.3"/>
    <row r="14" ht="14.25" customHeight="1" x14ac:dyDescent="0.3"/>
    <row r="15" ht="14.25" customHeight="1" x14ac:dyDescent="0.3"/>
    <row r="16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1000"/>
  <sheetViews>
    <sheetView workbookViewId="0"/>
  </sheetViews>
  <sheetFormatPr defaultColWidth="14.44140625" defaultRowHeight="15" customHeight="1" x14ac:dyDescent="0.3"/>
  <cols>
    <col min="1" max="26" width="8.6640625" customWidth="1"/>
  </cols>
  <sheetData>
    <row r="1" ht="14.25" customHeight="1" x14ac:dyDescent="0.3"/>
    <row r="2" ht="14.25" customHeight="1" x14ac:dyDescent="0.3"/>
    <row r="3" ht="14.25" customHeight="1" x14ac:dyDescent="0.3"/>
    <row r="4" ht="14.25" customHeight="1" x14ac:dyDescent="0.3"/>
    <row r="5" ht="14.25" customHeight="1" x14ac:dyDescent="0.3"/>
    <row r="6" ht="14.25" customHeight="1" x14ac:dyDescent="0.3"/>
    <row r="7" ht="14.25" customHeight="1" x14ac:dyDescent="0.3"/>
    <row r="8" ht="14.25" customHeight="1" x14ac:dyDescent="0.3"/>
    <row r="9" ht="14.25" customHeight="1" x14ac:dyDescent="0.3"/>
    <row r="10" ht="14.25" customHeight="1" x14ac:dyDescent="0.3"/>
    <row r="11" ht="14.25" customHeight="1" x14ac:dyDescent="0.3"/>
    <row r="12" ht="14.25" customHeight="1" x14ac:dyDescent="0.3"/>
    <row r="13" ht="14.25" customHeight="1" x14ac:dyDescent="0.3"/>
    <row r="14" ht="14.25" customHeight="1" x14ac:dyDescent="0.3"/>
    <row r="15" ht="14.25" customHeight="1" x14ac:dyDescent="0.3"/>
    <row r="16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Cable</vt:lpstr>
      <vt:lpstr>Fiber</vt:lpstr>
      <vt:lpstr>MDF</vt:lpstr>
      <vt:lpstr>IDF1</vt:lpstr>
      <vt:lpstr>IDF...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cemil</dc:creator>
  <cp:lastModifiedBy>Grad Laurentiu</cp:lastModifiedBy>
  <dcterms:created xsi:type="dcterms:W3CDTF">2020-03-30T08:46:30Z</dcterms:created>
  <dcterms:modified xsi:type="dcterms:W3CDTF">2026-04-01T15:00:21Z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b58b62f-6f94-46bd-8089-18e64b0a9abb_Enabled">
    <vt:lpwstr>true</vt:lpwstr>
  </property>
  <property fmtid="{D5CDD505-2E9C-101B-9397-08002B2CF9AE}" pid="3" name="MSIP_Label_5b58b62f-6f94-46bd-8089-18e64b0a9abb_SetDate">
    <vt:lpwstr>2025-04-10T07:51:52Z</vt:lpwstr>
  </property>
  <property fmtid="{D5CDD505-2E9C-101B-9397-08002B2CF9AE}" pid="4" name="MSIP_Label_5b58b62f-6f94-46bd-8089-18e64b0a9abb_Method">
    <vt:lpwstr>Standard</vt:lpwstr>
  </property>
  <property fmtid="{D5CDD505-2E9C-101B-9397-08002B2CF9AE}" pid="5" name="MSIP_Label_5b58b62f-6f94-46bd-8089-18e64b0a9abb_Name">
    <vt:lpwstr>defa4170-0d19-0005-0004-bc88714345d2</vt:lpwstr>
  </property>
  <property fmtid="{D5CDD505-2E9C-101B-9397-08002B2CF9AE}" pid="6" name="MSIP_Label_5b58b62f-6f94-46bd-8089-18e64b0a9abb_SiteId">
    <vt:lpwstr>a6eb79fa-c4a9-4cce-818d-b85274d15305</vt:lpwstr>
  </property>
  <property fmtid="{D5CDD505-2E9C-101B-9397-08002B2CF9AE}" pid="7" name="MSIP_Label_5b58b62f-6f94-46bd-8089-18e64b0a9abb_ActionId">
    <vt:lpwstr>b5db2479-941d-4433-b1ae-102c71dd8c2b</vt:lpwstr>
  </property>
  <property fmtid="{D5CDD505-2E9C-101B-9397-08002B2CF9AE}" pid="8" name="MSIP_Label_5b58b62f-6f94-46bd-8089-18e64b0a9abb_ContentBits">
    <vt:lpwstr>0</vt:lpwstr>
  </property>
  <property fmtid="{D5CDD505-2E9C-101B-9397-08002B2CF9AE}" pid="9" name="MSIP_Label_5b58b62f-6f94-46bd-8089-18e64b0a9abb_Tag">
    <vt:lpwstr>10, 3, 0, 1</vt:lpwstr>
  </property>
  <property fmtid="{D5CDD505-2E9C-101B-9397-08002B2CF9AE}" pid="10" name="ContentTypeId">
    <vt:lpwstr>0x010100E4DE2CC379442A4D8483D9D7B1BA3E35</vt:lpwstr>
  </property>
</Properties>
</file>